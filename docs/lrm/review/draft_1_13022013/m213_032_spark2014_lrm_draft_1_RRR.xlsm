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620" windowHeight="16095" tabRatio="648"/>
  </bookViews>
  <sheets>
    <sheet name="Comments" sheetId="23" r:id="rId1"/>
    <sheet name="Checklists" sheetId="25" state="hidden" r:id="rId2"/>
    <sheet name="Metrics" sheetId="20" state="hidden" r:id="rId3"/>
    <sheet name="CustomProperties" sheetId="15" state="hidden" r:id="rId4"/>
  </sheets>
  <functionGroups/>
  <definedNames>
    <definedName name="_xlnm._FilterDatabase" localSheetId="0" hidden="1">Comments!$A$12:$M$238</definedName>
    <definedName name="Blanks">#REF!</definedName>
    <definedName name="CaptureEffortData">#REF!</definedName>
    <definedName name="CaptureSizeMetrics">#REF!</definedName>
    <definedName name="CheckErr">#REF!</definedName>
    <definedName name="Checklist_FailRecommended">#REF!</definedName>
    <definedName name="Checklist_FailSafety">#REF!</definedName>
    <definedName name="Checklist_FailStandards">#REF!</definedName>
    <definedName name="Checklist_FailTechnical">#REF!</definedName>
    <definedName name="Checklist_Items">#REF!</definedName>
    <definedName name="Checklist_ToGo">#REF!</definedName>
    <definedName name="Checklist_ToSign">#REF!</definedName>
    <definedName name="Checklist_Total">#REF!</definedName>
    <definedName name="Checklist_TotalPass">#REF!</definedName>
    <definedName name="ChecklistStart">#REF!</definedName>
    <definedName name="CheckOK">#REF!</definedName>
    <definedName name="CodeFileListUsed">#REF!</definedName>
    <definedName name="CommentsRaised">Comments!$F$11</definedName>
    <definedName name="CommentsToAction">Comments!$K$11</definedName>
    <definedName name="CommentsToSignOff">Comments!$M$11</definedName>
    <definedName name="DevAuthorInitials">Comments!$H$13:$H$238</definedName>
    <definedName name="DevCommentCategory">Comments!#REF!</definedName>
    <definedName name="DevCommentEffortToFix">Comments!A1</definedName>
    <definedName name="DevCommentEffortToModerate">Comments!#REF!</definedName>
    <definedName name="DevCommentInitials">Comments!$B$13:$B$238</definedName>
    <definedName name="DevCommentStatuses">Comments!$J$13:$J$238</definedName>
    <definedName name="DevModeratorInitials">Comments!$L$13:$L$238</definedName>
    <definedName name="DocApprover">#REF!</definedName>
    <definedName name="DocAuthor">#REF!</definedName>
    <definedName name="DocConfidentiality">#REF!</definedName>
    <definedName name="DocDate">#REF!</definedName>
    <definedName name="DocIssue">#REF!</definedName>
    <definedName name="DocRef">#REF!</definedName>
    <definedName name="DocSet">#REF!</definedName>
    <definedName name="DocStatus">#REF!</definedName>
    <definedName name="DocTitle">#REF!</definedName>
    <definedName name="Final_Revision">#REF!</definedName>
    <definedName name="ItemSize">Metrics!$B$6</definedName>
    <definedName name="_xlnm.Print_Titles" localSheetId="0">Comments!$12:$12</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#REF!</definedName>
    <definedName name="StandardNo2">#REF!</definedName>
    <definedName name="StandardNo3">#REF!</definedName>
    <definedName name="StandardNo4">#REF!</definedName>
    <definedName name="StandardNo5">#REF!</definedName>
    <definedName name="StandardNo6">#REF!</definedName>
    <definedName name="StandardNo7">#REF!</definedName>
    <definedName name="StandardNo8">#REF!</definedName>
    <definedName name="StandardNo9">#REF!</definedName>
    <definedName name="Standards">Checklists!$B$1:$Q$1</definedName>
    <definedName name="StatusConsistent">#REF!</definedName>
    <definedName name="StatusInconsistent">#REF!</definedName>
    <definedName name="TotalEffortToFix">Metrics!$C$28</definedName>
    <definedName name="TotalTimeModerating">Metrics!$C$42</definedName>
    <definedName name="TotalTimeSpentReviewing">Metrics!$C$10</definedName>
    <definedName name="Z_745ADDF4_F7DF_4086_807E_540752E7B485_.wvu.Cols" localSheetId="0" hidden="1">Comments!$G:$G,Comments!#REF!</definedName>
    <definedName name="Z_745ADDF4_F7DF_4086_807E_540752E7B485_.wvu.PrintTitles" localSheetId="0" hidden="1">Comments!$12:$12</definedName>
    <definedName name="Z_BE287C18_2555_4F9D_9444_78E80943430A_.wvu.Cols" localSheetId="0" hidden="1">Comments!$G:$G,Comments!#REF!</definedName>
    <definedName name="Z_BE287C18_2555_4F9D_9444_78E80943430A_.wvu.PrintTitles" localSheetId="0" hidden="1">Comments!$12:$12</definedName>
  </definedNames>
  <calcPr calcId="125725"/>
  <customWorkbookViews>
    <customWorkbookView name="thomas.wilson - Personal View" guid="{745ADDF4-F7DF-4086-807E-540752E7B485}" mergeInterval="0" personalView="1" maximized="1" xWindow="1" yWindow="1" windowWidth="1020" windowHeight="547" tabRatio="906" activeSheetId="1"/>
    <customWorkbookView name="c - Personal View" guid="{BE287C18-2555-4F9D-9444-78E80943430A}" mergeInterval="0" personalView="1" maximized="1" xWindow="1" yWindow="1" windowWidth="1020" windowHeight="547" tabRatio="906" activeSheetId="1"/>
  </customWorkbookViews>
</workbook>
</file>

<file path=xl/calcChain.xml><?xml version="1.0" encoding="utf-8"?>
<calcChain xmlns="http://schemas.openxmlformats.org/spreadsheetml/2006/main">
  <c r="B63" i="15"/>
  <c r="B61"/>
  <c r="B60"/>
  <c r="B59"/>
  <c r="B58"/>
  <c r="B38"/>
  <c r="B37"/>
  <c r="B36"/>
  <c r="B35"/>
  <c r="B34"/>
  <c r="B33"/>
  <c r="B39"/>
  <c r="A69"/>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52"/>
  <c r="B53"/>
  <c r="B54"/>
  <c r="A2" i="20"/>
  <c r="B2"/>
  <c r="A3"/>
  <c r="B3"/>
  <c r="E3"/>
  <c r="A4"/>
  <c r="B4"/>
  <c r="B6"/>
  <c r="A5"/>
  <c r="B5"/>
  <c r="C10"/>
  <c r="B48" i="15"/>
  <c r="C11" i="20"/>
  <c r="E14"/>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s="1"/>
  <c r="D32"/>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F11" i="23"/>
  <c r="B64" i="15" s="1"/>
  <c r="A14" i="23"/>
  <c r="A15" s="1"/>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2" i="15"/>
  <c r="C43" i="20"/>
  <c r="B49" i="15"/>
  <c r="D14" i="20"/>
  <c r="E51"/>
  <c r="E37"/>
  <c r="E24"/>
  <c r="C51"/>
  <c r="C37"/>
  <c r="B41" i="15"/>
  <c r="D23" i="20"/>
  <c r="D21"/>
  <c r="D19"/>
  <c r="D17"/>
  <c r="B42" i="15"/>
  <c r="B44"/>
  <c r="B43"/>
  <c r="B45"/>
  <c r="B46"/>
  <c r="B51" l="1"/>
  <c r="D16" i="20"/>
  <c r="D18"/>
  <c r="D20"/>
  <c r="D22"/>
  <c r="D15"/>
  <c r="M11" i="23"/>
  <c r="B66" i="15" s="1"/>
  <c r="H24" i="20"/>
  <c r="I37"/>
  <c r="G51"/>
  <c r="I24"/>
  <c r="H51"/>
  <c r="F51"/>
  <c r="J51"/>
  <c r="H37"/>
  <c r="F37"/>
  <c r="F24"/>
  <c r="J37"/>
  <c r="I51"/>
  <c r="G24"/>
  <c r="J24"/>
  <c r="G37"/>
  <c r="B40" i="15"/>
  <c r="B47"/>
  <c r="K11" i="23" l="1"/>
  <c r="K51" i="20"/>
  <c r="K52"/>
  <c r="K37"/>
  <c r="K24"/>
  <c r="K25"/>
  <c r="K38"/>
  <c r="B65" i="15" l="1"/>
  <c r="B62" l="1"/>
</calcChain>
</file>

<file path=xl/comments1.xml><?xml version="1.0" encoding="utf-8"?>
<comments xmlns="http://schemas.openxmlformats.org/spreadsheetml/2006/main">
  <authors>
    <author>Chris Martin</author>
  </authors>
  <commentList>
    <comment ref="F12" authorId="0">
      <text>
        <r>
          <rPr>
            <b/>
            <sz val="8"/>
            <color indexed="81"/>
            <rFont val="Tahoma"/>
            <family val="2"/>
          </rPr>
          <t>Chris Martin:</t>
        </r>
        <r>
          <rPr>
            <sz val="8"/>
            <color indexed="81"/>
            <rFont val="Tahoma"/>
            <family val="2"/>
          </rPr>
          <t xml:space="preserve">
(Unhide column to right via "+" at top for additional information column)</t>
        </r>
      </text>
    </comment>
    <comment ref="K12" authorId="0">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2.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sharedStrings.xml><?xml version="1.0" encoding="utf-8"?>
<sst xmlns="http://schemas.openxmlformats.org/spreadsheetml/2006/main" count="2062" uniqueCount="922">
  <si>
    <t>DocSet</t>
  </si>
  <si>
    <t>DocTitle</t>
  </si>
  <si>
    <t>Custom Property Name</t>
  </si>
  <si>
    <t>Custom Property Value</t>
  </si>
  <si>
    <t>DocRef</t>
  </si>
  <si>
    <t>DocIssue</t>
  </si>
  <si>
    <t>DocDate</t>
  </si>
  <si>
    <t>DocApprover</t>
  </si>
  <si>
    <t>DocAuthor</t>
  </si>
  <si>
    <t>Details of Review</t>
  </si>
  <si>
    <t>Noted</t>
  </si>
  <si>
    <t>Rejected</t>
  </si>
  <si>
    <t>Accepted</t>
  </si>
  <si>
    <t>Review Item</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</si>
  <si>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</si>
  <si>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</si>
  <si>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</si>
  <si>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</si>
  <si>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</si>
  <si>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</si>
  <si>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</si>
  <si>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</si>
  <si>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</si>
  <si>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</si>
  <si>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</si>
  <si>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</si>
  <si>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</si>
  <si>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</si>
  <si>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</si>
  <si>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</si>
  <si>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Moderator response
(if appropriate)</t>
  </si>
  <si>
    <t>Carried out?</t>
  </si>
  <si>
    <t>Comment Status</t>
  </si>
  <si>
    <t>Author's Response</t>
  </si>
  <si>
    <t>Comment No</t>
  </si>
  <si>
    <t>Review Comments</t>
  </si>
  <si>
    <t>Review Date</t>
  </si>
  <si>
    <t>Sign-off by "Checker" (initials)</t>
  </si>
  <si>
    <t>Author's initials</t>
  </si>
  <si>
    <t>Additional information (e.g. data allowing the reviewer to group comments by category)</t>
  </si>
  <si>
    <t xml:space="preserve">Reviewer's Comment </t>
  </si>
  <si>
    <t>Section Reference or Line Number(s)</t>
  </si>
  <si>
    <t>Notes on Use of this form:</t>
  </si>
  <si>
    <t>Reviewer Name(s)</t>
  </si>
  <si>
    <t>Time Spent Reworking (mins)</t>
  </si>
  <si>
    <t>Time Spent Moderating (mins)</t>
  </si>
  <si>
    <t>Comments Duplicated</t>
  </si>
  <si>
    <t>Duplicate</t>
  </si>
  <si>
    <t>Comment No.</t>
  </si>
  <si>
    <t>Rev's Initials</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</si>
  <si>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</si>
  <si>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</si>
  <si>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</si>
  <si>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</si>
  <si>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</si>
  <si>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</si>
  <si>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</si>
  <si>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</si>
  <si>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</si>
  <si>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</si>
  <si>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</si>
  <si>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</si>
  <si>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</si>
  <si>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</si>
  <si>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</si>
  <si>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</si>
  <si>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</si>
  <si>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</si>
  <si>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</si>
  <si>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</si>
  <si>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</si>
  <si>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</si>
  <si>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</si>
  <si>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</si>
  <si>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</si>
  <si>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</si>
  <si>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</si>
  <si>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</si>
  <si>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</si>
  <si>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</si>
  <si>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</si>
  <si>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</si>
  <si>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</si>
  <si>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</si>
  <si>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</si>
  <si>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</si>
  <si>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</si>
  <si>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</si>
  <si>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</si>
  <si>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</si>
  <si>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</si>
  <si>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</si>
  <si>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</si>
  <si>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</si>
  <si>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</si>
  <si>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</si>
  <si>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</si>
  <si>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&lt;--- Always add standards inbetween the current standards OR update the "Standards" name definition to include the full range.</t>
  </si>
  <si>
    <t>RRR_CommentsRaised</t>
  </si>
  <si>
    <t>RRR_CommentsToAction</t>
  </si>
  <si>
    <t>RRR_CommentsToSignOff</t>
  </si>
  <si>
    <t>RRR_Item_Rev_After_Moderation</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</si>
  <si>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</si>
  <si>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</si>
  <si>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</si>
  <si>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</si>
  <si>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</si>
  <si>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</si>
  <si>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</si>
  <si>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</si>
  <si>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</si>
  <si>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</si>
  <si>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</si>
  <si>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</si>
  <si>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</si>
  <si>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</si>
  <si>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</si>
  <si>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</si>
  <si>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</si>
  <si>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</si>
  <si>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</si>
  <si>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</si>
  <si>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</si>
  <si>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</si>
  <si>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</si>
  <si>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</si>
  <si>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</si>
  <si>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</si>
  <si>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</si>
  <si>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</si>
  <si>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</si>
  <si>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</si>
  <si>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</si>
  <si>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</si>
  <si>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</si>
  <si>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</si>
  <si>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</si>
  <si>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</si>
  <si>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</si>
  <si>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</si>
  <si>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</si>
  <si>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</si>
  <si>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</si>
  <si>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</si>
  <si>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</si>
  <si>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</si>
  <si>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</si>
  <si>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</si>
  <si>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</si>
  <si>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</si>
  <si>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</si>
  <si>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</si>
  <si>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</si>
  <si>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</si>
  <si>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</si>
  <si>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</si>
  <si>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</si>
  <si>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</si>
  <si>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</si>
  <si>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</si>
  <si>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</si>
  <si>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</si>
  <si>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</si>
  <si>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</si>
  <si>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</si>
  <si>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</si>
  <si>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</si>
  <si>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</si>
  <si>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</si>
  <si>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</si>
  <si>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</si>
  <si>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</si>
  <si>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</si>
  <si>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</si>
  <si>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</si>
  <si>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</si>
  <si>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</si>
  <si>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</si>
  <si>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</si>
  <si>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</si>
  <si>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</si>
  <si>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</si>
  <si>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</si>
  <si>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</si>
  <si>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</si>
  <si>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</si>
  <si>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</si>
  <si>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</si>
  <si>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</si>
  <si>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</si>
  <si>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</si>
  <si>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</si>
  <si>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</si>
  <si>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</si>
  <si>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</si>
  <si>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</si>
  <si>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</si>
  <si>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</si>
  <si>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</si>
  <si>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</si>
  <si>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</si>
  <si>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</si>
  <si>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</si>
  <si>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</si>
  <si>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</si>
  <si>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</si>
  <si>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</si>
  <si>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</si>
  <si>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</si>
  <si>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</si>
  <si>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</si>
  <si>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</si>
  <si>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</si>
  <si>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</si>
  <si>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Duplicated</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</si>
  <si>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</si>
  <si>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</si>
  <si>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</si>
  <si>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</si>
  <si>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</si>
  <si>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</si>
  <si>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</si>
  <si>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</si>
  <si>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</si>
  <si>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</si>
  <si>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</si>
  <si>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</si>
  <si>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</si>
  <si>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</si>
  <si>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</si>
  <si>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</si>
  <si>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</si>
  <si>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</si>
  <si>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</si>
  <si>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</si>
  <si>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</si>
  <si>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</si>
  <si>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</si>
  <si>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</si>
  <si>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</si>
  <si>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</si>
  <si>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</si>
  <si>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</si>
  <si>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</si>
  <si>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</si>
  <si>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</si>
  <si>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</si>
  <si>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</si>
  <si>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</si>
  <si>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</si>
  <si>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</si>
  <si>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</si>
  <si>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</si>
  <si>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</si>
  <si>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</si>
  <si>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</si>
  <si>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</si>
  <si>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</si>
  <si>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</si>
  <si>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</si>
  <si>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</si>
  <si>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</si>
  <si>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</si>
  <si>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</si>
  <si>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</si>
  <si>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</si>
  <si>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</si>
  <si>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RRR_Checklist_ToSign</t>
  </si>
  <si>
    <t>RRR_Checklist_Total</t>
  </si>
  <si>
    <t>RRR_Checklist_TotalPass</t>
  </si>
  <si>
    <t>RRR_Checklist_FailSafety</t>
  </si>
  <si>
    <t>RRR_Checklist_FailTechnical</t>
  </si>
  <si>
    <t>RRR_Checklist_FailStandards</t>
  </si>
  <si>
    <t>RRR_Checklist_FailRecommended</t>
  </si>
  <si>
    <t>End</t>
  </si>
  <si>
    <t>None</t>
  </si>
  <si>
    <t>RRR_SafetyApprovedBy</t>
  </si>
  <si>
    <t>RRR_SafetyApprovedOn</t>
  </si>
  <si>
    <t>RRR_TechnicalApprovedBy</t>
  </si>
  <si>
    <t>RRR_TechnicalApprovedOn</t>
  </si>
  <si>
    <t>RRR_Inconsistencies</t>
  </si>
  <si>
    <t>RRR_InconsistenciesJustified</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</si>
  <si>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</si>
  <si>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</si>
  <si>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</si>
  <si>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</si>
  <si>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</si>
  <si>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</si>
  <si>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</si>
  <si>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</si>
  <si>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</si>
  <si>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</si>
  <si>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</si>
  <si>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</si>
  <si>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</si>
  <si>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</si>
  <si>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</si>
  <si>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</si>
  <si>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</si>
  <si>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</si>
  <si>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</si>
  <si>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</si>
  <si>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</si>
  <si>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</si>
  <si>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</si>
  <si>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</si>
  <si>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</si>
  <si>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</si>
  <si>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</si>
  <si>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</si>
  <si>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</si>
  <si>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</si>
  <si>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</si>
  <si>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</si>
  <si>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</si>
  <si>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</si>
  <si>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</si>
  <si>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</si>
  <si>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</si>
  <si>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</si>
  <si>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</si>
  <si>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</si>
  <si>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</si>
  <si>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</si>
  <si>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</si>
  <si>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</si>
  <si>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</si>
  <si>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</si>
  <si>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</si>
  <si>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</si>
  <si>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</si>
  <si>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</si>
  <si>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</si>
  <si>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</si>
  <si>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</si>
  <si>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</si>
  <si>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</si>
  <si>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</si>
  <si>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</si>
  <si>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</si>
  <si>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</si>
  <si>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</si>
  <si>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</si>
  <si>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</si>
  <si>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</si>
  <si>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</si>
  <si>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</si>
  <si>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</si>
  <si>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</si>
  <si>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</si>
  <si>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</si>
  <si>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</si>
  <si>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</si>
  <si>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</si>
  <si>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</si>
  <si>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</si>
  <si>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</si>
  <si>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</si>
  <si>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</si>
  <si>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</si>
  <si>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</si>
  <si>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</si>
  <si>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</si>
  <si>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</si>
  <si>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</si>
  <si>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</si>
  <si>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</si>
  <si>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</si>
  <si>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</si>
  <si>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</si>
  <si>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</si>
  <si>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</si>
  <si>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</si>
  <si>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</si>
  <si>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</si>
  <si>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</si>
  <si>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</si>
  <si>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</si>
  <si>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</si>
  <si>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</si>
  <si>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</si>
  <si>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</si>
  <si>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</si>
  <si>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</si>
  <si>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</si>
  <si>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</si>
  <si>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</si>
  <si>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</si>
  <si>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</si>
  <si>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</si>
  <si>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</si>
  <si>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</si>
  <si>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</si>
  <si>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</si>
  <si>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</si>
  <si>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</si>
  <si>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</si>
  <si>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</si>
  <si>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</si>
  <si>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</si>
  <si>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</si>
  <si>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</si>
  <si>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</si>
  <si>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</si>
  <si>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</si>
  <si>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</si>
  <si>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</si>
  <si>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</si>
  <si>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</si>
  <si>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</si>
  <si>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</si>
  <si>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</si>
  <si>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</si>
  <si>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</si>
  <si>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</si>
  <si>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</si>
  <si>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</si>
  <si>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</si>
  <si>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</si>
  <si>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</si>
  <si>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</si>
  <si>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</si>
  <si>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</si>
  <si>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</si>
  <si>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</si>
  <si>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</si>
  <si>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S.Q1200.50.1</t>
  </si>
  <si>
    <t>Issue 1.2</t>
  </si>
  <si>
    <t>S.Q1200.122.TBC</t>
  </si>
  <si>
    <t>GCSW Aunit Test Scripting Procedure</t>
  </si>
  <si>
    <t>Issue: 1.0</t>
  </si>
  <si>
    <t>Page/para</t>
  </si>
  <si>
    <t xml:space="preserve"> AH/1 </t>
  </si>
  <si>
    <t xml:space="preserve"> General </t>
  </si>
  <si>
    <t xml:space="preserve"> AH/2 </t>
  </si>
  <si>
    <t xml:space="preserve"> pg4 oara 2 </t>
  </si>
  <si>
    <t xml:space="preserve"> Typo: delete "section" in "which section is specific to ..." </t>
  </si>
  <si>
    <t xml:space="preserve"> AH/3 </t>
  </si>
  <si>
    <t xml:space="preserve"> last para </t>
  </si>
  <si>
    <t xml:space="preserve"> AH/4 </t>
  </si>
  <si>
    <t xml:space="preserve"> 1.9.5 </t>
  </si>
  <si>
    <t xml:space="preserve"> Para 2, first sentence </t>
  </si>
  <si>
    <t xml:space="preserve"> Poor grammar in first sentence.</t>
  </si>
  <si>
    <t xml:space="preserve"> AH/5 </t>
  </si>
  <si>
    <t xml:space="preserve"> 1.9.6 </t>
  </si>
  <si>
    <t xml:space="preserve"> Second bullet of the list starting "The way in which these are used are:" </t>
  </si>
  <si>
    <t xml:space="preserve"> Unclear first sentence.</t>
  </si>
  <si>
    <t xml:space="preserve"> AH/6 </t>
  </si>
  <si>
    <t xml:space="preserve"> First Todo </t>
  </si>
  <si>
    <t xml:space="preserve"> AH/7 </t>
  </si>
  <si>
    <t xml:space="preserve"> 1.10.1 </t>
  </si>
  <si>
    <t xml:space="preserve"> Definition of inputs/outputs </t>
  </si>
  <si>
    <t xml:space="preserve"> AH/8 </t>
  </si>
  <si>
    <t xml:space="preserve"> 1.10.3 </t>
  </si>
  <si>
    <t xml:space="preserve"> Bullet 3 </t>
  </si>
  <si>
    <t xml:space="preserve"> AH/9 </t>
  </si>
  <si>
    <t xml:space="preserve"> 1.10.4 </t>
  </si>
  <si>
    <t xml:space="preserve"> Bullet 1 </t>
  </si>
  <si>
    <t xml:space="preserve"> Is the consequence of this that users would always have to add "global =&gt; null" whenever an operation does not use globals? This feels like a bit of an overhead.</t>
  </si>
  <si>
    <t xml:space="preserve"> AH/10 </t>
  </si>
  <si>
    <t xml:space="preserve"> Todo </t>
  </si>
  <si>
    <t xml:space="preserve"> The Todo contradicts the text in this section. One or the other should be removed.</t>
  </si>
  <si>
    <t xml:space="preserve"> AH/11 </t>
  </si>
  <si>
    <t xml:space="preserve"> 5.5.3 </t>
  </si>
  <si>
    <t xml:space="preserve"> Syntax section </t>
  </si>
  <si>
    <t xml:space="preserve"> AH/12 </t>
  </si>
  <si>
    <t xml:space="preserve"> 2nd para </t>
  </si>
  <si>
    <t xml:space="preserve"> [SPARK] should be replaced in the reST source with |SPARK|.</t>
  </si>
  <si>
    <t xml:space="preserve"> AH/13 </t>
  </si>
  <si>
    <t xml:space="preserve"> 6.1.2 </t>
  </si>
  <si>
    <t xml:space="preserve"> NA </t>
  </si>
  <si>
    <t xml:space="preserve"> Please consider including forward references to the sections that define Global, Depends and Contract_Cases</t>
  </si>
  <si>
    <t xml:space="preserve"> AH/14 </t>
  </si>
  <si>
    <t xml:space="preserve"> 6.1.4 </t>
  </si>
  <si>
    <t xml:space="preserve"> Static Semantics </t>
  </si>
  <si>
    <t xml:space="preserve"> "A global_item is referenced if: It is an input or an output of the subprogram" needs to be extended to cover globals in subprograms called directly or indirectly.</t>
  </si>
  <si>
    <t xml:space="preserve"> AH/15 </t>
  </si>
  <si>
    <t xml:space="preserve"> Verification rules </t>
  </si>
  <si>
    <t xml:space="preserve"> Typo: "is a analyzed" =&gt; "is analyzed"</t>
  </si>
  <si>
    <t xml:space="preserve"> AH/16 </t>
  </si>
  <si>
    <t xml:space="preserve"> 6.1.5 </t>
  </si>
  <si>
    <t xml:space="preserve"> Language definition para 2 </t>
  </si>
  <si>
    <t xml:space="preserve"> Shouldn't we state in here "on at least one path"?</t>
  </si>
  <si>
    <t xml:space="preserve"> AH/17 </t>
  </si>
  <si>
    <t xml:space="preserve"> 6.1.7 </t>
  </si>
  <si>
    <t xml:space="preserve"> 2nd Para  </t>
  </si>
  <si>
    <t xml:space="preserve"> Two typos corrected in this version: "If **a** call is made, directly or indirectly, to this function other than in a**n** assertion expression which is not a subtype predicate, or if the assertion policy Ignore is not selected, an error will be reported when an attempt is made to build and execute the program."</t>
  </si>
  <si>
    <t xml:space="preserve"> AH/18 </t>
  </si>
  <si>
    <t xml:space="preserve"> 6.3.3 </t>
  </si>
  <si>
    <t xml:space="preserve"> Firsts para </t>
  </si>
  <si>
    <t xml:space="preserve"> Typo: "its its".</t>
  </si>
  <si>
    <t xml:space="preserve"> AH/19 </t>
  </si>
  <si>
    <t xml:space="preserve"> I expected some mention of state refinement here. Please provide a forward reference to the relevant subsection of section 7. Nb this comment also applies to section 6.3.4.</t>
  </si>
  <si>
    <t xml:space="preserve"> AH/20 </t>
  </si>
  <si>
    <t xml:space="preserve"> 6.4.2 </t>
  </si>
  <si>
    <t xml:space="preserve"> Verification rule 21 </t>
  </si>
  <si>
    <t xml:space="preserve"> Typo: "one of corresponding".</t>
  </si>
  <si>
    <t xml:space="preserve"> AH/21 </t>
  </si>
  <si>
    <t xml:space="preserve"> 7.1.3 </t>
  </si>
  <si>
    <t xml:space="preserve"> Legality rule 5 </t>
  </si>
  <si>
    <t xml:space="preserve"> We decided to remove the "Integrity" aspect if Secunet confirmed they didn't need it. Was this discussed in the meeting in Paris?</t>
  </si>
  <si>
    <t xml:space="preserve"> AH/22 </t>
  </si>
  <si>
    <t xml:space="preserve"> Static semantics bullet 4 (counting manually) </t>
  </si>
  <si>
    <t xml:space="preserve"> Typo: It seems wrong to have a rule in square brackets. It suggests it isn't relly a rule.</t>
  </si>
  <si>
    <t xml:space="preserve"> AH/23 </t>
  </si>
  <si>
    <t xml:space="preserve"> Opening para. </t>
  </si>
  <si>
    <t xml:space="preserve"> The opening para doesn't appear to be a complete intro to the section or a definition that is particularly relevant to just this section.</t>
  </si>
  <si>
    <t xml:space="preserve"> AH/24 </t>
  </si>
  <si>
    <t xml:space="preserve"> Requirement </t>
  </si>
  <si>
    <t xml:space="preserve"> This high-level requirement and rationale don't justify the need to raise exceptions, in fact the rationale implies that we shouldn't!</t>
  </si>
  <si>
    <t xml:space="preserve"> AH/25 </t>
  </si>
  <si>
    <t xml:space="preserve"> Second para of legality rules </t>
  </si>
  <si>
    <t xml:space="preserve"> AH/26 </t>
  </si>
  <si>
    <t xml:space="preserve"> Appendix A </t>
  </si>
  <si>
    <t xml:space="preserve"> This section has not been reviewed by the review team. Recommend that it is either reviewed by the authors and updated or excluded from the version that goes to the advisory panel.</t>
  </si>
  <si>
    <t xml:space="preserve"> AH/27 </t>
  </si>
  <si>
    <t xml:space="preserve"> I've just realised that I've read some detail on Ghost Functions but didn't see anything on Ghost Types and Ghost Variables.</t>
  </si>
  <si>
    <t xml:space="preserve"> AH/28 </t>
  </si>
  <si>
    <t xml:space="preserve"> [M213-043] has been discussing whether or not a global aspect must always be put in place manually whenever there is a depends aspect that references globals. The conclusion of this discussion may affect the RM.</t>
  </si>
  <si>
    <t xml:space="preserve"> SM/1 </t>
  </si>
  <si>
    <t xml:space="preserve"> Copyright </t>
  </si>
  <si>
    <t xml:space="preserve"> Copyright should be Altran UK Ltd</t>
  </si>
  <si>
    <t xml:space="preserve"> SM/2 </t>
  </si>
  <si>
    <t xml:space="preserve"> SM to confirm use of GFDL with Romain. Probably ok.</t>
  </si>
  <si>
    <t xml:space="preserve"> SM/3 </t>
  </si>
  <si>
    <t xml:space="preserve"> Introduction</t>
  </si>
  <si>
    <t xml:space="preserve"> 3/3</t>
  </si>
  <si>
    <t xml:space="preserve"> Are there really Aspects that are defined to support the interface between tested and proven units? - which ones?</t>
  </si>
  <si>
    <t xml:space="preserve"> SM/4</t>
  </si>
  <si>
    <t xml:space="preserve"> 3/5</t>
  </si>
  <si>
    <t xml:space="preserve"> GNAT (in caps)</t>
  </si>
  <si>
    <t xml:space="preserve"> SM/5</t>
  </si>
  <si>
    <t xml:space="preserve"> 3/7</t>
  </si>
  <si>
    <t xml:space="preserve"> Reword "... Given ... gives ... given" eg. replace last "given" by "specified"</t>
  </si>
  <si>
    <t xml:space="preserve"> SM/6</t>
  </si>
  <si>
    <t xml:space="preserve"> 4/bullet 1</t>
  </si>
  <si>
    <t xml:space="preserve"> Typo "aspect and pragamas" -&gt; "aspects and pragmas"</t>
  </si>
  <si>
    <t xml:space="preserve"> SM/7</t>
  </si>
  <si>
    <t xml:space="preserve"> We need a note somewhere that the pragmas are still to be added to the LRM.</t>
  </si>
  <si>
    <t xml:space="preserve"> SM/8</t>
  </si>
  <si>
    <t xml:space="preserve"> 5/bullet 3</t>
  </si>
  <si>
    <t xml:space="preserve"> Strictly speaking, a check can't be raised, so some rewording needed here.</t>
  </si>
  <si>
    <t xml:space="preserve"> SM/9</t>
  </si>
  <si>
    <t xml:space="preserve"> 5/last para of 1.5</t>
  </si>
  <si>
    <t xml:space="preserve"> Suggest you either define "formal program verification" (or maybe just "formal verification") as "formal verification of robustness properties and functional properties taken together" (similar to how "flow analysis" is defined).</t>
  </si>
  <si>
    <t xml:space="preserve"> SM/10</t>
  </si>
  <si>
    <t xml:space="preserve"> General</t>
  </si>
  <si>
    <t xml:space="preserve"> n/a</t>
  </si>
  <si>
    <t xml:space="preserve"> *Not for this draft* - ToDo: consider adding a glossary with terms such as "flow analysis" and "formal [program] verification" defined.</t>
  </si>
  <si>
    <t xml:space="preserve"> SM/11</t>
  </si>
  <si>
    <t xml:space="preserve"> 1.5.1</t>
  </si>
  <si>
    <t xml:space="preserve"> 5/2</t>
  </si>
  <si>
    <t xml:space="preserve"> Is talking about an Assume as an assertion strictly correct? Maybe this will become clearer  when the Proof Statements section has been added.</t>
  </si>
  <si>
    <t xml:space="preserve"> SM/12</t>
  </si>
  <si>
    <t xml:space="preserve"> 5/final para of 1.5.1</t>
  </si>
  <si>
    <t xml:space="preserve"> The first sentence needs to be reworded. It could be read as saying that the tools will give a different answer depending on the platform they are run on. I know this isn't what it is supposed to say. "Note that formal verification must take account of the environment in which a program will be executed"?</t>
  </si>
  <si>
    <t xml:space="preserve"> SM/13</t>
  </si>
  <si>
    <t xml:space="preserve"> 5/second para of 1.6</t>
  </si>
  <si>
    <t xml:space="preserve"> I'm not sure "invalid" is the right word. "unverified"?</t>
  </si>
  <si>
    <t xml:space="preserve"> SM/14</t>
  </si>
  <si>
    <t xml:space="preserve"> 1.7.1</t>
  </si>
  <si>
    <t xml:space="preserve"> Suggest starting para with "Code Policies" rather than "Guidelines".</t>
  </si>
  <si>
    <t xml:space="preserve"> SM/15</t>
  </si>
  <si>
    <t xml:space="preserve"> </t>
  </si>
  <si>
    <t xml:space="preserve"> Is the use of square brackets used to denote something? If not, suggest use of normal brackets.</t>
  </si>
  <si>
    <t xml:space="preserve"> SM/16</t>
  </si>
  <si>
    <t xml:space="preserve"> 7/bullet 1</t>
  </si>
  <si>
    <t xml:space="preserve"> Delete "although" and start new sentence.</t>
  </si>
  <si>
    <t xml:space="preserve"> SM/17</t>
  </si>
  <si>
    <t xml:space="preserve"> 8/bullet 4</t>
  </si>
  <si>
    <t xml:space="preserve"> We need to loosen this statement - we are considering not re-implementing the integrity contract.</t>
  </si>
  <si>
    <t xml:space="preserve"> SM/18</t>
  </si>
  <si>
    <t xml:space="preserve"> 1.9.1</t>
  </si>
  <si>
    <t xml:space="preserve"> 9/bullet 6</t>
  </si>
  <si>
    <t xml:space="preserve"> "tools"-&gt;"language".</t>
  </si>
  <si>
    <t xml:space="preserve"> SM/19</t>
  </si>
  <si>
    <t xml:space="preserve"> 1.9.2</t>
  </si>
  <si>
    <t xml:space="preserve"> 9/5</t>
  </si>
  <si>
    <t xml:space="preserve"> Insert "at least" before "as good as".</t>
  </si>
  <si>
    <t xml:space="preserve"> SM/20</t>
  </si>
  <si>
    <t xml:space="preserve"> 1.9.3</t>
  </si>
  <si>
    <t xml:space="preserve"> 10/bullet 1</t>
  </si>
  <si>
    <t xml:space="preserve"> How could something as specific as being an ATM system drive a code policy - other than being by virtue of a standard? Just "Server class" is ok, or maybe "Server class information systems"?</t>
  </si>
  <si>
    <t xml:space="preserve"> SM/21</t>
  </si>
  <si>
    <t xml:space="preserve"> 1.9.5</t>
  </si>
  <si>
    <t xml:space="preserve"> 11/2</t>
  </si>
  <si>
    <t xml:space="preserve"> Something wrong with grammar of first sentence.</t>
  </si>
  <si>
    <t xml:space="preserve"> SM/22</t>
  </si>
  <si>
    <t xml:space="preserve"> 1.9.6</t>
  </si>
  <si>
    <t xml:space="preserve"> 13/2</t>
  </si>
  <si>
    <t xml:space="preserve"> Do we say what this new aspect is somewhere - or is that part of the ToDo?</t>
  </si>
  <si>
    <t xml:space="preserve"> SM/23</t>
  </si>
  <si>
    <t xml:space="preserve"> 1.10.1</t>
  </si>
  <si>
    <t xml:space="preserve"> Suggest term being defined is highlighted or italicised.</t>
  </si>
  <si>
    <t xml:space="preserve"> SM/24</t>
  </si>
  <si>
    <t xml:space="preserve"> Why "interim"?</t>
  </si>
  <si>
    <t xml:space="preserve"> SM/25</t>
  </si>
  <si>
    <t xml:space="preserve"> Number missing from legaility rule 2.</t>
  </si>
  <si>
    <t xml:space="preserve"> SM/26</t>
  </si>
  <si>
    <t xml:space="preserve"> 10.1 (and elsewhere?)</t>
  </si>
  <si>
    <t xml:space="preserve"> Suggest we either hide Notes in the issued draft or tidy-up the language a bit "... I don't understand ..." seems a bit informal.</t>
  </si>
  <si>
    <t xml:space="preserve"> SM/27</t>
  </si>
  <si>
    <t xml:space="preserve"> "toolset"-&gt;"language".</t>
  </si>
  <si>
    <t xml:space="preserve"> SM/28</t>
  </si>
  <si>
    <t xml:space="preserve"> A</t>
  </si>
  <si>
    <t xml:space="preserve"> 75 onwards</t>
  </si>
  <si>
    <t xml:space="preserve"> We should include an up-to-date mapping spec if we can do so without delaying release of the document.</t>
  </si>
  <si>
    <t xml:space="preserve"> JEB01</t>
  </si>
  <si>
    <t xml:space="preserve"> para 1.</t>
  </si>
  <si>
    <t xml:space="preserve"> Typo: "with subsequent releases of the toolset" (not software) to be consistent with earlier text.</t>
  </si>
  <si>
    <t xml:space="preserve"> JEB02</t>
  </si>
  <si>
    <t xml:space="preserve"> last line.</t>
  </si>
  <si>
    <t xml:space="preserve"> Mandatory : What are you trying to convey here. Clearly the content of the document may change when the document is updated. Do you actually mean that the target of particular scope of work may change?</t>
  </si>
  <si>
    <t xml:space="preserve"> JEB03</t>
  </si>
  <si>
    <t xml:space="preserve"> Item 1.</t>
  </si>
  <si>
    <t xml:space="preserve"> Typos: expression -&gt; expressions AND pragamas -&gt; pragmas.</t>
  </si>
  <si>
    <t xml:space="preserve"> JEB04</t>
  </si>
  <si>
    <t xml:space="preserve"> Desirable: The use of hyperlink cross references that refer to names rather than section numbers makes a print-out of the document hard to navigate. Would it be possible to include the section number / page number in these cross references too?</t>
  </si>
  <si>
    <t xml:space="preserve"> JEB05</t>
  </si>
  <si>
    <t xml:space="preserve"> 1.7.2</t>
  </si>
  <si>
    <t xml:space="preserve"> Final</t>
  </si>
  <si>
    <t xml:space="preserve"> Typo: easier to read as "... belong in this document, in future it...." (replace "then" with ",")</t>
  </si>
  <si>
    <t xml:space="preserve"> JEB06</t>
  </si>
  <si>
    <t>1.7.4</t>
  </si>
  <si>
    <t xml:space="preserve"> Final sentence</t>
  </si>
  <si>
    <t xml:space="preserve"> Typo: replace "that" with "this" I think. "Where greater precision is required, this will..."</t>
  </si>
  <si>
    <t xml:space="preserve"> JEB07</t>
  </si>
  <si>
    <t xml:space="preserve"> 1.7.5</t>
  </si>
  <si>
    <t xml:space="preserve"> Desirable: Could we cross reference section 1.10 here? End of chapter is a bit vague especially as the final section in this chapter is Notes on the current draft.</t>
  </si>
  <si>
    <t xml:space="preserve"> JEB08</t>
  </si>
  <si>
    <t xml:space="preserve"> para 7.</t>
  </si>
  <si>
    <t xml:space="preserve"> Typo: "but a may" should read "but may"</t>
  </si>
  <si>
    <t xml:space="preserve"> JEB09 </t>
  </si>
  <si>
    <t xml:space="preserve">  page 8 para 2.</t>
  </si>
  <si>
    <t xml:space="preserve"> Desirable: Phrase "are only partly within the SPARK 2014 language and other parts in another language" is difficult to read, perhaps replace "and" with "with" or replace "and other parts in another language" with "where other parts are in another language".</t>
  </si>
  <si>
    <t xml:space="preserve"> JEB10</t>
  </si>
  <si>
    <t xml:space="preserve"> page 8 para 2</t>
  </si>
  <si>
    <t xml:space="preserve"> Mandatory: Why "|SPARK|"? is this some control sequence?</t>
  </si>
  <si>
    <t xml:space="preserve"> JEB11</t>
  </si>
  <si>
    <t xml:space="preserve"> page 8</t>
  </si>
  <si>
    <t xml:space="preserve"> Mandatory: The statement "Support for specifying and verifying properties of secure systems shall be improved" is a very weak statement, improved as compared with what?</t>
  </si>
  <si>
    <t xml:space="preserve"> JEB12</t>
  </si>
  <si>
    <t xml:space="preserve"> page 8 Final bullet</t>
  </si>
  <si>
    <t xml:space="preserve"> Desirable: I don't like the use of the word "significant". Do you mean "observable effect" or "discernable effect".</t>
  </si>
  <si>
    <t xml:space="preserve"> JEB13</t>
  </si>
  <si>
    <t xml:space="preserve"> Desirable: It would be useful to make a statement as to which milestone this document corresponds to. Throughout we refer to things being deferred to Milestone A or Release B. I would like to see something that states that this is Milestone X version so that we know how soon deferred material will appear and it would enable checking that there are no references to past milestones.</t>
  </si>
  <si>
    <t xml:space="preserve"> JEB14</t>
  </si>
  <si>
    <t xml:space="preserve"> Observation: Will generative analysis support abstract state? Or will it be based purely on the concrete state.</t>
  </si>
  <si>
    <t xml:space="preserve"> JEB15</t>
  </si>
  <si>
    <t>4.1.4</t>
  </si>
  <si>
    <t xml:space="preserve"> Second ToDo</t>
  </si>
  <si>
    <t xml:space="preserve"> Observation: As Language Defined attributes form Appendix K of the ARM I suggest that the supported Attributes should be presented in an appendix.</t>
  </si>
  <si>
    <t xml:space="preserve"> JEB16</t>
  </si>
  <si>
    <t xml:space="preserve"> Sections 2 onward</t>
  </si>
  <si>
    <t xml:space="preserve"> Desirable: Where language restrictions are made it would be nice if there was a trace back to the strategic requirement that causes the restriction. I think this would help motivate the restrictions.</t>
  </si>
  <si>
    <t xml:space="preserve"> JEB17</t>
  </si>
  <si>
    <t xml:space="preserve"> Item 1</t>
  </si>
  <si>
    <t xml:space="preserve"> Desirable: Put delay_statement before abort_statement to match order in ARM.</t>
  </si>
  <si>
    <t xml:space="preserve"> JEB0</t>
  </si>
  <si>
    <t xml:space="preserve"> page 31 para 2</t>
  </si>
  <si>
    <t xml:space="preserve"> Mandatory: Why "[SPARK]" is this a control sequence that should be expanded to SPARK 2014?</t>
  </si>
  <si>
    <t>6.1.3</t>
  </si>
  <si>
    <t xml:space="preserve"> page 33</t>
  </si>
  <si>
    <t xml:space="preserve"> Desirable: Is the function "Exactly_One_Of" defined somewhere? Surely this expands to   (A1 and not A2 and not ... and not An) Or (not A1 and A2 and not ... and not An) Or ... Or (not A1 and not A2 and not ... and An) </t>
  </si>
  <si>
    <t xml:space="preserve"> JEB18</t>
  </si>
  <si>
    <t xml:space="preserve"> 6.1.3</t>
  </si>
  <si>
    <t xml:space="preserve"> page 34 Verification Rule 1</t>
  </si>
  <si>
    <t xml:space="preserve"> Typo : "has to proven" should read "has to be proven"</t>
  </si>
  <si>
    <t xml:space="preserve"> JEB19</t>
  </si>
  <si>
    <t xml:space="preserve"> 6.1.4</t>
  </si>
  <si>
    <t xml:space="preserve"> page 35 first para</t>
  </si>
  <si>
    <t xml:space="preserve"> Observation : I take it that in this requirement the formal parameter referred to is a formal parameter of an enclosing subprogram, otherwise it would suggest that global lists include the formal parameters of the subprogram declaration with which they are associated.</t>
  </si>
  <si>
    <t xml:space="preserve"> JEB20</t>
  </si>
  <si>
    <t xml:space="preserve"> page 35 Semantics last requirement</t>
  </si>
  <si>
    <t xml:space="preserve"> Desirable: I assume that In_Out is both and input and an output mode. Would this not be clearer to state that a global data item that is only used in a proof context must have a Proof_In mode?</t>
  </si>
  <si>
    <t xml:space="preserve"> JEB21</t>
  </si>
  <si>
    <t xml:space="preserve"> page 36 Dynamic Semantics</t>
  </si>
  <si>
    <t xml:space="preserve"> Typo : "Global aspect" not just "Global" to be consistent with rest of section.</t>
  </si>
  <si>
    <t xml:space="preserve"> JEB22</t>
  </si>
  <si>
    <t xml:space="preserve"> 6.3.3</t>
  </si>
  <si>
    <t xml:space="preserve"> page 42 First para in section</t>
  </si>
  <si>
    <t xml:space="preserve"> Typo: "its its" should read "its". Remove duplicate word.</t>
  </si>
  <si>
    <t xml:space="preserve"> JEB23</t>
  </si>
  <si>
    <t xml:space="preserve"> 6.3.3 and 6.3.4</t>
  </si>
  <si>
    <t xml:space="preserve"> Comment withdrawn</t>
  </si>
  <si>
    <t xml:space="preserve"> JEB24</t>
  </si>
  <si>
    <t>6.4.2</t>
  </si>
  <si>
    <t xml:space="preserve"> page 44 Verification rules 1</t>
  </si>
  <si>
    <t xml:space="preserve"> Typo: "at least one of corresponding" should read "at least one of the corresponding"</t>
  </si>
  <si>
    <t xml:space="preserve"> JEB25</t>
  </si>
  <si>
    <t xml:space="preserve"> 6.4.2</t>
  </si>
  <si>
    <t xml:space="preserve"> page 44 Verification rules 2 and 3</t>
  </si>
  <si>
    <t xml:space="preserve"> I would prefer to see these two rules reworded in the form "In SPARK 2014, a procedure call shall not pass..." The current wording is a bit difficult to read and not as formal as other rules, also it would be helpful if each rule statement was stand alone.</t>
  </si>
  <si>
    <t xml:space="preserve"> JEB26</t>
  </si>
  <si>
    <t xml:space="preserve"> page 47 second para.</t>
  </si>
  <si>
    <t xml:space="preserve"> Observation: is it possible to avoid the double negative here.</t>
  </si>
  <si>
    <t xml:space="preserve"> JEB27</t>
  </si>
  <si>
    <t xml:space="preserve"> 7.1.2</t>
  </si>
  <si>
    <t xml:space="preserve"> page 48 para 2</t>
  </si>
  <si>
    <t xml:space="preserve"> Desirable: the use of the word "may" here suggests that the Volatile Input can appear as an Output in global aspects is that really possible? Similarly for Volatile Output.</t>
  </si>
  <si>
    <t xml:space="preserve"> JEB28</t>
  </si>
  <si>
    <t xml:space="preserve"> 7.1.3</t>
  </si>
  <si>
    <t xml:space="preserve"> page 48 item 1 Rationale</t>
  </si>
  <si>
    <t xml:space="preserve"> Typo: "since modular is analysis performed" should read "since modular analysis is performed"</t>
  </si>
  <si>
    <t xml:space="preserve"> JEB29</t>
  </si>
  <si>
    <t xml:space="preserve"> page 50</t>
  </si>
  <si>
    <t xml:space="preserve"> Typo, should the static semantics numbered items restart from 1 twice (following notes)?</t>
  </si>
  <si>
    <t xml:space="preserve"> JEB30</t>
  </si>
  <si>
    <t xml:space="preserve"> page 50 second item 2.</t>
  </si>
  <si>
    <t xml:space="preserve"> Typo, "specification is is" should read "specification is"</t>
  </si>
  <si>
    <t xml:space="preserve"> JEB31</t>
  </si>
  <si>
    <t xml:space="preserve"> page 50 Verification Rules</t>
  </si>
  <si>
    <t xml:space="preserve"> Typo, "Verification Rules" is capitalised here but "dynamic semantics" is not in the next para. Which is right?</t>
  </si>
  <si>
    <t xml:space="preserve"> JEB32</t>
  </si>
  <si>
    <t xml:space="preserve"> 7.1.5</t>
  </si>
  <si>
    <t xml:space="preserve"> page 52 items 2 and 3</t>
  </si>
  <si>
    <t xml:space="preserve"> Typo: I think you mean "initial condition specific" not "initializes-specific" in both these paras.</t>
  </si>
  <si>
    <t xml:space="preserve"> JEB33</t>
  </si>
  <si>
    <t xml:space="preserve"> 7.2.6</t>
  </si>
  <si>
    <t xml:space="preserve"> page 56 para 7 (3rd requirement, 2nd bullet)</t>
  </si>
  <si>
    <t xml:space="preserve"> Desirable: This would be easier to read as "Abstract(X) does not have another mode" rather than "Abstract(X) will not have another mode".</t>
  </si>
  <si>
    <t xml:space="preserve"> JEB34</t>
  </si>
  <si>
    <t xml:space="preserve"> Appendix A</t>
  </si>
  <si>
    <t xml:space="preserve"> Through-out (eg page 113 code line 24, page 120 code line 13)</t>
  </si>
  <si>
    <t xml:space="preserve"> Desirable: I appreciate that the appendix was not subject to review but if it is being published with the remaining LRM then I really think that the examples must match the LRM. In particular the use of "Refined_ " aspects is very patchy in the appendix. Originally this caused me to believe that the material in 6.3.3 and 6.3.4 regarding where Global and Depends aspects may appear were wrong.</t>
  </si>
  <si>
    <t xml:space="preserve"> JEB35</t>
  </si>
  <si>
    <t xml:space="preserve"> Observation: Much improved from last time. Note that I have not commented where I feel the subsequent "ToDo" addresses a weakness in the preceding text.</t>
  </si>
  <si>
    <t xml:space="preserve"> title page</t>
  </si>
  <si>
    <t xml:space="preserve"> It still says Altran Praxis</t>
  </si>
  <si>
    <t xml:space="preserve"> I thought we were going to move to references that included section
numbers to allow people to read printed copies? NB I don't mind personally but if another senior reviewer has previously suggested it we should try to do it or have a good reason for note doing it.</t>
  </si>
  <si>
    <t xml:space="preserve"> This para restricts the operation of the tools by mandating an ordering
but I don't think this is necessary. However, it is probably worth stating things like: flow analysis is not valid and may not be possible if the legality rules are not met. </t>
  </si>
  <si>
    <t xml:space="preserve"> The first Todo appears to contain a heading, making it look like the Todo
is empty.</t>
  </si>
  <si>
    <t xml:space="preserve"> Does this definition include globals of the subprogram? I suspect it does
but as you explicitly state formal parameters are included but don't explicitly state globals then it becomes less clear.</t>
  </si>
  <si>
    <t xml:space="preserve"> I thought we were planning on analysing fields in records independently.
This requirement may therefore be relaxed. This needs discussion before making any changes.</t>
  </si>
  <si>
    <t>AH</t>
  </si>
  <si>
    <t>SM</t>
  </si>
  <si>
    <t>JEB</t>
  </si>
  <si>
    <t>FS</t>
  </si>
  <si>
    <r>
      <t xml:space="preserve"> The second para appears to contain a contradiction "Raise expressions are not in SPARK 2014; for a raise statement to be in SPARK 2014" unless there is a subtlety to the terms "raise expression" and "raise statement" that I'm not aware of.
</t>
    </r>
    <r>
      <rPr>
        <sz val="10"/>
        <color rgb="FFFF0000"/>
        <rFont val="Franklin Gothic Book"/>
        <family val="2"/>
      </rPr>
      <t>Further comment from Gary Dismukes:
There is such a subtlety. 
Raise_expression is a feature discussed by the ARG (AI12-0022)
that can be used to specify an exception to be raised for assertions
(among other things).  It allows a raise to occur in expression
contexts.  This feature is being added "retroactively" to Ada 2012.
See:
http://www.ada-auth.org/cgi-bin/cvsweb.cgi/ai12s/ai12-0022-1.txt?rev=1.8
-- Gary</t>
    </r>
  </si>
  <si>
    <r>
      <t xml:space="preserve"> Is this Syntax section supposed to be complete? The Todo suggests it isn't. If it is supposed to be complete then "discrete_expression" needs to be defined.
</t>
    </r>
    <r>
      <rPr>
        <sz val="10"/>
        <color rgb="FFFF0000"/>
        <rFont val="Franklin Gothic Book"/>
        <family val="2"/>
      </rPr>
      <t>Further comment from Steve Baird:
One problem here is that "discrete_" should be italicized.
The Ada RM (1.1.4(14)) says:
  If the name of any syntactic category starts with an italicized part,
  it is equivalent to the category name without the italicized part.
  The italicized part is intended to convey some semantic information.
  For example subtype_name and task_name are both equivalent to name
  alone.
with "subtype_" and "task_" in the above text italicized.
The "provide detail" todo note seems to refer to the fact that
(for reasons that are unclear to me) the definitions of these
constructs have been removed.
  -- Steve</t>
    </r>
  </si>
  <si>
    <t>All references to Praxis
concerted to Altran.</t>
  </si>
  <si>
    <t>Y</t>
  </si>
  <si>
    <t>JIB</t>
  </si>
  <si>
    <t>Updated</t>
  </si>
  <si>
    <t>Duplicate of AH/26.</t>
  </si>
  <si>
    <t>Fixed</t>
  </si>
  <si>
    <t>Done</t>
  </si>
  <si>
    <t>Duplicate of AH/20.</t>
  </si>
  <si>
    <t>Duplicate of AH/18.</t>
  </si>
  <si>
    <t>Should be capitalised;
has now been corrected.</t>
  </si>
  <si>
    <t>This will automatically
be corrected when the notes are removed.</t>
  </si>
  <si>
    <t>Duplicate of AH/12.</t>
  </si>
  <si>
    <t>Corrected.</t>
  </si>
  <si>
    <t>I was trying not to refer
to the actual syntax in the higher-level requirements. I think this is clear enough as
it is.</t>
  </si>
  <si>
    <t>Added explanatory text.</t>
  </si>
  <si>
    <t>Added text to indicate
that currently no 
extensions or restrictions identified.</t>
  </si>
  <si>
    <t>A note has been added
to the ToDo.</t>
  </si>
  <si>
    <t>Corrected</t>
  </si>
  <si>
    <t>Text updated</t>
  </si>
  <si>
    <t>Statement removed as
it was partially incorrect and is covered elsewhere.</t>
  </si>
  <si>
    <t>Duplicate of SM/6.</t>
  </si>
  <si>
    <t>6.3.3, 6.3.4</t>
  </si>
  <si>
    <t>42, 43</t>
  </si>
  <si>
    <t>These sections just talk about Global and Depends aspects respectively. Do
the rules need to reflect the possibility of having a Refined_Global or Refined_Depends aspect?</t>
  </si>
  <si>
    <t>It doesn't appear to be
possible to do this in ReST.</t>
  </si>
  <si>
    <t>This is just because of
where it falls on the
page (i.e. there is only enough space at the bottom of the page to include ToDo, rather than the text of the ToDo.</t>
  </si>
  <si>
    <t>That is the
consequence: but it is needed if we are going to do generative analysis, since we need to distinguish between  a missing global and the intention to have no globals.</t>
  </si>
  <si>
    <t>Duplicate of AH/1.</t>
  </si>
  <si>
    <t>Note added.</t>
  </si>
  <si>
    <t>Updated to say "observable".</t>
  </si>
  <si>
    <t>Sentence removed.</t>
  </si>
  <si>
    <t>Word removed</t>
  </si>
  <si>
    <t>Terms have been
italicised.</t>
  </si>
  <si>
    <t>To be left in for the
moment; this will be discussed at the Advisory Panel.</t>
  </si>
  <si>
    <t>The definition of input
and output is given in
the Static Section in 6.1, and this covers what you want.</t>
  </si>
  <si>
    <t>That isn't necessary in
explanatory text and is
instead made clear in the relevant rule/s.</t>
  </si>
  <si>
    <t>They denote text that is
redundant in terms of information content, in that it just attempts to make the explanation clearer.</t>
  </si>
  <si>
    <t>Text added to say we
won't do this where
customers haven't found the language feature useful.</t>
  </si>
  <si>
    <t>Duplicate of AH/4.</t>
  </si>
  <si>
    <t>It is part of the ToDo.</t>
  </si>
  <si>
    <t>Text update to make
clear that content in scope for this draft issue will only be regarded as definitive when the final document is ready.</t>
  </si>
  <si>
    <t xml:space="preserve">Have provided a
natural language definition. </t>
  </si>
  <si>
    <t>We refer throughout to
the SPARK 2014 language and toolset. I have updated the text to make sure it always refers to both, rather than just the toolset.</t>
  </si>
  <si>
    <t xml:space="preserve"> FS/01</t>
  </si>
  <si>
    <t>JIB/01</t>
  </si>
  <si>
    <t xml:space="preserve"> 3.2.4 </t>
  </si>
  <si>
    <t xml:space="preserve"> YM03 </t>
  </si>
  <si>
    <t xml:space="preserve"> The LRM says that SPARK 2014 pragmas either have no dynamics semantics, or are used "to define assertions whose success shall be proven statically". This is not the case, as Loop_Invariant and Loop_Variant can perfectly be used for their dynamic role only.</t>
  </si>
  <si>
    <t xml:space="preserve"> 6/2 </t>
  </si>
  <si>
    <t xml:space="preserve"> YM02 </t>
  </si>
  <si>
    <t xml:space="preserve"> The Verification Rules are presented as enforcement of flow analysis only. This is not the case, for example Verification Rules for Loop_Invariant have nothing to do with flow analysis.</t>
  </si>
  <si>
    <t xml:space="preserve"> 5/1st para after bullet points </t>
  </si>
  <si>
    <t xml:space="preserve"> YM01 </t>
  </si>
  <si>
    <t xml:space="preserve"> 58 - 59 </t>
  </si>
  <si>
    <t xml:space="preserve"> 7.2.8 &amp; 7.2.9 </t>
  </si>
  <si>
    <t xml:space="preserve"> JK6 </t>
  </si>
  <si>
    <t xml:space="preserve"> 4/1-4 </t>
  </si>
  <si>
    <t xml:space="preserve"> JK5 </t>
  </si>
  <si>
    <t xml:space="preserve"> 3/5 </t>
  </si>
  <si>
    <t xml:space="preserve"> JK4 </t>
  </si>
  <si>
    <t xml:space="preserve"> If one uses pragmas, any Ada compiler can be used, not only an Ada 2012 compiler, right?</t>
  </si>
  <si>
    <t xml:space="preserve"> 3/4 </t>
  </si>
  <si>
    <t xml:space="preserve"> JK3 </t>
  </si>
  <si>
    <t xml:space="preserve"> 3/3 </t>
  </si>
  <si>
    <t xml:space="preserve"> JK2 </t>
  </si>
  <si>
    <t xml:space="preserve"> n/a </t>
  </si>
  <si>
    <t xml:space="preserve"> introduction </t>
  </si>
  <si>
    <t xml:space="preserve"> JK1 </t>
  </si>
  <si>
    <t xml:space="preserve"> why are some things bolded (e.g. "Pre") and some not (e.g. "Post")?</t>
  </si>
  <si>
    <t xml:space="preserve"> A.2.1 </t>
  </si>
  <si>
    <t xml:space="preserve"> STT/16 </t>
  </si>
  <si>
    <t xml:space="preserve"> quantified expression needs to be parenthesized:   Post =&gt; (for all I in X’Range =&gt; (X (I) = 0)); Also, why is "Depends" in bold, while Pre and Post are not?</t>
  </si>
  <si>
    <t xml:space="preserve"> A.1.3 </t>
  </si>
  <si>
    <t xml:space="preserve"> STT/15 </t>
  </si>
  <si>
    <t xml:space="preserve"> "Swap" example used to explain shift from "Derives" to "Depends" is not helpful because it is symmetric.  It starts from:   Derives X from Y &amp; Y from X and goes to Depends =&gt; (X =&gt; Y, Y =&gt; X) so it is unclear whether "Derives" and "Depends" use essentially the same order or if the order should be reversed.</t>
  </si>
  <si>
    <t xml:space="preserve"> A.1.1 </t>
  </si>
  <si>
    <t xml:space="preserve"> STT/14 </t>
  </si>
  <si>
    <t xml:space="preserve"> (Editorial) Two paragraphs are numbered "1.". The paragraph numbered "2." has the following typo: "The specification is [is] checked..." The paragraph numbered "3." should use "that" rather than "which": "... with a property list [which] {that} includes the Volatile property..." In the Example, a comment should be revised:  "... abstract state name{d} State ..." In the Example, "Global" is bolded in some cases and not in others. In general the "bolding" is not consistent (here and elsewhere).</t>
  </si>
  <si>
    <t xml:space="preserve"> p. 50 </t>
  </si>
  <si>
    <t xml:space="preserve"> STT/13 </t>
  </si>
  <si>
    <t xml:space="preserve"> Here is a more general question about private descendants: We seem to be treating them as "part" of the parent, but whether or not a particular private descendant is included in a program can depend on whether it is mentioned in a "with" clause by a public descendant.  So this implies that some private descendants might not be included, even though the parent is included in a program.  How does this affect the model? Should we treat private descendants on which the parent has no dependence as though there were a public descendant? Similarly, should we treat public descendants on which the parent *has* a dependence in the way we were proposing to treat private descendants? Or should we treat each library package independently? (That would be the simplest!)</t>
  </si>
  <si>
    <t xml:space="preserve"> STT/12 </t>
  </si>
  <si>
    <t xml:space="preserve"> In the following: 2. The hidden state of a package P consists of: * any variables declared immediately within the private part or body of P; and * the visible state and state abstractions of any packages declared immediately within the private part or body of P, and of any private child units of P or of their public descendants. This seems to leave out the hidden state of nested packages.  Shouldn't we change the last bullet to be two bullets: * the hidden state of any packages declared immediately within the visible   part of P * the hidden and visible state and state abstractions of any packages declared   immediately within the private part or body of P, and of any private child  units of P or of their public descendants.</t>
  </si>
  <si>
    <t xml:space="preserve"> STT/11 </t>
  </si>
  <si>
    <t xml:space="preserve"> In the following legality rule:  7. A package_declaration or generic_package_declaration requires a     completion [(a body)] if it contains a non-null Abstract State aspect     specification. the magic phrase "requires a completion" (of 3.11.1 fame) appears.  I suspect it should be changed to "shall have a completion" to avoid implying that the presence of this aspect triggers the "requires a completion" semantics. My belief is that we still want the programmer to insert a "pragma Elaborate_Body" for example, if there is nothing else in the spec that would normally trigger the "requires a completion" semantics. I think we want to be able to erase Abstract_State aspects and still have a legal Ada program. NOTE: The "requires completion" wording also appears later in 7.1.3, and should probably also be changed to "shall have a completion."</t>
  </si>
  <si>
    <t xml:space="preserve"> p. 49 (and later) </t>
  </si>
  <si>
    <t xml:space="preserve"> STT/10 </t>
  </si>
  <si>
    <t xml:space="preserve"> In syntax descriptions, reserved words should be bolded or quoted or upper-cased or somehow distinguished from non-terminals.  E.g., in:   ( state_name with property_list ) the "with" should be &lt;b&gt;with&lt;/b&gt; or WITH or 'with' or something like that.</t>
  </si>
  <si>
    <t xml:space="preserve"> p. 49 </t>
  </si>
  <si>
    <t xml:space="preserve"> 7.1.3 (and perhaps elsewhere) </t>
  </si>
  <si>
    <t xml:space="preserve"> STT/9 </t>
  </si>
  <si>
    <t xml:space="preserve"> No need to capitalize "aspect."  E.g. "Global Aspect" =&gt; "Global aspect".</t>
  </si>
  <si>
    <t xml:space="preserve"> p. 49 (and elsewhere) </t>
  </si>
  <si>
    <t xml:space="preserve"> 7.1.3 (and probably elsewhere) </t>
  </si>
  <si>
    <t xml:space="preserve"> STT/8 </t>
  </si>
  <si>
    <t xml:space="preserve"> "The hidden state of a package may be represented by one or more state abstractions, with [each] {any} pair of state abstractions representing disjoint sets of hidden variables."</t>
  </si>
  <si>
    <t xml:space="preserve"> STT/7 </t>
  </si>
  <si>
    <t xml:space="preserve">   the parenthetical parts of this sentence are confusing: State abstraction provides a mechanism for naming, in a package’s visible_part, state (typically variable declarations) that will be declared within the package’s body (or private_part, or within private descendants of the package). It would make sense to say "(typically variables)" since the variables are the state, not their declarations.  But it would be even better to leave it out, or move it later in the sentence.  It also doesn't make sense to parenthesize "or private_part, or within private descendants of the package" since there is nothing parenthetical about this. I also find it funny to say that State abstraction is primarily about "naming", and also note that the names are used outside of the visible part, e.g. during a refinement in the body.  All in all, I think this sentence should be rewritten, or perhaps even dropped completely.</t>
  </si>
  <si>
    <t xml:space="preserve"> STT/6 </t>
  </si>
  <si>
    <t xml:space="preserve"> "... since modular [is] analysis {is} performed before ..." </t>
  </si>
  <si>
    <t xml:space="preserve"> STT/5 </t>
  </si>
  <si>
    <t xml:space="preserve"> singular/plural mismatch, and "a assertion": A volatile variable or state abstractions cannot be mentioned directly in a assertion expression as the reading of a volatile may affect its value.</t>
  </si>
  <si>
    <t xml:space="preserve"> 7.1.2 </t>
  </si>
  <si>
    <t xml:space="preserve"> STT/4 </t>
  </si>
  <si>
    <t xml:space="preserve"> Ditto for this sentence: In a Depends aspect it need not appear as an input an implicit self dependency of the entity will be declared.</t>
  </si>
  <si>
    <t xml:space="preserve"> STT/3 </t>
  </si>
  <si>
    <t xml:space="preserve"> This sentence is missing something (a semicolon or a dash?): In a Depends aspect it need not appear as an output an implicit self dependency of the entity will be declared.</t>
  </si>
  <si>
    <t xml:space="preserve"> STT/2</t>
  </si>
  <si>
    <t xml:space="preserve"> This paragraph is confusing.  What is a "more obvious view"?  Perhaps a more "intuitive" or "natural" view?  In the phrase "this may be given explicitly" to what does "this" refer? The read or update of a volatile variable or state abstraction is considered to be both a read and an update of the entity. In Global and Depends aspects this means that volatile entities will be regarded as being both an input and an output and this may be given explicitly. However if a variable or abstract state is explicitly designated as being a Volatile Input or a Volatile Output, an abbreviated form of the Global and Depends aspect is permitted which gives a more obvious view of the global and dependency.</t>
  </si>
  <si>
    <t xml:space="preserve"> STT/1 </t>
  </si>
  <si>
    <t xml:space="preserve"> It is visible that the introduction has been written by several persons simultaneously; it lacks coherence, there are repetitions. Nothing serious though.</t>
  </si>
  <si>
    <t xml:space="preserve"> Mixture of test and proof: that's correct, but it is unnecessarily restrictive. Can we say something like: Support for proof of only part of the program, and combination with other verification methods such as testing.</t>
  </si>
  <si>
    <t xml:space="preserve"> I think there is no need to mention the tools. SPARK 2014 is a language, and exists independently of the tools. I also think it would be OK for the language definition to include more than is supported by the first release, and it would also be OK for the tool to support more than just what is defined in the language definition. This is already the case anyway (GNAT has some vendor-specific pragmas).</t>
  </si>
  <si>
    <t xml:space="preserve"> I do not feel the need for Refined_Pre and Refined_Post. The same effect can be easily achieved by a wrapper subprogram, where the wrapped subprogram has the refined pre/post as normal pre/post. </t>
  </si>
  <si>
    <r>
      <t xml:space="preserve"> If subtype predicates are to be included in SPARK 2014, additional verification rules should be created, so that formal verification is possible at the level of an individual subprogram. In particular, the variables that are mentioned in the Global contract of a subprogram should have the corresponding predicate verified on entry (for IN and IN OUT) and exit (for OUT and IN OUT) of the subprogram. Also, the Ada RM rules (see RM 3.2.4 Dynamic Semantics) only define checks for values of parameters whose type has a subtype predicate attached. But no check is performed when the subtype predicate is attached to a component of the type. For example, in the code below, no violation is detected when calling Violate on a parameter of type T. It would be expected in SPARK to have the same kind of rules that Ada has for type invariants (that apply on any "part" of an object that has a type invariant attached).
</t>
    </r>
    <r>
      <rPr>
        <b/>
        <sz val="10"/>
        <rFont val="Franklin Gothic Book"/>
        <family val="2"/>
      </rPr>
      <t>Comment continued in next box.</t>
    </r>
  </si>
  <si>
    <t xml:space="preserve">procedure P is
   type R is tagged record
      A, B : Integer;
   end record with Predicate =&gt; R.A = R.B;
   procedure Violate (C : in out R) is
   begin
      C.A := C.B + 1;
   end Violate;
   type T is record
      C : R;
   end record;
   procedure Violate (D : in out T) is
   begin
      D.C.A := D.C.A + 1;
   end Violate;
   E : T;
begin
   E := (C =&gt; (A | B =&gt; 0));
   Violate (E);    --  not detected
   E := (C =&gt; (A | B =&gt; 0));
   Violate (E.C);  --  detected
end P;
As subtype predicates are an important specification feature of Ada 2012, it would not be understandable to leave it outside SPARK 2014. But this requires work to define sensible Verification Rules. Note that it may be appropriate to define reasonable constraints on the content of the predicate in SPARK 2014 (like the fact the expression cannot refer to global variables), to both simplify verification and facilitate their correct use.
</t>
  </si>
  <si>
    <t xml:space="preserve"> In the section Verification Rules, it is not clear what is described here. Maybe there should be a sentence per pragma? As for Assume, the manual states that it is not required to prove that the Boolean expression is true. For a reader, it sounds like this proof may be attempted though and raise a warning if it is not proved. As I understand pragma Assume, it is not the case. The proof should not be attempted but the result should be assumed to be true (the manual says that it can be assumed only). An other small point, if Loop_Invariant is described 5.5.3 Language Definition, shouldn't the information about it being a cut point appear rather in this section?</t>
  </si>
  <si>
    <t xml:space="preserve"> 5.9.2 </t>
  </si>
  <si>
    <t xml:space="preserve"> CD1 </t>
  </si>
  <si>
    <t xml:space="preserve"> Expanding on YM08, there should be visibility rules for verification. Otherwise, nothing prevents a verification tool from looking at the body of a subprogram inside the package body of P to perform the verification of the body of another subprogram inside the package body of Q. If SPARK 2014 defines a language for modular verification, visibility rules that prevent the above should be given.</t>
  </si>
  <si>
    <t xml:space="preserve"> YM09 </t>
  </si>
  <si>
    <t xml:space="preserve"> Verification tools should be prevented from using the value of the deferred constant when analyzing a unit which has no visibility over the private part where the value of the constant is defined.</t>
  </si>
  <si>
    <t xml:space="preserve"> YM08 </t>
  </si>
  <si>
    <t xml:space="preserve"> In order for type invariants to be always true outside of the unit implementing the type, restrictions should be imposed on the expression stating the type invariant property. In particular, it should not mention global variables, or else it could be broken anytime by code modifying the global variable. Additionally, there should be Verification Rules that state in which cases a global variable (mentioned in the Global contract) has its type invariant checked, similarly to what should be done for predicate subtypes.</t>
  </si>
  <si>
    <t xml:space="preserve"> 7.3.2 </t>
  </si>
  <si>
    <t xml:space="preserve"> YM07 </t>
  </si>
  <si>
    <t xml:space="preserve"> I am not convinced by the rationale for refined pre/post/global/depends/contract_cases. Here is what it says: "1. The semantics of properties defined in terms of abstract state can only be precisely defined in terms of the corresponding concrete state, though nested abstraction is also necessary to manage hierarchies of data." Although this was true for SPARK 2005, this is not the case anymore with SPARK 2014. Functional properties expressed as pre/post/contract_cases can use actual program functions (instead of separate logic functions in SPARK 2005), whose implementation is precisely defined in terms of the concrete state. Regarding global/depends contracts, the benefit of re-specifying them in terms of concrete state is not obvious at all. "2. There may be multiple possible refinements for a given abstract specification and so the user should be able to specify what they actually want." The main way that a user specifies this "refinement" is by an "implementation" of the specified abstraction. Of course there are multiple possible implementations for an abstraction, but what is the benefit of stating twice (in the implementation, and in the refined aspects) the same implementation? "3. This is necessary to support development via stepwise refinement." The implementation is not really a refinement of the spec. The real refinement (like in the B method) is between a higher-level specification and a lower-level specification. I don't believe we provide useful features here for stepwise refinement. Overall, I feel that refinement was useful in SPARK 2005, but won't be useful in SPARK 2014. I did not see an example which could not be slightly rewritten (say, by introducing a wrapper function) to attain the same verification goals with only Pre/Post/Global/Depends. Note that this is independent of Refined_State, which is clearly needed. Given the additional complexity of refined Pre/Post/etc. for little gain, I favor not putting them in SPARK 2014.</t>
  </si>
  <si>
    <t xml:space="preserve"> 7.2.2 </t>
  </si>
  <si>
    <t xml:space="preserve"> YM06 </t>
  </si>
  <si>
    <t xml:space="preserve"> The rationale for providing an Initial_Condition aspect is not clear, now that initialization of library-level constants and variables has been restricted in SPARK to compiler-known values. The LRM says this serves to establish the "precondition" of the program proper, but this is given by the compiler-known values initializing the library-level constants and variables. It seems that Initial_Condition is mostly useful for stating the effect of statements in package body elaboration, which should be mentioned.</t>
  </si>
  <si>
    <t xml:space="preserve"> 7.1.5 </t>
  </si>
  <si>
    <t xml:space="preserve"> YM05 </t>
  </si>
  <si>
    <t xml:space="preserve"> Nothing is currently added to expression functions in the LRM, wrt Ada LRM. Does that mean they cannot be given a Global/Depends/Contract_Cases aspect?</t>
  </si>
  <si>
    <t xml:space="preserve"> YM04 </t>
  </si>
  <si>
    <t>Added a ToDo</t>
  </si>
  <si>
    <t>ToDo added</t>
  </si>
  <si>
    <t>Text updated
accordingly.</t>
  </si>
  <si>
    <t xml:space="preserve"> I don't understand this paragraph. Obviously the language needs a compiler that implements it! No need to mention GNAT specifically.</t>
  </si>
  <si>
    <t>There is no
contradiction, as the
Verification Rules
section says proof must show the exception is never raised.</t>
  </si>
  <si>
    <t>This is covered by a
ToDo in section 1.9.4.</t>
  </si>
  <si>
    <t>Pragma Assume *is*
an assertion and
generates a run-time
check, although that check will not be proved.</t>
  </si>
  <si>
    <t>Yes, it will; further
detail will be provided
in a subsequent draft of the doc.</t>
  </si>
  <si>
    <t>Makes sense as it is.</t>
  </si>
  <si>
    <t>Reference is there to
make clear there is at
least one implementation of the language.</t>
  </si>
  <si>
    <t>Toolset is mentioned due to earlier review comments regarding how it related to the content of the LRM. If the LRM ends up including more than is in the toolset, then this will be noted at that time.</t>
  </si>
  <si>
    <t>Duplicate of YM/06.</t>
  </si>
  <si>
    <t>Text has now been removed.</t>
  </si>
  <si>
    <t>TJJ</t>
  </si>
  <si>
    <t>What seems to have been implemented and what I thought had been agreed is that an explicit global does not have to be provided even when there is a dependency relation.  As this is the case no changes are required to the RM related to [M213-043] except that  I have added the missing semantic regarding Global =&gt; null</t>
  </si>
  <si>
    <t xml:space="preserve">TJJ to discuss
with SB.  After discussions with SB, still think moving state abstraction into the parent is the simplest option and the easiest to police.   This means parents will have to at least limited with their private children.  Have left text and model as-is.  Further discussins may be needed on this point before the next release. </t>
  </si>
  <si>
    <t>A statement has been added to reference SPARK 2005.</t>
  </si>
  <si>
    <t>Duplicate of AH/19.</t>
  </si>
  <si>
    <t>Updated as suggested.</t>
  </si>
  <si>
    <t>Substituted "shall have a completion" as suggested.</t>
  </si>
  <si>
    <t>Updated.</t>
  </si>
  <si>
    <t>Numbering issue will go away when Notes are removed. Comments have been updated. Any issues with bolding within examples is to do with the Ada style in ReST.</t>
  </si>
  <si>
    <t>This isn't true, as a SPARK 2014 program may include other Ada 2012 language elements that are not in earlier versions of the language.</t>
  </si>
  <si>
    <t>Sentence on dynamic semantics removed.</t>
  </si>
  <si>
    <t>Comment added to say this supports modular analysis.</t>
  </si>
  <si>
    <t>This is an issue to do with the the Ada style within ReST.</t>
  </si>
  <si>
    <t>This occurs naturally due to the visibility rules of Ada.</t>
  </si>
  <si>
    <t>Have discussed this with SM and no further action needed.</t>
  </si>
  <si>
    <t>ToDo added to the Introduction.</t>
  </si>
  <si>
    <t>Ticket M221-008 raised to address this issue as it is a problem with ReST.</t>
  </si>
  <si>
    <t>It isn't possible to nest mark-up in ReST, so we can't use nesting to have italicized terms within the Syntax sections. This is a problem in relation to a number of places in the document, not just in relation to discrete_expression. Ticket M221-008 raised to address this issue.</t>
  </si>
  <si>
    <t>Additional explanatory
text given.</t>
  </si>
  <si>
    <t>PE</t>
  </si>
  <si>
    <t>Expressions have been parenthesised. Ticket raised (M221-008) in relation
to bolding issue, as this is a problem with ReST.</t>
  </si>
  <si>
    <t>Text of notes tidied up.</t>
  </si>
  <si>
    <t>ToDo added covering this.</t>
  </si>
  <si>
    <t>Detail added.</t>
  </si>
  <si>
    <t>ToDo added under
Refined_Global aspect to cover the needed discussions.</t>
  </si>
  <si>
    <t>ToDo added.</t>
  </si>
  <si>
    <t>Detail reworked</t>
  </si>
  <si>
    <t>Pavlos has checked for changes in syntax since mapping spec was originally generated and made any needed updates. All CDR comments
have been actioned and checked. Comment has also been added in Introduction to say that the mapping spec is currently incomplete and it will be completed in the next draft of the document.</t>
  </si>
  <si>
    <t>SPARK 2014 Rerefence Manual - 13th Feb 2012</t>
  </si>
  <si>
    <t>STT</t>
  </si>
  <si>
    <t>JK</t>
  </si>
  <si>
    <t>YM</t>
  </si>
  <si>
    <t>Andrew Hawthorn (AH), Stuart Matthews (SM), Janet Barnes (JEB), Steve Baird (SBB), Yannick Moy (YM), Florian Schanda (FS), Tucker Taft (STT), Jon Burton (JIB), Johannes Kanig (JK), Claire Dross (CD)</t>
  </si>
  <si>
    <t>The use of square brackets has been described in section 1.4</t>
  </si>
  <si>
    <t>Jon has reviewed the Appendix and Pavlos has done the rework.</t>
  </si>
</sst>
</file>

<file path=xl/styles.xml><?xml version="1.0" encoding="utf-8"?>
<styleSheet xmlns="http://schemas.openxmlformats.org/spreadsheetml/2006/main">
  <numFmts count="1">
    <numFmt numFmtId="164" formatCode="dd\ mmmm\ yyyy"/>
  </numFmts>
  <fonts count="17">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name val="Franklin Gothic Book"/>
      <family val="2"/>
    </font>
    <font>
      <b/>
      <sz val="18"/>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7"/>
      <name val="Franklin Gothic Book"/>
      <family val="2"/>
    </font>
    <font>
      <b/>
      <sz val="14"/>
      <name val="Franklin Gothic Book"/>
      <family val="2"/>
    </font>
    <font>
      <sz val="10"/>
      <color theme="0"/>
      <name val="Franklin Gothic Book"/>
      <family val="2"/>
    </font>
    <font>
      <sz val="9"/>
      <color theme="0"/>
      <name val="Franklin Gothic Book"/>
      <family val="2"/>
    </font>
    <font>
      <sz val="10"/>
      <color rgb="FFFF0000"/>
      <name val="Franklin Gothic Book"/>
      <family val="2"/>
    </font>
  </fonts>
  <fills count="9">
    <fill>
      <patternFill patternType="none"/>
    </fill>
    <fill>
      <patternFill patternType="gray125"/>
    </fill>
    <fill>
      <patternFill patternType="solid">
        <fgColor indexed="22"/>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theme="6"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1">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137">
    <xf numFmtId="0" fontId="0" fillId="0" borderId="0" xfId="0"/>
    <xf numFmtId="0" fontId="5" fillId="0" borderId="0" xfId="0" applyFont="1"/>
    <xf numFmtId="0" fontId="6" fillId="0" borderId="0" xfId="0" applyFont="1"/>
    <xf numFmtId="0" fontId="1" fillId="0" borderId="0" xfId="5" applyProtection="1"/>
    <xf numFmtId="0" fontId="1" fillId="0" borderId="1" xfId="7" applyBorder="1" applyProtection="1">
      <alignment horizontal="left" vertical="top" wrapText="1"/>
    </xf>
    <xf numFmtId="0" fontId="1" fillId="0" borderId="1" xfId="7" applyFont="1" applyAlignment="1" applyProtection="1">
      <alignment horizontal="center" vertical="top" wrapText="1"/>
    </xf>
    <xf numFmtId="2" fontId="1" fillId="0" borderId="5" xfId="7" applyNumberFormat="1" applyFont="1" applyBorder="1" applyAlignment="1" applyProtection="1">
      <alignment horizontal="center" vertical="top" wrapText="1"/>
    </xf>
    <xf numFmtId="2" fontId="1" fillId="0" borderId="1" xfId="7" applyNumberFormat="1" applyFont="1" applyAlignment="1" applyProtection="1">
      <alignment horizontal="center" vertical="top" wrapText="1"/>
    </xf>
    <xf numFmtId="0" fontId="1" fillId="0" borderId="1" xfId="7" applyAlignment="1" applyProtection="1">
      <alignment horizontal="center" vertical="top" wrapText="1"/>
    </xf>
    <xf numFmtId="0" fontId="1" fillId="0" borderId="6" xfId="7" applyBorder="1" applyAlignment="1" applyProtection="1">
      <alignment horizontal="center" vertical="top" wrapText="1"/>
    </xf>
    <xf numFmtId="0" fontId="1" fillId="0" borderId="1" xfId="7" applyProtection="1">
      <alignment horizontal="left" vertical="top" wrapText="1"/>
    </xf>
    <xf numFmtId="0" fontId="1" fillId="0" borderId="0" xfId="7" applyBorder="1" applyAlignment="1" applyProtection="1">
      <alignment horizontal="center" vertical="top" wrapText="1"/>
    </xf>
    <xf numFmtId="0" fontId="1" fillId="0" borderId="1" xfId="9"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0" xfId="4" applyAlignment="1">
      <alignment horizontal="left" vertical="top" wrapText="1"/>
    </xf>
    <xf numFmtId="0" fontId="10" fillId="0" borderId="0" xfId="4" applyFont="1" applyAlignment="1">
      <alignment horizontal="left" vertical="top" wrapText="1"/>
    </xf>
    <xf numFmtId="49" fontId="1" fillId="0" borderId="1" xfId="9" applyNumberFormat="1" applyFont="1">
      <alignment horizontal="left" vertical="top" wrapText="1"/>
      <protection locked="0"/>
    </xf>
    <xf numFmtId="49" fontId="1" fillId="0" borderId="1" xfId="9" applyNumberFormat="1">
      <alignment horizontal="left" vertical="top" wrapText="1"/>
      <protection locked="0"/>
    </xf>
    <xf numFmtId="0" fontId="1" fillId="0" borderId="1" xfId="9" applyFont="1">
      <alignment horizontal="left" vertical="top" wrapText="1"/>
      <protection locked="0"/>
    </xf>
    <xf numFmtId="0" fontId="2" fillId="2" borderId="1" xfId="10" applyFont="1" applyAlignment="1">
      <alignment horizontal="center" textRotation="90" wrapText="1"/>
    </xf>
    <xf numFmtId="0" fontId="1" fillId="0" borderId="0" xfId="4" applyAlignment="1" applyProtection="1">
      <alignment horizontal="left" vertical="top" wrapText="1"/>
    </xf>
    <xf numFmtId="0" fontId="10" fillId="0" borderId="0" xfId="4" applyFont="1" applyAlignment="1" applyProtection="1">
      <alignment horizontal="left" vertical="top" wrapText="1"/>
    </xf>
    <xf numFmtId="0" fontId="3" fillId="0" borderId="0" xfId="1" applyProtection="1"/>
    <xf numFmtId="1" fontId="1" fillId="0" borderId="0" xfId="9" applyNumberFormat="1" applyFont="1" applyBorder="1" applyAlignment="1" applyProtection="1">
      <alignment vertical="top" wrapText="1"/>
    </xf>
    <xf numFmtId="164" fontId="1" fillId="0" borderId="0" xfId="9" applyNumberFormat="1" applyFont="1" applyBorder="1" applyAlignment="1">
      <alignment vertical="top" wrapText="1"/>
      <protection locked="0"/>
    </xf>
    <xf numFmtId="49" fontId="1" fillId="0" borderId="0" xfId="9"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2" fillId="3" borderId="1" xfId="10" applyFont="1" applyFill="1" applyAlignment="1">
      <alignment horizontal="center" textRotation="90" wrapText="1"/>
    </xf>
    <xf numFmtId="0" fontId="6" fillId="3" borderId="1" xfId="4" applyFont="1" applyFill="1" applyBorder="1" applyAlignment="1">
      <alignment horizontal="left" vertical="top" wrapText="1"/>
    </xf>
    <xf numFmtId="0" fontId="2" fillId="4" borderId="1" xfId="10" applyFont="1" applyFill="1" applyAlignment="1">
      <alignment horizontal="center" textRotation="90" wrapText="1"/>
    </xf>
    <xf numFmtId="0" fontId="2" fillId="5" borderId="1" xfId="10" applyFont="1" applyFill="1" applyAlignment="1">
      <alignment horizontal="center" textRotation="90" wrapText="1"/>
    </xf>
    <xf numFmtId="0" fontId="2" fillId="5" borderId="1" xfId="10"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0" xfId="0" applyFont="1"/>
    <xf numFmtId="0" fontId="11" fillId="5" borderId="1" xfId="10" applyFont="1" applyFill="1" applyAlignment="1">
      <alignment horizontal="center" textRotation="90" wrapText="1"/>
    </xf>
    <xf numFmtId="0" fontId="2" fillId="5" borderId="1" xfId="10" applyFill="1" applyAlignment="1">
      <alignment horizontal="center" textRotation="90" wrapText="1"/>
    </xf>
    <xf numFmtId="49" fontId="2" fillId="4" borderId="1" xfId="10" applyNumberFormat="1" applyFont="1" applyFill="1" applyAlignment="1">
      <alignment horizontal="center" textRotation="90" wrapText="1"/>
    </xf>
    <xf numFmtId="14" fontId="0" fillId="0" borderId="0" xfId="0" applyNumberFormat="1"/>
    <xf numFmtId="0" fontId="14" fillId="0" borderId="0" xfId="4" applyFont="1" applyAlignment="1" applyProtection="1">
      <alignment horizontal="left" vertical="top" wrapText="1"/>
    </xf>
    <xf numFmtId="0" fontId="15" fillId="0" borderId="0" xfId="4" applyFont="1" applyAlignment="1" applyProtection="1">
      <alignment horizontal="left" vertical="top" wrapText="1"/>
    </xf>
    <xf numFmtId="0" fontId="1" fillId="0" borderId="1" xfId="9" applyFont="1" applyAlignment="1" applyProtection="1">
      <alignment horizontal="center" vertical="top" wrapText="1"/>
      <protection locked="0"/>
    </xf>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7" fillId="0" borderId="0" xfId="5" applyNumberFormat="1" applyFont="1" applyProtection="1"/>
    <xf numFmtId="0" fontId="6" fillId="0" borderId="0" xfId="5" applyFont="1" applyProtection="1"/>
    <xf numFmtId="0" fontId="1" fillId="0" borderId="7"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14" fillId="0" borderId="0" xfId="5" applyFont="1" applyAlignment="1" applyProtection="1">
      <alignment horizontal="center"/>
    </xf>
    <xf numFmtId="0" fontId="2" fillId="4" borderId="1" xfId="10" applyFont="1" applyFill="1" applyProtection="1">
      <alignment horizontal="left" vertical="top" wrapText="1"/>
    </xf>
    <xf numFmtId="0" fontId="2" fillId="4" borderId="1" xfId="10" applyFont="1" applyFill="1" applyAlignment="1" applyProtection="1">
      <alignment horizontal="left" textRotation="90" wrapText="1"/>
    </xf>
    <xf numFmtId="0" fontId="2" fillId="4" borderId="1" xfId="10" applyFill="1" applyProtection="1">
      <alignment horizontal="left" vertical="top" wrapText="1"/>
    </xf>
    <xf numFmtId="0" fontId="2" fillId="2" borderId="1" xfId="10" applyBorder="1" applyAlignment="1" applyProtection="1">
      <alignment horizontal="center" textRotation="90" wrapText="1"/>
    </xf>
    <xf numFmtId="2" fontId="2" fillId="2" borderId="1" xfId="10" applyNumberFormat="1" applyAlignment="1" applyProtection="1">
      <alignment horizontal="center" vertical="top" wrapText="1"/>
    </xf>
    <xf numFmtId="0" fontId="2" fillId="2" borderId="1" xfId="10" applyAlignment="1" applyProtection="1">
      <alignment horizontal="center" vertical="top" wrapText="1"/>
    </xf>
    <xf numFmtId="0" fontId="2" fillId="2" borderId="1" xfId="10" applyAlignment="1" applyProtection="1">
      <alignment horizontal="center" textRotation="90" wrapText="1"/>
    </xf>
    <xf numFmtId="0" fontId="1" fillId="0" borderId="1" xfId="7" applyFont="1" applyProtection="1">
      <alignment horizontal="left" vertical="top" wrapText="1"/>
    </xf>
    <xf numFmtId="0" fontId="6" fillId="0" borderId="1" xfId="7" applyFont="1" applyProtection="1">
      <alignment horizontal="left" vertical="top" wrapText="1"/>
    </xf>
    <xf numFmtId="0" fontId="6" fillId="0" borderId="1" xfId="5" applyFont="1" applyBorder="1" applyAlignment="1" applyProtection="1">
      <alignment horizontal="center"/>
    </xf>
    <xf numFmtId="0" fontId="1" fillId="0" borderId="1" xfId="5" applyBorder="1" applyAlignment="1" applyProtection="1">
      <alignment horizontal="center"/>
    </xf>
    <xf numFmtId="0" fontId="6" fillId="0" borderId="1" xfId="5" applyFont="1" applyBorder="1" applyAlignment="1" applyProtection="1">
      <alignment horizontal="center" vertical="top"/>
    </xf>
    <xf numFmtId="0" fontId="6" fillId="0" borderId="5"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5" borderId="1" xfId="10" applyFont="1" applyFill="1" applyProtection="1">
      <alignment horizontal="left" vertical="top" wrapText="1"/>
    </xf>
    <xf numFmtId="0" fontId="2" fillId="5" borderId="1" xfId="10" applyFont="1" applyFill="1" applyAlignment="1" applyProtection="1">
      <alignment horizontal="left" textRotation="90" wrapText="1"/>
    </xf>
    <xf numFmtId="0" fontId="2" fillId="5" borderId="1" xfId="10" applyFill="1" applyProtection="1">
      <alignment horizontal="left" vertical="top" wrapText="1"/>
    </xf>
    <xf numFmtId="0" fontId="2" fillId="3" borderId="1" xfId="10" applyFont="1" applyFill="1" applyProtection="1">
      <alignment horizontal="left" vertical="top" wrapText="1"/>
    </xf>
    <xf numFmtId="0" fontId="2" fillId="3" borderId="1" xfId="10" applyFont="1" applyFill="1" applyAlignment="1" applyProtection="1">
      <alignment horizontal="left" textRotation="90" wrapText="1"/>
    </xf>
    <xf numFmtId="0" fontId="2" fillId="3" borderId="1" xfId="10" applyFill="1" applyProtection="1">
      <alignment horizontal="left" vertical="top" wrapText="1"/>
    </xf>
    <xf numFmtId="0" fontId="1" fillId="0" borderId="1" xfId="7" applyFo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14" fillId="0" borderId="0" xfId="4" applyNumberFormat="1" applyFont="1" applyAlignment="1" applyProtection="1">
      <alignment horizontal="left" vertical="top" wrapText="1"/>
    </xf>
    <xf numFmtId="2" fontId="2" fillId="4" borderId="1" xfId="10" applyNumberFormat="1" applyFont="1" applyFill="1" applyAlignment="1">
      <alignment horizontal="center" wrapText="1"/>
    </xf>
    <xf numFmtId="2" fontId="1" fillId="0" borderId="1" xfId="9" applyNumberFormat="1" applyFont="1">
      <alignment horizontal="left" vertical="top" wrapText="1"/>
      <protection locked="0"/>
    </xf>
    <xf numFmtId="2" fontId="1" fillId="0" borderId="0" xfId="4" applyNumberFormat="1" applyAlignment="1">
      <alignment horizontal="left" vertical="top" wrapText="1"/>
    </xf>
    <xf numFmtId="2" fontId="1" fillId="0" borderId="0" xfId="9" applyNumberFormat="1" applyFont="1" applyBorder="1" applyAlignment="1" applyProtection="1">
      <alignment vertical="top" wrapText="1"/>
      <protection locked="0"/>
    </xf>
    <xf numFmtId="2" fontId="1" fillId="0" borderId="0" xfId="9" applyNumberFormat="1" applyFont="1" applyBorder="1" applyAlignment="1">
      <alignment vertical="top" wrapText="1"/>
      <protection locked="0"/>
    </xf>
    <xf numFmtId="2" fontId="1" fillId="0" borderId="0" xfId="9" applyNumberFormat="1" applyFont="1" applyBorder="1" applyAlignment="1" applyProtection="1">
      <alignment vertical="top" wrapText="1"/>
    </xf>
    <xf numFmtId="2" fontId="2" fillId="5" borderId="1" xfId="10" applyNumberFormat="1" applyFont="1" applyFill="1" applyAlignment="1">
      <alignment horizontal="center" wrapText="1"/>
    </xf>
    <xf numFmtId="0" fontId="6" fillId="6" borderId="1" xfId="0" applyFont="1" applyFill="1" applyBorder="1" applyAlignment="1">
      <alignment wrapText="1"/>
    </xf>
    <xf numFmtId="0" fontId="6" fillId="7" borderId="1" xfId="0" applyFont="1" applyFill="1" applyBorder="1" applyAlignment="1">
      <alignment wrapText="1"/>
    </xf>
    <xf numFmtId="0" fontId="1" fillId="0" borderId="1" xfId="0" applyFont="1" applyFill="1" applyBorder="1" applyAlignment="1">
      <alignment wrapText="1"/>
    </xf>
    <xf numFmtId="0" fontId="13" fillId="0" borderId="1" xfId="0" applyFont="1" applyBorder="1" applyAlignment="1">
      <alignment wrapText="1"/>
    </xf>
    <xf numFmtId="0" fontId="6" fillId="0" borderId="0" xfId="4" applyFont="1" applyBorder="1" applyAlignment="1" applyProtection="1">
      <alignment horizontal="left" vertical="top" wrapText="1"/>
    </xf>
    <xf numFmtId="0" fontId="0" fillId="0" borderId="0" xfId="0" applyBorder="1" applyAlignment="1">
      <alignment horizontal="left" vertical="top" wrapText="1"/>
    </xf>
    <xf numFmtId="0" fontId="1" fillId="0" borderId="10" xfId="0" applyFont="1" applyBorder="1" applyAlignment="1">
      <alignment vertical="top" wrapText="1"/>
    </xf>
    <xf numFmtId="0" fontId="2" fillId="0" borderId="10" xfId="0" applyFont="1" applyBorder="1" applyAlignment="1">
      <alignment vertical="top" wrapText="1"/>
    </xf>
    <xf numFmtId="0" fontId="1" fillId="0" borderId="1" xfId="9" applyFont="1" applyBorder="1">
      <alignment horizontal="left" vertical="top" wrapText="1"/>
      <protection locked="0"/>
    </xf>
    <xf numFmtId="2" fontId="1" fillId="0" borderId="1" xfId="9" applyNumberFormat="1" applyFont="1" applyBorder="1">
      <alignment horizontal="left" vertical="top" wrapText="1"/>
      <protection locked="0"/>
    </xf>
    <xf numFmtId="0" fontId="0" fillId="0" borderId="1" xfId="0" applyBorder="1"/>
    <xf numFmtId="0" fontId="1" fillId="0" borderId="1" xfId="9" applyFont="1" applyFill="1" applyBorder="1">
      <alignment horizontal="left" vertical="top" wrapText="1"/>
      <protection locked="0"/>
    </xf>
    <xf numFmtId="0" fontId="1" fillId="0" borderId="1" xfId="0" applyFont="1" applyFill="1" applyBorder="1"/>
    <xf numFmtId="0" fontId="1" fillId="0" borderId="1" xfId="9" applyFont="1" applyBorder="1" applyProtection="1">
      <alignment horizontal="left" vertical="top" wrapText="1"/>
      <protection locked="0"/>
    </xf>
    <xf numFmtId="0" fontId="6" fillId="0" borderId="1" xfId="0" applyFont="1" applyBorder="1"/>
    <xf numFmtId="0" fontId="0" fillId="0" borderId="1" xfId="0" applyFont="1" applyFill="1" applyBorder="1"/>
    <xf numFmtId="0" fontId="0" fillId="0" borderId="1" xfId="0" applyFont="1" applyBorder="1"/>
    <xf numFmtId="0" fontId="0" fillId="0" borderId="1" xfId="0" applyBorder="1" applyAlignment="1">
      <alignment wrapText="1"/>
    </xf>
    <xf numFmtId="0" fontId="0" fillId="0" borderId="1" xfId="0" applyFill="1" applyBorder="1"/>
    <xf numFmtId="49" fontId="1" fillId="0" borderId="1" xfId="9" applyNumberFormat="1" applyBorder="1">
      <alignment horizontal="left" vertical="top" wrapText="1"/>
      <protection locked="0"/>
    </xf>
    <xf numFmtId="49" fontId="1" fillId="0" borderId="1" xfId="9" applyNumberFormat="1" applyFont="1" applyBorder="1">
      <alignment horizontal="left" vertical="top" wrapText="1"/>
      <protection locked="0"/>
    </xf>
    <xf numFmtId="0" fontId="1" fillId="0" borderId="1" xfId="9" applyFont="1" applyBorder="1" applyAlignment="1" applyProtection="1">
      <alignment horizontal="center" vertical="top" wrapText="1"/>
      <protection locked="0"/>
    </xf>
    <xf numFmtId="2" fontId="6" fillId="0" borderId="1" xfId="9" applyNumberFormat="1" applyFont="1" applyBorder="1">
      <alignment horizontal="left" vertical="top" wrapText="1"/>
      <protection locked="0"/>
    </xf>
    <xf numFmtId="0" fontId="1" fillId="0" borderId="9" xfId="7" applyBorder="1" applyAlignment="1" applyProtection="1">
      <alignment horizontal="left" vertical="top" wrapText="1"/>
    </xf>
    <xf numFmtId="0" fontId="1" fillId="0" borderId="5" xfId="7" applyBorder="1" applyAlignment="1" applyProtection="1">
      <alignment horizontal="left" vertical="top" wrapText="1"/>
    </xf>
    <xf numFmtId="0" fontId="1" fillId="0" borderId="7" xfId="4" applyBorder="1" applyAlignment="1" applyProtection="1">
      <alignment horizontal="left" vertical="top" wrapText="1"/>
    </xf>
    <xf numFmtId="0" fontId="2" fillId="2" borderId="8" xfId="10" applyFont="1" applyBorder="1" applyAlignment="1" applyProtection="1">
      <alignment horizontal="left" vertical="top" wrapText="1"/>
    </xf>
    <xf numFmtId="0" fontId="1" fillId="0" borderId="9" xfId="4" applyBorder="1" applyAlignment="1" applyProtection="1">
      <alignment horizontal="left" vertical="top" wrapText="1"/>
    </xf>
    <xf numFmtId="0" fontId="2" fillId="4" borderId="8" xfId="10" applyFont="1" applyFill="1" applyBorder="1" applyAlignment="1" applyProtection="1">
      <alignment horizontal="left" vertical="top" wrapText="1"/>
    </xf>
    <xf numFmtId="0" fontId="1" fillId="4" borderId="9" xfId="4" applyFill="1" applyBorder="1" applyAlignment="1" applyProtection="1">
      <alignment horizontal="left" vertical="top" wrapText="1"/>
    </xf>
    <xf numFmtId="0" fontId="1" fillId="0" borderId="9" xfId="9" applyFont="1" applyBorder="1" applyAlignment="1">
      <alignment horizontal="left" vertical="top" wrapText="1"/>
      <protection locked="0"/>
    </xf>
    <xf numFmtId="0" fontId="1" fillId="0" borderId="5" xfId="9" applyFont="1" applyBorder="1" applyAlignment="1">
      <alignment horizontal="left" vertical="top" wrapText="1"/>
      <protection locked="0"/>
    </xf>
    <xf numFmtId="0" fontId="1" fillId="8" borderId="11" xfId="4" applyFill="1" applyBorder="1" applyAlignment="1">
      <alignment horizontal="left" vertical="top" wrapText="1"/>
    </xf>
    <xf numFmtId="0" fontId="0" fillId="0" borderId="13" xfId="0" applyBorder="1" applyAlignment="1">
      <alignment horizontal="left" vertical="top" wrapText="1"/>
    </xf>
    <xf numFmtId="0" fontId="6" fillId="0" borderId="13" xfId="4" applyFont="1" applyBorder="1" applyAlignment="1" applyProtection="1">
      <alignment horizontal="left" vertical="top" wrapText="1"/>
    </xf>
    <xf numFmtId="1" fontId="1" fillId="0" borderId="1" xfId="9" applyNumberFormat="1" applyFont="1" applyBorder="1" applyAlignment="1" applyProtection="1">
      <alignment horizontal="left" vertical="top" wrapText="1"/>
    </xf>
    <xf numFmtId="0" fontId="2" fillId="4" borderId="8" xfId="10" applyFill="1" applyBorder="1" applyAlignment="1">
      <alignment horizontal="left" vertical="top" wrapText="1"/>
    </xf>
    <xf numFmtId="0" fontId="1" fillId="4" borderId="9" xfId="4" applyFill="1" applyBorder="1" applyAlignment="1">
      <alignment horizontal="left" vertical="top" wrapText="1"/>
    </xf>
    <xf numFmtId="0" fontId="6" fillId="7" borderId="3" xfId="0" applyFont="1" applyFill="1" applyBorder="1" applyAlignment="1">
      <alignment horizontal="center" wrapText="1"/>
    </xf>
    <xf numFmtId="0" fontId="6" fillId="7" borderId="4" xfId="0" applyFont="1" applyFill="1" applyBorder="1" applyAlignment="1">
      <alignment horizontal="center" wrapText="1"/>
    </xf>
    <xf numFmtId="0" fontId="6" fillId="7" borderId="2" xfId="0" applyFont="1" applyFill="1" applyBorder="1" applyAlignment="1">
      <alignment horizontal="center" wrapText="1"/>
    </xf>
    <xf numFmtId="0" fontId="6" fillId="5" borderId="8" xfId="0" applyFont="1" applyFill="1" applyBorder="1" applyAlignment="1">
      <alignment horizontal="left" wrapText="1"/>
    </xf>
    <xf numFmtId="0" fontId="6" fillId="5" borderId="5" xfId="0" applyFont="1" applyFill="1" applyBorder="1" applyAlignment="1">
      <alignment horizontal="left"/>
    </xf>
    <xf numFmtId="0" fontId="6" fillId="5" borderId="5" xfId="0" applyFont="1" applyFill="1" applyBorder="1" applyAlignment="1">
      <alignment horizontal="left" wrapText="1"/>
    </xf>
    <xf numFmtId="0" fontId="2" fillId="2" borderId="12" xfId="10" applyFont="1" applyBorder="1" applyAlignment="1" applyProtection="1">
      <alignment horizontal="right" vertical="top" wrapText="1"/>
    </xf>
    <xf numFmtId="0" fontId="2" fillId="2" borderId="14" xfId="10" applyFont="1" applyBorder="1" applyAlignment="1" applyProtection="1">
      <alignment horizontal="right" vertical="top" wrapText="1"/>
    </xf>
    <xf numFmtId="0" fontId="6" fillId="0" borderId="1" xfId="5" applyFont="1" applyBorder="1" applyAlignment="1" applyProtection="1"/>
    <xf numFmtId="0" fontId="6" fillId="0" borderId="1" xfId="5" applyFont="1" applyBorder="1" applyAlignment="1" applyProtection="1">
      <alignment horizontal="left" vertical="top" wrapText="1"/>
    </xf>
    <xf numFmtId="0" fontId="2" fillId="2" borderId="11" xfId="10" applyFont="1" applyBorder="1" applyProtection="1">
      <alignment horizontal="left" vertical="top" wrapText="1"/>
    </xf>
    <xf numFmtId="0" fontId="2" fillId="2" borderId="15" xfId="10" applyFont="1" applyBorder="1" applyProtection="1">
      <alignment horizontal="left" vertical="top" wrapText="1"/>
    </xf>
    <xf numFmtId="0" fontId="1" fillId="0" borderId="0" xfId="5" applyAlignment="1" applyProtection="1">
      <alignment horizontal="left"/>
    </xf>
  </cellXfs>
  <cellStyles count="11">
    <cellStyle name="Heading 1" xfId="1" builtinId="16" customBuiltin="1"/>
    <cellStyle name="Heading 2" xfId="2" builtinId="17" customBuiltin="1"/>
    <cellStyle name="Normal" xfId="0" builtinId="0"/>
    <cellStyle name="Normal 2" xfId="3"/>
    <cellStyle name="Normal 2 2" xfId="4"/>
    <cellStyle name="Normal 3" xfId="5"/>
    <cellStyle name="Percent 2" xfId="6"/>
    <cellStyle name="Table Body" xfId="7"/>
    <cellStyle name="Table Body 2" xfId="8"/>
    <cellStyle name="Table Body 2 2" xfId="9"/>
    <cellStyle name="Table Heading" xfId="10"/>
  </cellStyles>
  <dxfs count="25">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10">
    <outlinePr summaryRight="0"/>
    <pageSetUpPr fitToPage="1"/>
  </sheetPr>
  <dimension ref="A1:O238"/>
  <sheetViews>
    <sheetView tabSelected="1" zoomScaleNormal="100" workbookViewId="0">
      <pane ySplit="12" topLeftCell="A13" activePane="bottomLeft" state="frozen"/>
      <selection activeCell="A6" sqref="A6"/>
      <selection pane="bottomLeft" activeCell="F18" sqref="F18"/>
    </sheetView>
  </sheetViews>
  <sheetFormatPr defaultColWidth="9.5" defaultRowHeight="13.5" outlineLevelRow="2" outlineLevelCol="1"/>
  <cols>
    <col min="1" max="1" width="4.125" style="14" customWidth="1"/>
    <col min="2" max="2" width="3.5" style="14" customWidth="1"/>
    <col min="3" max="3" width="6.25" style="14" bestFit="1" customWidth="1"/>
    <col min="4" max="4" width="17.25" style="14" bestFit="1" customWidth="1"/>
    <col min="5" max="5" width="51" style="14" bestFit="1" customWidth="1"/>
    <col min="6" max="6" width="53" style="81" customWidth="1" collapsed="1"/>
    <col min="7" max="7" width="9.5" style="14" hidden="1" customWidth="1" outlineLevel="1"/>
    <col min="8" max="8" width="5.25" style="14" bestFit="1" customWidth="1" collapsed="1"/>
    <col min="9" max="9" width="16.875" style="81" customWidth="1"/>
    <col min="10" max="10" width="7.625" style="15" customWidth="1"/>
    <col min="11" max="11" width="3" style="14" bestFit="1" customWidth="1"/>
    <col min="12" max="12" width="7.5" style="14" bestFit="1" customWidth="1"/>
    <col min="13" max="13" width="17.875" style="14" customWidth="1" outlineLevel="1"/>
    <col min="14" max="16384" width="9.5" style="14"/>
  </cols>
  <sheetData>
    <row r="1" spans="1:15" s="20" customFormat="1" ht="21" outlineLevel="1">
      <c r="A1" s="28" t="s">
        <v>9</v>
      </c>
      <c r="B1" s="28"/>
      <c r="C1" s="28"/>
      <c r="F1" s="77"/>
      <c r="I1" s="77"/>
      <c r="J1" s="21"/>
      <c r="N1" s="27"/>
      <c r="O1" s="26"/>
    </row>
    <row r="2" spans="1:15" s="20" customFormat="1" outlineLevel="1">
      <c r="F2" s="77"/>
      <c r="I2" s="77"/>
      <c r="J2" s="21"/>
    </row>
    <row r="3" spans="1:15" s="20" customFormat="1" ht="12.75" customHeight="1" outlineLevel="1">
      <c r="A3" s="112" t="s">
        <v>13</v>
      </c>
      <c r="B3" s="113"/>
      <c r="C3" s="113"/>
      <c r="D3" s="109" t="s">
        <v>915</v>
      </c>
      <c r="E3" s="109"/>
      <c r="F3" s="109"/>
      <c r="G3" s="109"/>
      <c r="H3" s="109"/>
      <c r="I3" s="109"/>
      <c r="J3" s="110"/>
    </row>
    <row r="4" spans="1:15" s="20" customFormat="1" ht="12.75" customHeight="1" outlineLevel="1">
      <c r="A4" s="114" t="s">
        <v>43</v>
      </c>
      <c r="B4" s="115"/>
      <c r="C4" s="115"/>
      <c r="D4" s="116" t="s">
        <v>919</v>
      </c>
      <c r="E4" s="116"/>
      <c r="F4" s="117"/>
      <c r="G4" s="25"/>
      <c r="H4" s="25"/>
      <c r="I4" s="82"/>
      <c r="J4" s="25"/>
    </row>
    <row r="5" spans="1:15" ht="12.75" customHeight="1" outlineLevel="1">
      <c r="A5" s="122" t="s">
        <v>36</v>
      </c>
      <c r="B5" s="123"/>
      <c r="C5" s="123"/>
      <c r="D5" s="116"/>
      <c r="E5" s="116"/>
      <c r="F5" s="117"/>
      <c r="G5" s="24"/>
      <c r="H5" s="24"/>
      <c r="I5" s="83"/>
      <c r="J5" s="24"/>
    </row>
    <row r="6" spans="1:15" s="20" customFormat="1" hidden="1" outlineLevel="2">
      <c r="A6" s="112" t="s">
        <v>22</v>
      </c>
      <c r="B6" s="113"/>
      <c r="C6" s="113"/>
      <c r="D6" s="121"/>
      <c r="E6" s="121"/>
      <c r="F6" s="121"/>
      <c r="G6" s="23"/>
      <c r="H6" s="23"/>
      <c r="I6" s="84"/>
      <c r="J6" s="23"/>
    </row>
    <row r="7" spans="1:15" s="20" customFormat="1" hidden="1" outlineLevel="2">
      <c r="A7" s="112" t="s">
        <v>44</v>
      </c>
      <c r="B7" s="113"/>
      <c r="C7" s="113"/>
      <c r="D7" s="121"/>
      <c r="E7" s="121"/>
      <c r="F7" s="121"/>
      <c r="G7" s="23"/>
      <c r="H7" s="23"/>
      <c r="I7" s="84"/>
      <c r="J7" s="23"/>
    </row>
    <row r="8" spans="1:15" s="20" customFormat="1" hidden="1" outlineLevel="2">
      <c r="A8" s="112" t="s">
        <v>45</v>
      </c>
      <c r="B8" s="113"/>
      <c r="C8" s="113"/>
      <c r="D8" s="121"/>
      <c r="E8" s="121"/>
      <c r="F8" s="121"/>
      <c r="G8" s="23"/>
      <c r="H8" s="23"/>
      <c r="I8" s="84"/>
      <c r="J8" s="23"/>
    </row>
    <row r="9" spans="1:15" s="20" customFormat="1" ht="12.75" customHeight="1" outlineLevel="1" collapsed="1">
      <c r="A9" s="120" t="s">
        <v>42</v>
      </c>
      <c r="B9" s="120"/>
      <c r="C9" s="120"/>
      <c r="D9" s="119"/>
      <c r="E9" s="91"/>
      <c r="F9" s="90"/>
      <c r="G9" s="90"/>
      <c r="H9" s="90"/>
      <c r="I9" s="90"/>
      <c r="J9" s="90"/>
    </row>
    <row r="10" spans="1:15" s="20" customFormat="1" ht="12.75" customHeight="1" outlineLevel="1">
      <c r="D10" s="111"/>
      <c r="E10" s="111"/>
      <c r="F10" s="111"/>
      <c r="G10" s="111"/>
      <c r="H10" s="111"/>
      <c r="I10" s="111"/>
      <c r="J10" s="111"/>
    </row>
    <row r="11" spans="1:15" s="20" customFormat="1" ht="27" customHeight="1" outlineLevel="1">
      <c r="A11" s="22" t="s">
        <v>35</v>
      </c>
      <c r="B11" s="22"/>
      <c r="C11" s="22"/>
      <c r="F11" s="78">
        <f>COUNTA(F13:F1074)</f>
        <v>128</v>
      </c>
      <c r="G11" s="41"/>
      <c r="H11" s="41"/>
      <c r="I11" s="78"/>
      <c r="J11" s="42"/>
      <c r="K11" s="41" t="e">
        <f>COUNTIF(#REF!,CheckErr)</f>
        <v>#REF!</v>
      </c>
      <c r="L11" s="41"/>
      <c r="M11" s="41" t="e">
        <f>COUNTIF(#REF!,CheckErr)</f>
        <v>#REF!</v>
      </c>
    </row>
    <row r="12" spans="1:15" ht="68.25" customHeight="1">
      <c r="A12" s="19" t="s">
        <v>34</v>
      </c>
      <c r="B12" s="31" t="s">
        <v>49</v>
      </c>
      <c r="C12" s="31" t="s">
        <v>48</v>
      </c>
      <c r="D12" s="39" t="s">
        <v>41</v>
      </c>
      <c r="E12" s="39" t="s">
        <v>431</v>
      </c>
      <c r="F12" s="79" t="s">
        <v>40</v>
      </c>
      <c r="G12" s="33" t="s">
        <v>39</v>
      </c>
      <c r="H12" s="32" t="s">
        <v>38</v>
      </c>
      <c r="I12" s="85" t="s">
        <v>33</v>
      </c>
      <c r="J12" s="37" t="s">
        <v>32</v>
      </c>
      <c r="K12" s="38" t="s">
        <v>31</v>
      </c>
      <c r="L12" s="29" t="s">
        <v>37</v>
      </c>
      <c r="M12" s="30" t="s">
        <v>30</v>
      </c>
    </row>
    <row r="13" spans="1:15" ht="54">
      <c r="A13" s="94">
        <v>1</v>
      </c>
      <c r="B13" s="94" t="s">
        <v>734</v>
      </c>
      <c r="C13" s="94" t="s">
        <v>432</v>
      </c>
      <c r="D13" s="94" t="s">
        <v>433</v>
      </c>
      <c r="E13" s="94" t="s">
        <v>433</v>
      </c>
      <c r="F13" s="95" t="s">
        <v>729</v>
      </c>
      <c r="G13" s="96"/>
      <c r="H13" s="97" t="s">
        <v>742</v>
      </c>
      <c r="I13" s="35" t="s">
        <v>764</v>
      </c>
      <c r="J13" s="34" t="s">
        <v>12</v>
      </c>
      <c r="K13" s="34" t="s">
        <v>741</v>
      </c>
      <c r="L13" s="96" t="s">
        <v>734</v>
      </c>
      <c r="M13" s="13"/>
    </row>
    <row r="14" spans="1:15">
      <c r="A14" s="94">
        <f t="shared" ref="A14:A45" si="0">A13+1</f>
        <v>2</v>
      </c>
      <c r="B14" s="94" t="s">
        <v>734</v>
      </c>
      <c r="C14" s="94" t="s">
        <v>434</v>
      </c>
      <c r="D14" s="94">
        <v>1.4</v>
      </c>
      <c r="E14" s="94" t="s">
        <v>435</v>
      </c>
      <c r="F14" s="95" t="s">
        <v>436</v>
      </c>
      <c r="G14" s="96"/>
      <c r="H14" s="97" t="s">
        <v>742</v>
      </c>
      <c r="I14" s="34" t="s">
        <v>757</v>
      </c>
      <c r="J14" s="34" t="s">
        <v>12</v>
      </c>
      <c r="K14" s="98" t="s">
        <v>741</v>
      </c>
      <c r="L14" s="96" t="s">
        <v>734</v>
      </c>
      <c r="M14" s="13"/>
    </row>
    <row r="15" spans="1:15" ht="54">
      <c r="A15" s="99">
        <f t="shared" si="0"/>
        <v>3</v>
      </c>
      <c r="B15" s="94" t="s">
        <v>734</v>
      </c>
      <c r="C15" s="94" t="s">
        <v>437</v>
      </c>
      <c r="D15" s="94">
        <v>1.5</v>
      </c>
      <c r="E15" s="94" t="s">
        <v>438</v>
      </c>
      <c r="F15" s="95" t="s">
        <v>730</v>
      </c>
      <c r="G15" s="96"/>
      <c r="H15" s="97" t="s">
        <v>742</v>
      </c>
      <c r="I15" s="35" t="s">
        <v>876</v>
      </c>
      <c r="J15" s="34" t="s">
        <v>12</v>
      </c>
      <c r="K15" s="98" t="s">
        <v>741</v>
      </c>
      <c r="L15" s="96" t="s">
        <v>734</v>
      </c>
      <c r="M15" s="13"/>
    </row>
    <row r="16" spans="1:15">
      <c r="A16" s="99">
        <f t="shared" si="0"/>
        <v>4</v>
      </c>
      <c r="B16" s="94" t="s">
        <v>734</v>
      </c>
      <c r="C16" s="94" t="s">
        <v>439</v>
      </c>
      <c r="D16" s="94" t="s">
        <v>440</v>
      </c>
      <c r="E16" s="94" t="s">
        <v>441</v>
      </c>
      <c r="F16" s="95" t="s">
        <v>442</v>
      </c>
      <c r="G16" s="96"/>
      <c r="H16" s="97" t="s">
        <v>742</v>
      </c>
      <c r="I16" s="34" t="s">
        <v>743</v>
      </c>
      <c r="J16" s="34" t="s">
        <v>12</v>
      </c>
      <c r="K16" s="98" t="s">
        <v>741</v>
      </c>
      <c r="L16" s="96" t="s">
        <v>734</v>
      </c>
      <c r="M16" s="13"/>
    </row>
    <row r="17" spans="1:13">
      <c r="A17" s="99">
        <f t="shared" si="0"/>
        <v>5</v>
      </c>
      <c r="B17" s="94" t="s">
        <v>734</v>
      </c>
      <c r="C17" s="94" t="s">
        <v>443</v>
      </c>
      <c r="D17" s="94" t="s">
        <v>444</v>
      </c>
      <c r="E17" s="94" t="s">
        <v>445</v>
      </c>
      <c r="F17" s="95" t="s">
        <v>446</v>
      </c>
      <c r="G17" s="96"/>
      <c r="H17" s="97" t="s">
        <v>742</v>
      </c>
      <c r="I17" s="34" t="s">
        <v>743</v>
      </c>
      <c r="J17" s="34" t="s">
        <v>12</v>
      </c>
      <c r="K17" s="98" t="s">
        <v>741</v>
      </c>
      <c r="L17" s="96" t="s">
        <v>734</v>
      </c>
      <c r="M17" s="13"/>
    </row>
    <row r="18" spans="1:13" ht="108">
      <c r="A18" s="99">
        <f t="shared" si="0"/>
        <v>6</v>
      </c>
      <c r="B18" s="94" t="s">
        <v>734</v>
      </c>
      <c r="C18" s="94" t="s">
        <v>447</v>
      </c>
      <c r="D18" s="94" t="s">
        <v>444</v>
      </c>
      <c r="E18" s="94" t="s">
        <v>448</v>
      </c>
      <c r="F18" s="95" t="s">
        <v>731</v>
      </c>
      <c r="G18" s="96"/>
      <c r="H18" s="97" t="s">
        <v>742</v>
      </c>
      <c r="I18" s="35" t="s">
        <v>765</v>
      </c>
      <c r="J18" s="98" t="s">
        <v>11</v>
      </c>
      <c r="K18" s="96"/>
      <c r="L18" s="96" t="s">
        <v>734</v>
      </c>
      <c r="M18" s="13"/>
    </row>
    <row r="19" spans="1:13" ht="40.5">
      <c r="A19" s="99">
        <f t="shared" si="0"/>
        <v>7</v>
      </c>
      <c r="B19" s="94" t="s">
        <v>734</v>
      </c>
      <c r="C19" s="94" t="s">
        <v>449</v>
      </c>
      <c r="D19" s="94" t="s">
        <v>450</v>
      </c>
      <c r="E19" s="94" t="s">
        <v>451</v>
      </c>
      <c r="F19" s="95" t="s">
        <v>732</v>
      </c>
      <c r="G19" s="96"/>
      <c r="H19" s="97" t="s">
        <v>742</v>
      </c>
      <c r="I19" s="98" t="s">
        <v>758</v>
      </c>
      <c r="J19" s="98" t="s">
        <v>12</v>
      </c>
      <c r="K19" s="98" t="s">
        <v>741</v>
      </c>
      <c r="L19" s="96" t="s">
        <v>734</v>
      </c>
      <c r="M19" s="13"/>
    </row>
    <row r="20" spans="1:13" ht="40.5">
      <c r="A20" s="99">
        <f t="shared" si="0"/>
        <v>8</v>
      </c>
      <c r="B20" s="94" t="s">
        <v>734</v>
      </c>
      <c r="C20" s="94" t="s">
        <v>452</v>
      </c>
      <c r="D20" s="94" t="s">
        <v>453</v>
      </c>
      <c r="E20" s="94" t="s">
        <v>454</v>
      </c>
      <c r="F20" s="95" t="s">
        <v>733</v>
      </c>
      <c r="G20" s="96"/>
      <c r="H20" s="97" t="s">
        <v>887</v>
      </c>
      <c r="I20" s="34" t="s">
        <v>746</v>
      </c>
      <c r="J20" s="96" t="s">
        <v>12</v>
      </c>
      <c r="K20" s="101" t="s">
        <v>741</v>
      </c>
      <c r="L20" s="96" t="s">
        <v>734</v>
      </c>
      <c r="M20" s="13"/>
    </row>
    <row r="21" spans="1:13" ht="135">
      <c r="A21" s="99">
        <f t="shared" si="0"/>
        <v>9</v>
      </c>
      <c r="B21" s="94" t="s">
        <v>734</v>
      </c>
      <c r="C21" s="94" t="s">
        <v>455</v>
      </c>
      <c r="D21" s="94" t="s">
        <v>456</v>
      </c>
      <c r="E21" s="94" t="s">
        <v>457</v>
      </c>
      <c r="F21" s="95" t="s">
        <v>458</v>
      </c>
      <c r="G21" s="96"/>
      <c r="H21" s="97" t="s">
        <v>742</v>
      </c>
      <c r="I21" s="35" t="s">
        <v>766</v>
      </c>
      <c r="J21" s="102" t="s">
        <v>11</v>
      </c>
      <c r="K21" s="102"/>
      <c r="L21" s="96" t="s">
        <v>734</v>
      </c>
      <c r="M21" s="13"/>
    </row>
    <row r="22" spans="1:13" ht="54">
      <c r="A22" s="99">
        <f t="shared" si="0"/>
        <v>10</v>
      </c>
      <c r="B22" s="94" t="s">
        <v>734</v>
      </c>
      <c r="C22" s="94" t="s">
        <v>459</v>
      </c>
      <c r="D22" s="94">
        <v>3.9</v>
      </c>
      <c r="E22" s="94" t="s">
        <v>460</v>
      </c>
      <c r="F22" s="95" t="s">
        <v>461</v>
      </c>
      <c r="G22" s="96"/>
      <c r="H22" s="97" t="s">
        <v>742</v>
      </c>
      <c r="I22" s="103" t="s">
        <v>755</v>
      </c>
      <c r="J22" s="96" t="s">
        <v>12</v>
      </c>
      <c r="K22" s="96" t="s">
        <v>741</v>
      </c>
      <c r="L22" s="96" t="s">
        <v>734</v>
      </c>
      <c r="M22" s="13"/>
    </row>
    <row r="23" spans="1:13" ht="310.5">
      <c r="A23" s="99">
        <f t="shared" si="0"/>
        <v>11</v>
      </c>
      <c r="B23" s="94" t="s">
        <v>734</v>
      </c>
      <c r="C23" s="94" t="s">
        <v>462</v>
      </c>
      <c r="D23" s="94" t="s">
        <v>463</v>
      </c>
      <c r="E23" s="94" t="s">
        <v>464</v>
      </c>
      <c r="F23" s="95" t="s">
        <v>739</v>
      </c>
      <c r="G23" s="96"/>
      <c r="H23" s="97" t="s">
        <v>742</v>
      </c>
      <c r="I23" s="35" t="s">
        <v>904</v>
      </c>
      <c r="J23" s="96" t="s">
        <v>10</v>
      </c>
      <c r="K23" s="101" t="s">
        <v>741</v>
      </c>
      <c r="L23" s="96" t="s">
        <v>734</v>
      </c>
      <c r="M23" s="13"/>
    </row>
    <row r="24" spans="1:13">
      <c r="A24" s="99">
        <f t="shared" si="0"/>
        <v>12</v>
      </c>
      <c r="B24" s="94" t="s">
        <v>734</v>
      </c>
      <c r="C24" s="94" t="s">
        <v>465</v>
      </c>
      <c r="D24" s="94">
        <v>6.1</v>
      </c>
      <c r="E24" s="94" t="s">
        <v>466</v>
      </c>
      <c r="F24" s="95" t="s">
        <v>467</v>
      </c>
      <c r="G24" s="96"/>
      <c r="H24" s="97" t="s">
        <v>742</v>
      </c>
      <c r="I24" s="96" t="s">
        <v>746</v>
      </c>
      <c r="J24" s="104" t="s">
        <v>12</v>
      </c>
      <c r="K24" s="104" t="s">
        <v>741</v>
      </c>
      <c r="L24" s="96" t="s">
        <v>734</v>
      </c>
      <c r="M24" s="13"/>
    </row>
    <row r="25" spans="1:13" ht="27">
      <c r="A25" s="99">
        <f t="shared" si="0"/>
        <v>13</v>
      </c>
      <c r="B25" s="94" t="s">
        <v>734</v>
      </c>
      <c r="C25" s="94" t="s">
        <v>468</v>
      </c>
      <c r="D25" s="94" t="s">
        <v>469</v>
      </c>
      <c r="E25" s="94" t="s">
        <v>470</v>
      </c>
      <c r="F25" s="95" t="s">
        <v>471</v>
      </c>
      <c r="G25" s="96"/>
      <c r="H25" s="97" t="s">
        <v>742</v>
      </c>
      <c r="I25" s="35" t="s">
        <v>746</v>
      </c>
      <c r="J25" s="34" t="s">
        <v>12</v>
      </c>
      <c r="K25" s="98" t="s">
        <v>741</v>
      </c>
      <c r="L25" s="96" t="s">
        <v>734</v>
      </c>
      <c r="M25" s="13"/>
    </row>
    <row r="26" spans="1:13" ht="67.5">
      <c r="A26" s="99">
        <f t="shared" si="0"/>
        <v>14</v>
      </c>
      <c r="B26" s="94" t="s">
        <v>734</v>
      </c>
      <c r="C26" s="94" t="s">
        <v>472</v>
      </c>
      <c r="D26" s="94" t="s">
        <v>473</v>
      </c>
      <c r="E26" s="94" t="s">
        <v>474</v>
      </c>
      <c r="F26" s="95" t="s">
        <v>475</v>
      </c>
      <c r="G26" s="96"/>
      <c r="H26" s="97" t="s">
        <v>742</v>
      </c>
      <c r="I26" s="35" t="s">
        <v>774</v>
      </c>
      <c r="J26" s="96" t="s">
        <v>11</v>
      </c>
      <c r="K26" s="96"/>
      <c r="L26" s="96" t="s">
        <v>734</v>
      </c>
      <c r="M26" s="13"/>
    </row>
    <row r="27" spans="1:13">
      <c r="A27" s="99">
        <f t="shared" si="0"/>
        <v>15</v>
      </c>
      <c r="B27" s="94" t="s">
        <v>734</v>
      </c>
      <c r="C27" s="94" t="s">
        <v>476</v>
      </c>
      <c r="D27" s="94" t="s">
        <v>473</v>
      </c>
      <c r="E27" s="94" t="s">
        <v>477</v>
      </c>
      <c r="F27" s="95" t="s">
        <v>478</v>
      </c>
      <c r="G27" s="96"/>
      <c r="H27" s="97" t="s">
        <v>742</v>
      </c>
      <c r="I27" s="96" t="s">
        <v>746</v>
      </c>
      <c r="J27" s="104" t="s">
        <v>12</v>
      </c>
      <c r="K27" s="104" t="s">
        <v>741</v>
      </c>
      <c r="L27" s="96" t="s">
        <v>734</v>
      </c>
      <c r="M27" s="13"/>
    </row>
    <row r="28" spans="1:13" ht="54">
      <c r="A28" s="99">
        <f t="shared" si="0"/>
        <v>16</v>
      </c>
      <c r="B28" s="94" t="s">
        <v>734</v>
      </c>
      <c r="C28" s="94" t="s">
        <v>479</v>
      </c>
      <c r="D28" s="94" t="s">
        <v>480</v>
      </c>
      <c r="E28" s="94" t="s">
        <v>481</v>
      </c>
      <c r="F28" s="95" t="s">
        <v>482</v>
      </c>
      <c r="G28" s="96"/>
      <c r="H28" s="97" t="s">
        <v>742</v>
      </c>
      <c r="I28" s="35" t="s">
        <v>775</v>
      </c>
      <c r="J28" s="96" t="s">
        <v>11</v>
      </c>
      <c r="K28" s="96"/>
      <c r="L28" s="96" t="s">
        <v>734</v>
      </c>
      <c r="M28" s="13"/>
    </row>
    <row r="29" spans="1:13" ht="67.5">
      <c r="A29" s="99">
        <f t="shared" si="0"/>
        <v>17</v>
      </c>
      <c r="B29" s="94" t="s">
        <v>734</v>
      </c>
      <c r="C29" s="94" t="s">
        <v>483</v>
      </c>
      <c r="D29" s="94" t="s">
        <v>484</v>
      </c>
      <c r="E29" s="94" t="s">
        <v>485</v>
      </c>
      <c r="F29" s="95" t="s">
        <v>486</v>
      </c>
      <c r="G29" s="96"/>
      <c r="H29" s="97" t="s">
        <v>742</v>
      </c>
      <c r="I29" s="96" t="s">
        <v>752</v>
      </c>
      <c r="J29" s="96" t="s">
        <v>12</v>
      </c>
      <c r="K29" s="104" t="s">
        <v>741</v>
      </c>
      <c r="L29" s="96" t="s">
        <v>734</v>
      </c>
      <c r="M29" s="13"/>
    </row>
    <row r="30" spans="1:13">
      <c r="A30" s="99">
        <f t="shared" si="0"/>
        <v>18</v>
      </c>
      <c r="B30" s="94" t="s">
        <v>734</v>
      </c>
      <c r="C30" s="94" t="s">
        <v>487</v>
      </c>
      <c r="D30" s="94" t="s">
        <v>488</v>
      </c>
      <c r="E30" s="94" t="s">
        <v>489</v>
      </c>
      <c r="F30" s="95" t="s">
        <v>490</v>
      </c>
      <c r="G30" s="96"/>
      <c r="H30" s="97" t="s">
        <v>742</v>
      </c>
      <c r="I30" s="96" t="s">
        <v>745</v>
      </c>
      <c r="J30" s="104" t="s">
        <v>12</v>
      </c>
      <c r="K30" s="104" t="s">
        <v>741</v>
      </c>
      <c r="L30" s="96" t="s">
        <v>734</v>
      </c>
      <c r="M30" s="13"/>
    </row>
    <row r="31" spans="1:13" ht="40.5">
      <c r="A31" s="99">
        <f t="shared" si="0"/>
        <v>19</v>
      </c>
      <c r="B31" s="94" t="s">
        <v>734</v>
      </c>
      <c r="C31" s="94" t="s">
        <v>491</v>
      </c>
      <c r="D31" s="94" t="s">
        <v>488</v>
      </c>
      <c r="E31" s="94" t="s">
        <v>433</v>
      </c>
      <c r="F31" s="95" t="s">
        <v>492</v>
      </c>
      <c r="G31" s="96"/>
      <c r="H31" s="97" t="s">
        <v>742</v>
      </c>
      <c r="I31" s="35" t="s">
        <v>746</v>
      </c>
      <c r="J31" s="34" t="s">
        <v>12</v>
      </c>
      <c r="K31" s="98" t="s">
        <v>741</v>
      </c>
      <c r="L31" s="96" t="s">
        <v>734</v>
      </c>
      <c r="M31" s="13"/>
    </row>
    <row r="32" spans="1:13">
      <c r="A32" s="99">
        <f t="shared" si="0"/>
        <v>20</v>
      </c>
      <c r="B32" s="94" t="s">
        <v>734</v>
      </c>
      <c r="C32" s="94" t="s">
        <v>493</v>
      </c>
      <c r="D32" s="94" t="s">
        <v>494</v>
      </c>
      <c r="E32" s="94" t="s">
        <v>495</v>
      </c>
      <c r="F32" s="95" t="s">
        <v>496</v>
      </c>
      <c r="G32" s="96"/>
      <c r="H32" s="97" t="s">
        <v>742</v>
      </c>
      <c r="I32" s="34" t="s">
        <v>743</v>
      </c>
      <c r="J32" s="34" t="s">
        <v>12</v>
      </c>
      <c r="K32" s="98" t="s">
        <v>741</v>
      </c>
      <c r="L32" s="96" t="s">
        <v>734</v>
      </c>
      <c r="M32" s="13"/>
    </row>
    <row r="33" spans="1:13" ht="54">
      <c r="A33" s="99">
        <f t="shared" si="0"/>
        <v>21</v>
      </c>
      <c r="B33" s="94" t="s">
        <v>734</v>
      </c>
      <c r="C33" s="94" t="s">
        <v>497</v>
      </c>
      <c r="D33" s="94" t="s">
        <v>498</v>
      </c>
      <c r="E33" s="94" t="s">
        <v>499</v>
      </c>
      <c r="F33" s="95" t="s">
        <v>500</v>
      </c>
      <c r="G33" s="96"/>
      <c r="H33" s="97" t="s">
        <v>742</v>
      </c>
      <c r="I33" s="35" t="s">
        <v>773</v>
      </c>
      <c r="J33" s="34" t="s">
        <v>12</v>
      </c>
      <c r="K33" s="34" t="s">
        <v>741</v>
      </c>
      <c r="L33" s="96" t="s">
        <v>734</v>
      </c>
      <c r="M33" s="13"/>
    </row>
    <row r="34" spans="1:13" ht="54">
      <c r="A34" s="99">
        <f t="shared" si="0"/>
        <v>22</v>
      </c>
      <c r="B34" s="94" t="s">
        <v>734</v>
      </c>
      <c r="C34" s="94" t="s">
        <v>501</v>
      </c>
      <c r="D34" s="94" t="s">
        <v>498</v>
      </c>
      <c r="E34" s="94" t="s">
        <v>502</v>
      </c>
      <c r="F34" s="95" t="s">
        <v>503</v>
      </c>
      <c r="G34" s="96"/>
      <c r="H34" s="97" t="s">
        <v>742</v>
      </c>
      <c r="I34" s="35" t="s">
        <v>920</v>
      </c>
      <c r="J34" s="96" t="s">
        <v>12</v>
      </c>
      <c r="K34" s="34" t="s">
        <v>741</v>
      </c>
      <c r="L34" s="96" t="s">
        <v>734</v>
      </c>
      <c r="M34" s="13"/>
    </row>
    <row r="35" spans="1:13" ht="27">
      <c r="A35" s="99">
        <f t="shared" si="0"/>
        <v>23</v>
      </c>
      <c r="B35" s="94" t="s">
        <v>734</v>
      </c>
      <c r="C35" s="94" t="s">
        <v>504</v>
      </c>
      <c r="D35" s="94">
        <v>10</v>
      </c>
      <c r="E35" s="94" t="s">
        <v>505</v>
      </c>
      <c r="F35" s="95" t="s">
        <v>506</v>
      </c>
      <c r="G35" s="96"/>
      <c r="H35" s="97" t="s">
        <v>887</v>
      </c>
      <c r="I35" s="100" t="s">
        <v>746</v>
      </c>
      <c r="J35" s="96" t="s">
        <v>12</v>
      </c>
      <c r="K35" s="96" t="s">
        <v>741</v>
      </c>
      <c r="L35" s="96" t="s">
        <v>734</v>
      </c>
      <c r="M35" s="13"/>
    </row>
    <row r="36" spans="1:13" ht="94.5">
      <c r="A36" s="99">
        <f t="shared" si="0"/>
        <v>24</v>
      </c>
      <c r="B36" s="94" t="s">
        <v>734</v>
      </c>
      <c r="C36" s="94" t="s">
        <v>507</v>
      </c>
      <c r="D36" s="94">
        <v>11.1</v>
      </c>
      <c r="E36" s="94" t="s">
        <v>508</v>
      </c>
      <c r="F36" s="95" t="s">
        <v>509</v>
      </c>
      <c r="G36" s="96"/>
      <c r="H36" s="34" t="s">
        <v>742</v>
      </c>
      <c r="I36" s="35" t="s">
        <v>878</v>
      </c>
      <c r="J36" s="96" t="s">
        <v>11</v>
      </c>
      <c r="K36" s="96"/>
      <c r="L36" s="96" t="s">
        <v>734</v>
      </c>
      <c r="M36" s="13"/>
    </row>
    <row r="37" spans="1:13" ht="270">
      <c r="A37" s="99">
        <f t="shared" si="0"/>
        <v>25</v>
      </c>
      <c r="B37" s="94" t="s">
        <v>734</v>
      </c>
      <c r="C37" s="94" t="s">
        <v>510</v>
      </c>
      <c r="D37" s="94">
        <v>11.2</v>
      </c>
      <c r="E37" s="94" t="s">
        <v>511</v>
      </c>
      <c r="F37" s="95" t="s">
        <v>738</v>
      </c>
      <c r="G37" s="96"/>
      <c r="H37" s="34" t="s">
        <v>742</v>
      </c>
      <c r="I37" s="96"/>
      <c r="J37" s="96" t="s">
        <v>10</v>
      </c>
      <c r="K37" s="34" t="s">
        <v>741</v>
      </c>
      <c r="L37" s="96" t="s">
        <v>734</v>
      </c>
      <c r="M37" s="13"/>
    </row>
    <row r="38" spans="1:13" ht="229.5">
      <c r="A38" s="99">
        <f t="shared" si="0"/>
        <v>26</v>
      </c>
      <c r="B38" s="94" t="s">
        <v>734</v>
      </c>
      <c r="C38" s="94" t="s">
        <v>512</v>
      </c>
      <c r="D38" s="94" t="s">
        <v>513</v>
      </c>
      <c r="E38" s="94" t="s">
        <v>470</v>
      </c>
      <c r="F38" s="95" t="s">
        <v>514</v>
      </c>
      <c r="G38" s="96"/>
      <c r="H38" s="97" t="s">
        <v>742</v>
      </c>
      <c r="I38" s="35" t="s">
        <v>914</v>
      </c>
      <c r="J38" s="34" t="s">
        <v>12</v>
      </c>
      <c r="K38" s="34" t="s">
        <v>741</v>
      </c>
      <c r="L38" s="34" t="s">
        <v>734</v>
      </c>
      <c r="M38" s="13"/>
    </row>
    <row r="39" spans="1:13" ht="27">
      <c r="A39" s="99">
        <f t="shared" si="0"/>
        <v>27</v>
      </c>
      <c r="B39" s="94" t="s">
        <v>734</v>
      </c>
      <c r="C39" s="94" t="s">
        <v>515</v>
      </c>
      <c r="D39" s="94" t="s">
        <v>433</v>
      </c>
      <c r="E39" s="94" t="s">
        <v>470</v>
      </c>
      <c r="F39" s="95" t="s">
        <v>516</v>
      </c>
      <c r="G39" s="96"/>
      <c r="H39" s="97" t="s">
        <v>742</v>
      </c>
      <c r="I39" s="35" t="s">
        <v>879</v>
      </c>
      <c r="J39" s="96" t="s">
        <v>11</v>
      </c>
      <c r="K39" s="96"/>
      <c r="L39" s="34" t="s">
        <v>734</v>
      </c>
      <c r="M39" s="13"/>
    </row>
    <row r="40" spans="1:13" ht="216">
      <c r="A40" s="99">
        <f t="shared" si="0"/>
        <v>28</v>
      </c>
      <c r="B40" s="94" t="s">
        <v>734</v>
      </c>
      <c r="C40" s="94" t="s">
        <v>517</v>
      </c>
      <c r="D40" s="94" t="s">
        <v>433</v>
      </c>
      <c r="E40" s="94" t="s">
        <v>470</v>
      </c>
      <c r="F40" s="95" t="s">
        <v>518</v>
      </c>
      <c r="G40" s="96"/>
      <c r="H40" s="97" t="s">
        <v>887</v>
      </c>
      <c r="I40" s="35" t="s">
        <v>888</v>
      </c>
      <c r="J40" s="96" t="s">
        <v>12</v>
      </c>
      <c r="K40" s="96" t="s">
        <v>741</v>
      </c>
      <c r="L40" s="96" t="s">
        <v>734</v>
      </c>
      <c r="M40" s="13"/>
    </row>
    <row r="41" spans="1:13">
      <c r="A41" s="99">
        <f t="shared" si="0"/>
        <v>29</v>
      </c>
      <c r="B41" s="94" t="s">
        <v>735</v>
      </c>
      <c r="C41" s="94" t="s">
        <v>519</v>
      </c>
      <c r="D41" s="94" t="s">
        <v>520</v>
      </c>
      <c r="E41" s="94">
        <v>1</v>
      </c>
      <c r="F41" s="95" t="s">
        <v>521</v>
      </c>
      <c r="G41" s="96"/>
      <c r="H41" s="97" t="s">
        <v>742</v>
      </c>
      <c r="I41" s="34" t="s">
        <v>743</v>
      </c>
      <c r="J41" s="96" t="s">
        <v>12</v>
      </c>
      <c r="K41" s="104" t="s">
        <v>741</v>
      </c>
      <c r="L41" s="96" t="s">
        <v>734</v>
      </c>
      <c r="M41" s="13"/>
    </row>
    <row r="42" spans="1:13" ht="40.5">
      <c r="A42" s="99">
        <f t="shared" si="0"/>
        <v>30</v>
      </c>
      <c r="B42" s="94" t="s">
        <v>735</v>
      </c>
      <c r="C42" s="94" t="s">
        <v>522</v>
      </c>
      <c r="D42" s="94" t="s">
        <v>520</v>
      </c>
      <c r="E42" s="94">
        <v>1</v>
      </c>
      <c r="F42" s="95" t="s">
        <v>523</v>
      </c>
      <c r="G42" s="96"/>
      <c r="H42" s="97" t="s">
        <v>742</v>
      </c>
      <c r="I42" s="35" t="s">
        <v>901</v>
      </c>
      <c r="J42" s="96" t="s">
        <v>10</v>
      </c>
      <c r="K42" s="34" t="s">
        <v>741</v>
      </c>
      <c r="L42" s="96" t="s">
        <v>734</v>
      </c>
      <c r="M42" s="13"/>
    </row>
    <row r="43" spans="1:13" ht="27">
      <c r="A43" s="99">
        <f t="shared" si="0"/>
        <v>31</v>
      </c>
      <c r="B43" s="94" t="s">
        <v>735</v>
      </c>
      <c r="C43" s="94" t="s">
        <v>524</v>
      </c>
      <c r="D43" s="94" t="s">
        <v>525</v>
      </c>
      <c r="E43" s="94" t="s">
        <v>526</v>
      </c>
      <c r="F43" s="95" t="s">
        <v>527</v>
      </c>
      <c r="G43" s="96"/>
      <c r="H43" s="97" t="s">
        <v>742</v>
      </c>
      <c r="I43" s="34" t="s">
        <v>770</v>
      </c>
      <c r="J43" s="34" t="s">
        <v>12</v>
      </c>
      <c r="K43" s="98" t="s">
        <v>741</v>
      </c>
      <c r="L43" s="96" t="s">
        <v>734</v>
      </c>
      <c r="M43" s="13"/>
    </row>
    <row r="44" spans="1:13">
      <c r="A44" s="99">
        <f t="shared" si="0"/>
        <v>32</v>
      </c>
      <c r="B44" s="94" t="s">
        <v>735</v>
      </c>
      <c r="C44" s="94" t="s">
        <v>528</v>
      </c>
      <c r="D44" s="94" t="s">
        <v>525</v>
      </c>
      <c r="E44" s="94" t="s">
        <v>529</v>
      </c>
      <c r="F44" s="95" t="s">
        <v>530</v>
      </c>
      <c r="G44" s="96"/>
      <c r="H44" s="97" t="s">
        <v>742</v>
      </c>
      <c r="I44" s="34" t="s">
        <v>746</v>
      </c>
      <c r="J44" s="34" t="s">
        <v>12</v>
      </c>
      <c r="K44" s="98" t="s">
        <v>741</v>
      </c>
      <c r="L44" s="96" t="s">
        <v>734</v>
      </c>
      <c r="M44" s="13"/>
    </row>
    <row r="45" spans="1:13">
      <c r="A45" s="99">
        <f t="shared" si="0"/>
        <v>33</v>
      </c>
      <c r="B45" s="94" t="s">
        <v>735</v>
      </c>
      <c r="C45" s="94" t="s">
        <v>531</v>
      </c>
      <c r="D45" s="94">
        <v>1.1000000000000001</v>
      </c>
      <c r="E45" s="94" t="s">
        <v>532</v>
      </c>
      <c r="F45" s="95" t="s">
        <v>533</v>
      </c>
      <c r="G45" s="96"/>
      <c r="H45" s="97" t="s">
        <v>742</v>
      </c>
      <c r="I45" s="34" t="s">
        <v>758</v>
      </c>
      <c r="J45" s="34" t="s">
        <v>12</v>
      </c>
      <c r="K45" s="98" t="s">
        <v>741</v>
      </c>
      <c r="L45" s="96" t="s">
        <v>734</v>
      </c>
      <c r="M45" s="13"/>
    </row>
    <row r="46" spans="1:13" ht="54">
      <c r="A46" s="99">
        <f t="shared" ref="A46:A77" si="1">A45+1</f>
        <v>34</v>
      </c>
      <c r="B46" s="94" t="s">
        <v>735</v>
      </c>
      <c r="C46" s="94" t="s">
        <v>534</v>
      </c>
      <c r="D46" s="94">
        <v>1.4</v>
      </c>
      <c r="E46" s="94" t="s">
        <v>535</v>
      </c>
      <c r="F46" s="95" t="s">
        <v>536</v>
      </c>
      <c r="G46" s="96"/>
      <c r="H46" s="97" t="s">
        <v>742</v>
      </c>
      <c r="I46" s="35" t="s">
        <v>759</v>
      </c>
      <c r="J46" s="34" t="s">
        <v>12</v>
      </c>
      <c r="K46" s="34" t="s">
        <v>741</v>
      </c>
      <c r="L46" s="96" t="s">
        <v>734</v>
      </c>
      <c r="M46" s="13"/>
    </row>
    <row r="47" spans="1:13" ht="27">
      <c r="A47" s="99">
        <f t="shared" si="1"/>
        <v>35</v>
      </c>
      <c r="B47" s="94" t="s">
        <v>735</v>
      </c>
      <c r="C47" s="94" t="s">
        <v>537</v>
      </c>
      <c r="D47" s="94">
        <v>1.4</v>
      </c>
      <c r="E47" s="94" t="s">
        <v>535</v>
      </c>
      <c r="F47" s="95" t="s">
        <v>538</v>
      </c>
      <c r="G47" s="96"/>
      <c r="H47" s="97" t="s">
        <v>742</v>
      </c>
      <c r="I47" s="34" t="s">
        <v>875</v>
      </c>
      <c r="J47" s="34" t="s">
        <v>12</v>
      </c>
      <c r="K47" s="98" t="s">
        <v>741</v>
      </c>
      <c r="L47" s="96" t="s">
        <v>734</v>
      </c>
      <c r="M47" s="13"/>
    </row>
    <row r="48" spans="1:13" ht="27">
      <c r="A48" s="99">
        <f t="shared" si="1"/>
        <v>36</v>
      </c>
      <c r="B48" s="94" t="s">
        <v>735</v>
      </c>
      <c r="C48" s="94" t="s">
        <v>539</v>
      </c>
      <c r="D48" s="94">
        <v>1.5</v>
      </c>
      <c r="E48" s="94" t="s">
        <v>540</v>
      </c>
      <c r="F48" s="95" t="s">
        <v>541</v>
      </c>
      <c r="G48" s="96"/>
      <c r="H48" s="97" t="s">
        <v>742</v>
      </c>
      <c r="I48" s="34" t="s">
        <v>758</v>
      </c>
      <c r="J48" s="34" t="s">
        <v>12</v>
      </c>
      <c r="K48" s="98" t="s">
        <v>741</v>
      </c>
      <c r="L48" s="96" t="s">
        <v>734</v>
      </c>
      <c r="M48" s="13"/>
    </row>
    <row r="49" spans="1:13" ht="54">
      <c r="A49" s="99">
        <f t="shared" si="1"/>
        <v>37</v>
      </c>
      <c r="B49" s="94" t="s">
        <v>735</v>
      </c>
      <c r="C49" s="94" t="s">
        <v>542</v>
      </c>
      <c r="D49" s="94">
        <v>1.5</v>
      </c>
      <c r="E49" s="94" t="s">
        <v>543</v>
      </c>
      <c r="F49" s="95" t="s">
        <v>544</v>
      </c>
      <c r="G49" s="96"/>
      <c r="H49" s="97" t="s">
        <v>742</v>
      </c>
      <c r="I49" s="34" t="s">
        <v>746</v>
      </c>
      <c r="J49" s="98" t="s">
        <v>12</v>
      </c>
      <c r="K49" s="98" t="s">
        <v>741</v>
      </c>
      <c r="L49" s="96" t="s">
        <v>734</v>
      </c>
      <c r="M49" s="13"/>
    </row>
    <row r="50" spans="1:13" ht="27">
      <c r="A50" s="99">
        <f t="shared" si="1"/>
        <v>38</v>
      </c>
      <c r="B50" s="94" t="s">
        <v>735</v>
      </c>
      <c r="C50" s="94" t="s">
        <v>545</v>
      </c>
      <c r="D50" s="94" t="s">
        <v>546</v>
      </c>
      <c r="E50" s="94" t="s">
        <v>547</v>
      </c>
      <c r="F50" s="95" t="s">
        <v>548</v>
      </c>
      <c r="G50" s="96"/>
      <c r="H50" s="97" t="s">
        <v>742</v>
      </c>
      <c r="I50" s="34" t="s">
        <v>874</v>
      </c>
      <c r="J50" s="34" t="s">
        <v>12</v>
      </c>
      <c r="K50" s="98" t="s">
        <v>741</v>
      </c>
      <c r="L50" s="96" t="s">
        <v>734</v>
      </c>
      <c r="M50" s="13"/>
    </row>
    <row r="51" spans="1:13" ht="81">
      <c r="A51" s="99">
        <f t="shared" si="1"/>
        <v>39</v>
      </c>
      <c r="B51" s="94" t="s">
        <v>735</v>
      </c>
      <c r="C51" s="94" t="s">
        <v>549</v>
      </c>
      <c r="D51" s="94" t="s">
        <v>550</v>
      </c>
      <c r="E51" s="94" t="s">
        <v>551</v>
      </c>
      <c r="F51" s="95" t="s">
        <v>552</v>
      </c>
      <c r="G51" s="96"/>
      <c r="H51" s="97" t="s">
        <v>742</v>
      </c>
      <c r="I51" s="35" t="s">
        <v>880</v>
      </c>
      <c r="J51" s="96" t="s">
        <v>11</v>
      </c>
      <c r="K51" s="96"/>
      <c r="L51" s="96" t="s">
        <v>734</v>
      </c>
      <c r="M51" s="13"/>
    </row>
    <row r="52" spans="1:13" ht="67.5">
      <c r="A52" s="99">
        <f t="shared" si="1"/>
        <v>40</v>
      </c>
      <c r="B52" s="94" t="s">
        <v>735</v>
      </c>
      <c r="C52" s="94" t="s">
        <v>553</v>
      </c>
      <c r="D52" s="94" t="s">
        <v>550</v>
      </c>
      <c r="E52" s="94" t="s">
        <v>554</v>
      </c>
      <c r="F52" s="95" t="s">
        <v>555</v>
      </c>
      <c r="G52" s="96"/>
      <c r="H52" s="97" t="s">
        <v>742</v>
      </c>
      <c r="I52" s="34" t="s">
        <v>758</v>
      </c>
      <c r="J52" s="34" t="s">
        <v>12</v>
      </c>
      <c r="K52" s="98" t="s">
        <v>741</v>
      </c>
      <c r="L52" s="96" t="s">
        <v>734</v>
      </c>
      <c r="M52" s="13"/>
    </row>
    <row r="53" spans="1:13">
      <c r="A53" s="99">
        <f t="shared" si="1"/>
        <v>41</v>
      </c>
      <c r="B53" s="94" t="s">
        <v>735</v>
      </c>
      <c r="C53" s="94" t="s">
        <v>556</v>
      </c>
      <c r="D53" s="94">
        <v>1.6</v>
      </c>
      <c r="E53" s="94" t="s">
        <v>557</v>
      </c>
      <c r="F53" s="95" t="s">
        <v>558</v>
      </c>
      <c r="G53" s="96"/>
      <c r="H53" s="97" t="s">
        <v>742</v>
      </c>
      <c r="I53" s="35" t="s">
        <v>758</v>
      </c>
      <c r="J53" s="34" t="s">
        <v>12</v>
      </c>
      <c r="K53" s="34" t="s">
        <v>741</v>
      </c>
      <c r="L53" s="96" t="s">
        <v>734</v>
      </c>
      <c r="M53" s="13"/>
    </row>
    <row r="54" spans="1:13">
      <c r="A54" s="99">
        <f t="shared" si="1"/>
        <v>42</v>
      </c>
      <c r="B54" s="94" t="s">
        <v>735</v>
      </c>
      <c r="C54" s="94" t="s">
        <v>559</v>
      </c>
      <c r="D54" s="94" t="s">
        <v>560</v>
      </c>
      <c r="E54" s="94">
        <v>6</v>
      </c>
      <c r="F54" s="95" t="s">
        <v>561</v>
      </c>
      <c r="G54" s="96"/>
      <c r="H54" s="97" t="s">
        <v>742</v>
      </c>
      <c r="I54" s="34" t="s">
        <v>746</v>
      </c>
      <c r="J54" s="34" t="s">
        <v>12</v>
      </c>
      <c r="K54" s="98" t="s">
        <v>741</v>
      </c>
      <c r="L54" s="96" t="s">
        <v>734</v>
      </c>
      <c r="M54" s="13"/>
    </row>
    <row r="55" spans="1:13" ht="94.5">
      <c r="A55" s="99">
        <f t="shared" si="1"/>
        <v>43</v>
      </c>
      <c r="B55" s="94" t="s">
        <v>735</v>
      </c>
      <c r="C55" s="94" t="s">
        <v>562</v>
      </c>
      <c r="D55" s="94" t="s">
        <v>525</v>
      </c>
      <c r="E55" s="94" t="s">
        <v>563</v>
      </c>
      <c r="F55" s="95" t="s">
        <v>564</v>
      </c>
      <c r="G55" s="96"/>
      <c r="H55" s="97" t="s">
        <v>742</v>
      </c>
      <c r="I55" s="35" t="s">
        <v>776</v>
      </c>
      <c r="J55" s="96" t="s">
        <v>10</v>
      </c>
      <c r="K55" s="34" t="s">
        <v>741</v>
      </c>
      <c r="L55" s="96" t="s">
        <v>734</v>
      </c>
      <c r="M55" s="13"/>
    </row>
    <row r="56" spans="1:13">
      <c r="A56" s="99">
        <f t="shared" si="1"/>
        <v>44</v>
      </c>
      <c r="B56" s="94" t="s">
        <v>735</v>
      </c>
      <c r="C56" s="94" t="s">
        <v>565</v>
      </c>
      <c r="D56" s="94">
        <v>1.8</v>
      </c>
      <c r="E56" s="94" t="s">
        <v>566</v>
      </c>
      <c r="F56" s="95" t="s">
        <v>567</v>
      </c>
      <c r="G56" s="96"/>
      <c r="H56" s="97" t="s">
        <v>742</v>
      </c>
      <c r="I56" s="34" t="s">
        <v>746</v>
      </c>
      <c r="J56" s="34" t="s">
        <v>12</v>
      </c>
      <c r="K56" s="98" t="s">
        <v>741</v>
      </c>
      <c r="L56" s="96" t="s">
        <v>734</v>
      </c>
      <c r="M56" s="13"/>
    </row>
    <row r="57" spans="1:13" ht="67.5">
      <c r="A57" s="99">
        <f t="shared" si="1"/>
        <v>45</v>
      </c>
      <c r="B57" s="94" t="s">
        <v>735</v>
      </c>
      <c r="C57" s="94" t="s">
        <v>568</v>
      </c>
      <c r="D57" s="94">
        <v>1.8</v>
      </c>
      <c r="E57" s="94" t="s">
        <v>569</v>
      </c>
      <c r="F57" s="95" t="s">
        <v>570</v>
      </c>
      <c r="G57" s="96"/>
      <c r="H57" s="97" t="s">
        <v>742</v>
      </c>
      <c r="I57" s="35" t="s">
        <v>777</v>
      </c>
      <c r="J57" s="34" t="s">
        <v>12</v>
      </c>
      <c r="K57" s="34" t="s">
        <v>741</v>
      </c>
      <c r="L57" s="96" t="s">
        <v>734</v>
      </c>
      <c r="M57" s="13"/>
    </row>
    <row r="58" spans="1:13" ht="94.5">
      <c r="A58" s="99">
        <f t="shared" si="1"/>
        <v>46</v>
      </c>
      <c r="B58" s="94" t="s">
        <v>735</v>
      </c>
      <c r="C58" s="94" t="s">
        <v>571</v>
      </c>
      <c r="D58" s="94" t="s">
        <v>572</v>
      </c>
      <c r="E58" s="94" t="s">
        <v>573</v>
      </c>
      <c r="F58" s="95" t="s">
        <v>574</v>
      </c>
      <c r="G58" s="96"/>
      <c r="H58" s="34" t="s">
        <v>742</v>
      </c>
      <c r="I58" s="35" t="s">
        <v>782</v>
      </c>
      <c r="J58" s="34" t="s">
        <v>12</v>
      </c>
      <c r="K58" s="98" t="s">
        <v>741</v>
      </c>
      <c r="L58" s="96" t="s">
        <v>734</v>
      </c>
      <c r="M58" s="13"/>
    </row>
    <row r="59" spans="1:13">
      <c r="A59" s="99">
        <f t="shared" si="1"/>
        <v>47</v>
      </c>
      <c r="B59" s="94" t="s">
        <v>735</v>
      </c>
      <c r="C59" s="94" t="s">
        <v>575</v>
      </c>
      <c r="D59" s="94" t="s">
        <v>576</v>
      </c>
      <c r="E59" s="94" t="s">
        <v>577</v>
      </c>
      <c r="F59" s="95" t="s">
        <v>578</v>
      </c>
      <c r="G59" s="96"/>
      <c r="H59" s="97" t="s">
        <v>742</v>
      </c>
      <c r="I59" s="34" t="s">
        <v>743</v>
      </c>
      <c r="J59" s="34" t="s">
        <v>12</v>
      </c>
      <c r="K59" s="98" t="s">
        <v>741</v>
      </c>
      <c r="L59" s="96" t="s">
        <v>734</v>
      </c>
      <c r="M59" s="13"/>
    </row>
    <row r="60" spans="1:13" ht="40.5">
      <c r="A60" s="99">
        <f t="shared" si="1"/>
        <v>48</v>
      </c>
      <c r="B60" s="94" t="s">
        <v>735</v>
      </c>
      <c r="C60" s="94" t="s">
        <v>579</v>
      </c>
      <c r="D60" s="94" t="s">
        <v>580</v>
      </c>
      <c r="E60" s="94" t="s">
        <v>581</v>
      </c>
      <c r="F60" s="95" t="s">
        <v>582</v>
      </c>
      <c r="G60" s="96"/>
      <c r="H60" s="97" t="s">
        <v>742</v>
      </c>
      <c r="I60" s="34" t="s">
        <v>743</v>
      </c>
      <c r="J60" s="34" t="s">
        <v>12</v>
      </c>
      <c r="K60" s="98" t="s">
        <v>741</v>
      </c>
      <c r="L60" s="96" t="s">
        <v>734</v>
      </c>
      <c r="M60" s="13"/>
    </row>
    <row r="61" spans="1:13">
      <c r="A61" s="99">
        <f t="shared" si="1"/>
        <v>49</v>
      </c>
      <c r="B61" s="94" t="s">
        <v>735</v>
      </c>
      <c r="C61" s="94" t="s">
        <v>583</v>
      </c>
      <c r="D61" s="94" t="s">
        <v>584</v>
      </c>
      <c r="E61" s="94" t="s">
        <v>585</v>
      </c>
      <c r="F61" s="95" t="s">
        <v>586</v>
      </c>
      <c r="G61" s="96"/>
      <c r="H61" s="97" t="s">
        <v>742</v>
      </c>
      <c r="I61" s="34" t="s">
        <v>778</v>
      </c>
      <c r="J61" s="34" t="s">
        <v>11</v>
      </c>
      <c r="K61" s="96"/>
      <c r="L61" s="96" t="s">
        <v>734</v>
      </c>
      <c r="M61" s="13"/>
    </row>
    <row r="62" spans="1:13" ht="27">
      <c r="A62" s="99">
        <f t="shared" si="1"/>
        <v>50</v>
      </c>
      <c r="B62" s="94" t="s">
        <v>735</v>
      </c>
      <c r="C62" s="94" t="s">
        <v>587</v>
      </c>
      <c r="D62" s="94" t="s">
        <v>588</v>
      </c>
      <c r="E62" s="94" t="s">
        <v>589</v>
      </c>
      <c r="F62" s="95" t="s">
        <v>590</v>
      </c>
      <c r="G62" s="96"/>
      <c r="H62" s="97" t="s">
        <v>742</v>
      </c>
      <c r="I62" s="34" t="s">
        <v>779</v>
      </c>
      <c r="J62" s="34" t="s">
        <v>10</v>
      </c>
      <c r="K62" s="98" t="s">
        <v>741</v>
      </c>
      <c r="L62" s="96" t="s">
        <v>734</v>
      </c>
      <c r="M62" s="13"/>
    </row>
    <row r="63" spans="1:13" ht="27">
      <c r="A63" s="99">
        <f t="shared" si="1"/>
        <v>51</v>
      </c>
      <c r="B63" s="94" t="s">
        <v>735</v>
      </c>
      <c r="C63" s="94" t="s">
        <v>591</v>
      </c>
      <c r="D63" s="94" t="s">
        <v>592</v>
      </c>
      <c r="E63" s="94">
        <v>14</v>
      </c>
      <c r="F63" s="95" t="s">
        <v>593</v>
      </c>
      <c r="G63" s="96"/>
      <c r="H63" s="97" t="s">
        <v>742</v>
      </c>
      <c r="I63" s="35" t="s">
        <v>772</v>
      </c>
      <c r="J63" s="34" t="s">
        <v>12</v>
      </c>
      <c r="K63" s="34" t="s">
        <v>741</v>
      </c>
      <c r="L63" s="96" t="s">
        <v>734</v>
      </c>
      <c r="M63" s="13"/>
    </row>
    <row r="64" spans="1:13">
      <c r="A64" s="99">
        <f t="shared" si="1"/>
        <v>52</v>
      </c>
      <c r="B64" s="94" t="s">
        <v>735</v>
      </c>
      <c r="C64" s="94" t="s">
        <v>594</v>
      </c>
      <c r="D64" s="94">
        <v>1.1100000000000001</v>
      </c>
      <c r="E64" s="94">
        <v>15</v>
      </c>
      <c r="F64" s="95" t="s">
        <v>595</v>
      </c>
      <c r="G64" s="96"/>
      <c r="H64" s="34" t="s">
        <v>742</v>
      </c>
      <c r="I64" s="34" t="s">
        <v>771</v>
      </c>
      <c r="J64" s="98" t="s">
        <v>12</v>
      </c>
      <c r="K64" s="98" t="s">
        <v>741</v>
      </c>
      <c r="L64" s="96" t="s">
        <v>734</v>
      </c>
      <c r="M64" s="13"/>
    </row>
    <row r="65" spans="1:13">
      <c r="A65" s="99">
        <f t="shared" si="1"/>
        <v>53</v>
      </c>
      <c r="B65" s="94" t="s">
        <v>735</v>
      </c>
      <c r="C65" s="94" t="s">
        <v>596</v>
      </c>
      <c r="D65" s="94">
        <v>11.2</v>
      </c>
      <c r="E65" s="94">
        <v>67</v>
      </c>
      <c r="F65" s="95" t="s">
        <v>597</v>
      </c>
      <c r="G65" s="96"/>
      <c r="H65" s="34" t="s">
        <v>742</v>
      </c>
      <c r="I65" s="34" t="s">
        <v>743</v>
      </c>
      <c r="J65" s="98" t="s">
        <v>12</v>
      </c>
      <c r="K65" s="98" t="s">
        <v>741</v>
      </c>
      <c r="L65" s="96" t="s">
        <v>734</v>
      </c>
      <c r="M65" s="13"/>
    </row>
    <row r="66" spans="1:13" ht="27">
      <c r="A66" s="99">
        <f t="shared" si="1"/>
        <v>54</v>
      </c>
      <c r="B66" s="94" t="s">
        <v>735</v>
      </c>
      <c r="C66" s="94" t="s">
        <v>598</v>
      </c>
      <c r="D66" s="94" t="s">
        <v>599</v>
      </c>
      <c r="E66" s="94">
        <v>66</v>
      </c>
      <c r="F66" s="95" t="s">
        <v>600</v>
      </c>
      <c r="G66" s="96"/>
      <c r="H66" s="97" t="s">
        <v>887</v>
      </c>
      <c r="I66" s="35" t="s">
        <v>908</v>
      </c>
      <c r="J66" s="34" t="s">
        <v>12</v>
      </c>
      <c r="K66" s="34" t="s">
        <v>741</v>
      </c>
      <c r="L66" s="96" t="s">
        <v>734</v>
      </c>
      <c r="M66" s="13"/>
    </row>
    <row r="67" spans="1:13" ht="94.5">
      <c r="A67" s="99">
        <f t="shared" si="1"/>
        <v>55</v>
      </c>
      <c r="B67" s="94" t="s">
        <v>735</v>
      </c>
      <c r="C67" s="94" t="s">
        <v>601</v>
      </c>
      <c r="D67" s="94">
        <v>9</v>
      </c>
      <c r="E67" s="94">
        <v>63</v>
      </c>
      <c r="F67" s="95" t="s">
        <v>602</v>
      </c>
      <c r="G67" s="96"/>
      <c r="H67" s="34" t="s">
        <v>742</v>
      </c>
      <c r="I67" s="35" t="s">
        <v>782</v>
      </c>
      <c r="J67" s="34" t="s">
        <v>12</v>
      </c>
      <c r="K67" s="98" t="s">
        <v>741</v>
      </c>
      <c r="L67" s="96" t="s">
        <v>734</v>
      </c>
      <c r="M67" s="13"/>
    </row>
    <row r="68" spans="1:13" ht="27">
      <c r="A68" s="99">
        <f t="shared" si="1"/>
        <v>56</v>
      </c>
      <c r="B68" s="94" t="s">
        <v>735</v>
      </c>
      <c r="C68" s="94" t="s">
        <v>603</v>
      </c>
      <c r="D68" s="94" t="s">
        <v>604</v>
      </c>
      <c r="E68" s="94" t="s">
        <v>605</v>
      </c>
      <c r="F68" s="95" t="s">
        <v>606</v>
      </c>
      <c r="G68" s="96"/>
      <c r="H68" s="97" t="s">
        <v>742</v>
      </c>
      <c r="I68" s="34" t="s">
        <v>744</v>
      </c>
      <c r="J68" s="98" t="s">
        <v>11</v>
      </c>
      <c r="K68" s="96"/>
      <c r="L68" s="96" t="s">
        <v>734</v>
      </c>
      <c r="M68" s="13"/>
    </row>
    <row r="69" spans="1:13" ht="27">
      <c r="A69" s="99">
        <f t="shared" si="1"/>
        <v>57</v>
      </c>
      <c r="B69" s="94" t="s">
        <v>736</v>
      </c>
      <c r="C69" s="94" t="s">
        <v>607</v>
      </c>
      <c r="D69" s="94">
        <v>1.2</v>
      </c>
      <c r="E69" s="94" t="s">
        <v>608</v>
      </c>
      <c r="F69" s="95" t="s">
        <v>609</v>
      </c>
      <c r="G69" s="96"/>
      <c r="H69" s="97" t="s">
        <v>742</v>
      </c>
      <c r="I69" s="34" t="s">
        <v>758</v>
      </c>
      <c r="J69" s="34" t="s">
        <v>12</v>
      </c>
      <c r="K69" s="98" t="s">
        <v>741</v>
      </c>
      <c r="L69" s="96" t="s">
        <v>734</v>
      </c>
      <c r="M69" s="13"/>
    </row>
    <row r="70" spans="1:13" ht="94.5">
      <c r="A70" s="99">
        <f t="shared" si="1"/>
        <v>58</v>
      </c>
      <c r="B70" s="94" t="s">
        <v>736</v>
      </c>
      <c r="C70" s="94" t="s">
        <v>610</v>
      </c>
      <c r="D70" s="94">
        <v>1.2</v>
      </c>
      <c r="E70" s="94" t="s">
        <v>611</v>
      </c>
      <c r="F70" s="95" t="s">
        <v>612</v>
      </c>
      <c r="G70" s="96"/>
      <c r="H70" s="97" t="s">
        <v>742</v>
      </c>
      <c r="I70" s="35" t="s">
        <v>780</v>
      </c>
      <c r="J70" s="34" t="s">
        <v>12</v>
      </c>
      <c r="K70" s="34" t="s">
        <v>741</v>
      </c>
      <c r="L70" s="96" t="s">
        <v>734</v>
      </c>
      <c r="M70" s="13"/>
    </row>
    <row r="71" spans="1:13">
      <c r="A71" s="99">
        <f t="shared" si="1"/>
        <v>59</v>
      </c>
      <c r="B71" s="94" t="s">
        <v>736</v>
      </c>
      <c r="C71" s="94" t="s">
        <v>613</v>
      </c>
      <c r="D71" s="94">
        <v>1.4</v>
      </c>
      <c r="E71" s="94" t="s">
        <v>614</v>
      </c>
      <c r="F71" s="95" t="s">
        <v>615</v>
      </c>
      <c r="G71" s="96"/>
      <c r="H71" s="97" t="s">
        <v>742</v>
      </c>
      <c r="I71" s="34" t="s">
        <v>760</v>
      </c>
      <c r="J71" s="34" t="s">
        <v>12</v>
      </c>
      <c r="K71" s="98" t="s">
        <v>741</v>
      </c>
      <c r="L71" s="96" t="s">
        <v>734</v>
      </c>
      <c r="M71" s="13"/>
    </row>
    <row r="72" spans="1:13" ht="54">
      <c r="A72" s="99">
        <f t="shared" si="1"/>
        <v>60</v>
      </c>
      <c r="B72" s="94" t="s">
        <v>736</v>
      </c>
      <c r="C72" s="94" t="s">
        <v>616</v>
      </c>
      <c r="D72" s="94" t="s">
        <v>546</v>
      </c>
      <c r="E72" s="94" t="s">
        <v>546</v>
      </c>
      <c r="F72" s="95" t="s">
        <v>617</v>
      </c>
      <c r="G72" s="96"/>
      <c r="H72" s="97" t="s">
        <v>742</v>
      </c>
      <c r="I72" s="34" t="s">
        <v>767</v>
      </c>
      <c r="J72" s="96" t="s">
        <v>11</v>
      </c>
      <c r="K72" s="101"/>
      <c r="L72" s="96" t="s">
        <v>734</v>
      </c>
      <c r="M72" s="13"/>
    </row>
    <row r="73" spans="1:13" ht="27">
      <c r="A73" s="99">
        <f t="shared" si="1"/>
        <v>61</v>
      </c>
      <c r="B73" s="94" t="s">
        <v>736</v>
      </c>
      <c r="C73" s="94" t="s">
        <v>618</v>
      </c>
      <c r="D73" s="94" t="s">
        <v>619</v>
      </c>
      <c r="E73" s="94" t="s">
        <v>620</v>
      </c>
      <c r="F73" s="95" t="s">
        <v>621</v>
      </c>
      <c r="G73" s="96"/>
      <c r="H73" s="97" t="s">
        <v>742</v>
      </c>
      <c r="I73" s="34" t="s">
        <v>743</v>
      </c>
      <c r="J73" s="34" t="s">
        <v>12</v>
      </c>
      <c r="K73" s="98" t="s">
        <v>741</v>
      </c>
      <c r="L73" s="96" t="s">
        <v>734</v>
      </c>
      <c r="M73" s="13"/>
    </row>
    <row r="74" spans="1:13" ht="27">
      <c r="A74" s="99">
        <f t="shared" si="1"/>
        <v>62</v>
      </c>
      <c r="B74" s="94" t="s">
        <v>736</v>
      </c>
      <c r="C74" s="94" t="s">
        <v>622</v>
      </c>
      <c r="D74" s="94" t="s">
        <v>623</v>
      </c>
      <c r="E74" s="94" t="s">
        <v>624</v>
      </c>
      <c r="F74" s="95" t="s">
        <v>625</v>
      </c>
      <c r="G74" s="96"/>
      <c r="H74" s="97" t="s">
        <v>742</v>
      </c>
      <c r="I74" s="34" t="s">
        <v>743</v>
      </c>
      <c r="J74" s="34" t="s">
        <v>12</v>
      </c>
      <c r="K74" s="98" t="s">
        <v>741</v>
      </c>
      <c r="L74" s="96" t="s">
        <v>734</v>
      </c>
      <c r="M74" s="13"/>
    </row>
    <row r="75" spans="1:13" ht="40.5">
      <c r="A75" s="99">
        <f t="shared" si="1"/>
        <v>63</v>
      </c>
      <c r="B75" s="94" t="s">
        <v>736</v>
      </c>
      <c r="C75" s="94" t="s">
        <v>626</v>
      </c>
      <c r="D75" s="94" t="s">
        <v>627</v>
      </c>
      <c r="E75" s="94" t="s">
        <v>563</v>
      </c>
      <c r="F75" s="95" t="s">
        <v>628</v>
      </c>
      <c r="G75" s="96"/>
      <c r="H75" s="97" t="s">
        <v>742</v>
      </c>
      <c r="I75" s="34" t="s">
        <v>746</v>
      </c>
      <c r="J75" s="34" t="s">
        <v>12</v>
      </c>
      <c r="K75" s="98" t="s">
        <v>741</v>
      </c>
      <c r="L75" s="96" t="s">
        <v>734</v>
      </c>
      <c r="M75" s="13"/>
    </row>
    <row r="76" spans="1:13">
      <c r="A76" s="99">
        <f t="shared" si="1"/>
        <v>64</v>
      </c>
      <c r="B76" s="94" t="s">
        <v>736</v>
      </c>
      <c r="C76" s="94" t="s">
        <v>629</v>
      </c>
      <c r="D76" s="94">
        <v>1.8</v>
      </c>
      <c r="E76" s="94" t="s">
        <v>630</v>
      </c>
      <c r="F76" s="95" t="s">
        <v>631</v>
      </c>
      <c r="G76" s="96"/>
      <c r="H76" s="97" t="s">
        <v>742</v>
      </c>
      <c r="I76" s="34" t="s">
        <v>745</v>
      </c>
      <c r="J76" s="34" t="s">
        <v>12</v>
      </c>
      <c r="K76" s="98" t="s">
        <v>741</v>
      </c>
      <c r="L76" s="96" t="s">
        <v>734</v>
      </c>
      <c r="M76" s="13"/>
    </row>
    <row r="77" spans="1:13" ht="54">
      <c r="A77" s="99">
        <f t="shared" si="1"/>
        <v>65</v>
      </c>
      <c r="B77" s="94" t="s">
        <v>736</v>
      </c>
      <c r="C77" s="94" t="s">
        <v>632</v>
      </c>
      <c r="D77" s="94">
        <v>1.8</v>
      </c>
      <c r="E77" s="94" t="s">
        <v>633</v>
      </c>
      <c r="F77" s="95" t="s">
        <v>634</v>
      </c>
      <c r="G77" s="96"/>
      <c r="H77" s="97" t="s">
        <v>742</v>
      </c>
      <c r="I77" s="34" t="s">
        <v>743</v>
      </c>
      <c r="J77" s="34" t="s">
        <v>12</v>
      </c>
      <c r="K77" s="98" t="s">
        <v>741</v>
      </c>
      <c r="L77" s="96" t="s">
        <v>734</v>
      </c>
      <c r="M77" s="13"/>
    </row>
    <row r="78" spans="1:13">
      <c r="A78" s="99">
        <f t="shared" ref="A78:A109" si="2">A77+1</f>
        <v>66</v>
      </c>
      <c r="B78" s="94" t="s">
        <v>736</v>
      </c>
      <c r="C78" s="94" t="s">
        <v>635</v>
      </c>
      <c r="D78" s="94">
        <v>1.8</v>
      </c>
      <c r="E78" s="94" t="s">
        <v>636</v>
      </c>
      <c r="F78" s="95" t="s">
        <v>637</v>
      </c>
      <c r="G78" s="96"/>
      <c r="H78" s="97" t="s">
        <v>742</v>
      </c>
      <c r="I78" s="34" t="s">
        <v>745</v>
      </c>
      <c r="J78" s="34" t="s">
        <v>12</v>
      </c>
      <c r="K78" s="98" t="s">
        <v>741</v>
      </c>
      <c r="L78" s="96" t="s">
        <v>734</v>
      </c>
      <c r="M78" s="13"/>
    </row>
    <row r="79" spans="1:13" ht="40.5">
      <c r="A79" s="99">
        <f t="shared" si="2"/>
        <v>67</v>
      </c>
      <c r="B79" s="94" t="s">
        <v>736</v>
      </c>
      <c r="C79" s="94" t="s">
        <v>638</v>
      </c>
      <c r="D79" s="94">
        <v>1.8</v>
      </c>
      <c r="E79" s="94" t="s">
        <v>639</v>
      </c>
      <c r="F79" s="95" t="s">
        <v>640</v>
      </c>
      <c r="G79" s="96"/>
      <c r="H79" s="97" t="s">
        <v>742</v>
      </c>
      <c r="I79" s="35" t="s">
        <v>890</v>
      </c>
      <c r="J79" s="34" t="s">
        <v>12</v>
      </c>
      <c r="K79" s="34" t="s">
        <v>741</v>
      </c>
      <c r="L79" s="96" t="s">
        <v>734</v>
      </c>
      <c r="M79" s="13"/>
    </row>
    <row r="80" spans="1:13" ht="27">
      <c r="A80" s="99">
        <f t="shared" si="2"/>
        <v>68</v>
      </c>
      <c r="B80" s="94" t="s">
        <v>736</v>
      </c>
      <c r="C80" s="94" t="s">
        <v>641</v>
      </c>
      <c r="D80" s="94">
        <v>1.8</v>
      </c>
      <c r="E80" s="94" t="s">
        <v>642</v>
      </c>
      <c r="F80" s="95" t="s">
        <v>643</v>
      </c>
      <c r="G80" s="96"/>
      <c r="H80" s="97" t="s">
        <v>742</v>
      </c>
      <c r="I80" s="34" t="s">
        <v>769</v>
      </c>
      <c r="J80" s="34" t="s">
        <v>12</v>
      </c>
      <c r="K80" s="98" t="s">
        <v>741</v>
      </c>
      <c r="L80" s="96" t="s">
        <v>734</v>
      </c>
      <c r="M80" s="13"/>
    </row>
    <row r="81" spans="1:13" ht="81">
      <c r="A81" s="99">
        <f t="shared" si="2"/>
        <v>69</v>
      </c>
      <c r="B81" s="94" t="s">
        <v>736</v>
      </c>
      <c r="C81" s="94" t="s">
        <v>644</v>
      </c>
      <c r="D81" s="94">
        <v>1.2</v>
      </c>
      <c r="E81" s="94" t="s">
        <v>563</v>
      </c>
      <c r="F81" s="95" t="s">
        <v>645</v>
      </c>
      <c r="G81" s="96"/>
      <c r="H81" s="34" t="s">
        <v>742</v>
      </c>
      <c r="I81" s="34" t="s">
        <v>768</v>
      </c>
      <c r="J81" s="98" t="s">
        <v>12</v>
      </c>
      <c r="K81" s="98" t="s">
        <v>741</v>
      </c>
      <c r="L81" s="96" t="s">
        <v>734</v>
      </c>
      <c r="M81" s="13"/>
    </row>
    <row r="82" spans="1:13" ht="54">
      <c r="A82" s="99">
        <f t="shared" si="2"/>
        <v>70</v>
      </c>
      <c r="B82" s="94" t="s">
        <v>736</v>
      </c>
      <c r="C82" s="94" t="s">
        <v>646</v>
      </c>
      <c r="D82" s="94" t="s">
        <v>584</v>
      </c>
      <c r="E82" s="94" t="s">
        <v>546</v>
      </c>
      <c r="F82" s="95" t="s">
        <v>647</v>
      </c>
      <c r="G82" s="96"/>
      <c r="H82" s="97" t="s">
        <v>742</v>
      </c>
      <c r="I82" s="35" t="s">
        <v>881</v>
      </c>
      <c r="J82" s="96" t="s">
        <v>10</v>
      </c>
      <c r="K82" s="96" t="s">
        <v>741</v>
      </c>
      <c r="L82" s="96" t="s">
        <v>734</v>
      </c>
      <c r="M82" s="13"/>
    </row>
    <row r="83" spans="1:13" ht="40.5">
      <c r="A83" s="99">
        <f t="shared" si="2"/>
        <v>71</v>
      </c>
      <c r="B83" s="94" t="s">
        <v>736</v>
      </c>
      <c r="C83" s="94" t="s">
        <v>648</v>
      </c>
      <c r="D83" s="94" t="s">
        <v>649</v>
      </c>
      <c r="E83" s="94" t="s">
        <v>650</v>
      </c>
      <c r="F83" s="95" t="s">
        <v>651</v>
      </c>
      <c r="G83" s="96"/>
      <c r="H83" s="97" t="s">
        <v>742</v>
      </c>
      <c r="I83" s="103" t="s">
        <v>756</v>
      </c>
      <c r="J83" s="96" t="s">
        <v>12</v>
      </c>
      <c r="K83" s="96" t="s">
        <v>741</v>
      </c>
      <c r="L83" s="96" t="s">
        <v>734</v>
      </c>
      <c r="M83" s="13"/>
    </row>
    <row r="84" spans="1:13" ht="40.5">
      <c r="A84" s="99">
        <f t="shared" si="2"/>
        <v>72</v>
      </c>
      <c r="B84" s="94" t="s">
        <v>736</v>
      </c>
      <c r="C84" s="94" t="s">
        <v>652</v>
      </c>
      <c r="D84" s="94" t="s">
        <v>653</v>
      </c>
      <c r="E84" s="94" t="s">
        <v>546</v>
      </c>
      <c r="F84" s="95" t="s">
        <v>654</v>
      </c>
      <c r="G84" s="96"/>
      <c r="H84" s="97" t="s">
        <v>742</v>
      </c>
      <c r="I84" s="35" t="s">
        <v>902</v>
      </c>
      <c r="J84" s="34" t="s">
        <v>10</v>
      </c>
      <c r="K84" s="34" t="s">
        <v>741</v>
      </c>
      <c r="L84" s="96" t="s">
        <v>734</v>
      </c>
      <c r="M84" s="13"/>
    </row>
    <row r="85" spans="1:13" ht="27">
      <c r="A85" s="99">
        <f t="shared" si="2"/>
        <v>73</v>
      </c>
      <c r="B85" s="94" t="s">
        <v>736</v>
      </c>
      <c r="C85" s="94" t="s">
        <v>655</v>
      </c>
      <c r="D85" s="94">
        <v>5.0999999999999996</v>
      </c>
      <c r="E85" s="94" t="s">
        <v>656</v>
      </c>
      <c r="F85" s="95" t="s">
        <v>657</v>
      </c>
      <c r="G85" s="96"/>
      <c r="H85" s="97" t="s">
        <v>742</v>
      </c>
      <c r="I85" s="96" t="s">
        <v>746</v>
      </c>
      <c r="J85" s="96" t="s">
        <v>12</v>
      </c>
      <c r="K85" s="104" t="s">
        <v>741</v>
      </c>
      <c r="L85" s="96" t="s">
        <v>734</v>
      </c>
      <c r="M85" s="13"/>
    </row>
    <row r="86" spans="1:13" ht="27">
      <c r="A86" s="99">
        <f t="shared" si="2"/>
        <v>74</v>
      </c>
      <c r="B86" s="94" t="s">
        <v>736</v>
      </c>
      <c r="C86" s="94" t="s">
        <v>658</v>
      </c>
      <c r="D86" s="94">
        <v>6.1</v>
      </c>
      <c r="E86" s="94" t="s">
        <v>659</v>
      </c>
      <c r="F86" s="95" t="s">
        <v>660</v>
      </c>
      <c r="G86" s="96"/>
      <c r="H86" s="97" t="s">
        <v>742</v>
      </c>
      <c r="I86" s="96" t="s">
        <v>751</v>
      </c>
      <c r="J86" s="104" t="s">
        <v>11</v>
      </c>
      <c r="K86" s="96"/>
      <c r="L86" s="96" t="s">
        <v>734</v>
      </c>
      <c r="M86" s="13"/>
    </row>
    <row r="87" spans="1:13" ht="40.5">
      <c r="A87" s="99">
        <f t="shared" si="2"/>
        <v>75</v>
      </c>
      <c r="B87" s="94" t="s">
        <v>736</v>
      </c>
      <c r="C87" s="94" t="s">
        <v>658</v>
      </c>
      <c r="D87" s="94" t="s">
        <v>661</v>
      </c>
      <c r="E87" s="94" t="s">
        <v>662</v>
      </c>
      <c r="F87" s="95" t="s">
        <v>663</v>
      </c>
      <c r="G87" s="96"/>
      <c r="H87" s="97" t="s">
        <v>742</v>
      </c>
      <c r="I87" s="35" t="s">
        <v>781</v>
      </c>
      <c r="J87" s="34" t="s">
        <v>12</v>
      </c>
      <c r="K87" s="34" t="s">
        <v>741</v>
      </c>
      <c r="L87" s="96" t="s">
        <v>734</v>
      </c>
      <c r="M87" s="13"/>
    </row>
    <row r="88" spans="1:13">
      <c r="A88" s="99">
        <f t="shared" si="2"/>
        <v>76</v>
      </c>
      <c r="B88" s="94" t="s">
        <v>736</v>
      </c>
      <c r="C88" s="94" t="s">
        <v>664</v>
      </c>
      <c r="D88" s="94" t="s">
        <v>665</v>
      </c>
      <c r="E88" s="94" t="s">
        <v>666</v>
      </c>
      <c r="F88" s="95" t="s">
        <v>667</v>
      </c>
      <c r="G88" s="96"/>
      <c r="H88" s="97" t="s">
        <v>742</v>
      </c>
      <c r="I88" s="96" t="s">
        <v>743</v>
      </c>
      <c r="J88" s="96" t="s">
        <v>12</v>
      </c>
      <c r="K88" s="104" t="s">
        <v>741</v>
      </c>
      <c r="L88" s="96" t="s">
        <v>734</v>
      </c>
      <c r="M88" s="13"/>
    </row>
    <row r="89" spans="1:13" ht="54">
      <c r="A89" s="99">
        <f t="shared" si="2"/>
        <v>77</v>
      </c>
      <c r="B89" s="94" t="s">
        <v>736</v>
      </c>
      <c r="C89" s="94" t="s">
        <v>668</v>
      </c>
      <c r="D89" s="94" t="s">
        <v>669</v>
      </c>
      <c r="E89" s="94" t="s">
        <v>670</v>
      </c>
      <c r="F89" s="95" t="s">
        <v>671</v>
      </c>
      <c r="G89" s="96"/>
      <c r="H89" s="97" t="s">
        <v>742</v>
      </c>
      <c r="I89" s="96" t="s">
        <v>754</v>
      </c>
      <c r="J89" s="96" t="s">
        <v>12</v>
      </c>
      <c r="K89" s="104" t="s">
        <v>741</v>
      </c>
      <c r="L89" s="96" t="s">
        <v>734</v>
      </c>
      <c r="M89" s="13"/>
    </row>
    <row r="90" spans="1:13" ht="81">
      <c r="A90" s="99">
        <f t="shared" si="2"/>
        <v>78</v>
      </c>
      <c r="B90" s="94" t="s">
        <v>736</v>
      </c>
      <c r="C90" s="94" t="s">
        <v>672</v>
      </c>
      <c r="D90" s="94" t="s">
        <v>669</v>
      </c>
      <c r="E90" s="94" t="s">
        <v>673</v>
      </c>
      <c r="F90" s="95" t="s">
        <v>674</v>
      </c>
      <c r="G90" s="96"/>
      <c r="H90" s="97" t="s">
        <v>742</v>
      </c>
      <c r="I90" s="103" t="s">
        <v>753</v>
      </c>
      <c r="J90" s="96" t="s">
        <v>11</v>
      </c>
      <c r="K90" s="96"/>
      <c r="L90" s="96" t="s">
        <v>734</v>
      </c>
      <c r="M90" s="13"/>
    </row>
    <row r="91" spans="1:13" ht="27">
      <c r="A91" s="99">
        <f t="shared" si="2"/>
        <v>79</v>
      </c>
      <c r="B91" s="94" t="s">
        <v>736</v>
      </c>
      <c r="C91" s="94" t="s">
        <v>675</v>
      </c>
      <c r="D91" s="94" t="s">
        <v>669</v>
      </c>
      <c r="E91" s="94" t="s">
        <v>676</v>
      </c>
      <c r="F91" s="95" t="s">
        <v>677</v>
      </c>
      <c r="G91" s="96"/>
      <c r="H91" s="97" t="s">
        <v>742</v>
      </c>
      <c r="I91" s="96" t="s">
        <v>743</v>
      </c>
      <c r="J91" s="96" t="s">
        <v>12</v>
      </c>
      <c r="K91" s="104" t="s">
        <v>741</v>
      </c>
      <c r="L91" s="96" t="s">
        <v>734</v>
      </c>
      <c r="M91" s="13"/>
    </row>
    <row r="92" spans="1:13">
      <c r="A92" s="99">
        <f t="shared" si="2"/>
        <v>80</v>
      </c>
      <c r="B92" s="94" t="s">
        <v>736</v>
      </c>
      <c r="C92" s="94" t="s">
        <v>678</v>
      </c>
      <c r="D92" s="94" t="s">
        <v>679</v>
      </c>
      <c r="E92" s="94" t="s">
        <v>680</v>
      </c>
      <c r="F92" s="95" t="s">
        <v>681</v>
      </c>
      <c r="G92" s="96"/>
      <c r="H92" s="97" t="s">
        <v>742</v>
      </c>
      <c r="I92" s="96" t="s">
        <v>748</v>
      </c>
      <c r="J92" s="104" t="s">
        <v>11</v>
      </c>
      <c r="K92" s="96"/>
      <c r="L92" s="96" t="s">
        <v>734</v>
      </c>
      <c r="M92" s="13"/>
    </row>
    <row r="93" spans="1:13">
      <c r="A93" s="99">
        <f t="shared" si="2"/>
        <v>81</v>
      </c>
      <c r="B93" s="94" t="s">
        <v>736</v>
      </c>
      <c r="C93" s="94" t="s">
        <v>682</v>
      </c>
      <c r="D93" s="94" t="s">
        <v>683</v>
      </c>
      <c r="E93" s="94" t="s">
        <v>546</v>
      </c>
      <c r="F93" s="95" t="s">
        <v>684</v>
      </c>
      <c r="G93" s="96"/>
      <c r="H93" s="34" t="s">
        <v>742</v>
      </c>
      <c r="I93" s="96"/>
      <c r="J93" s="96" t="s">
        <v>10</v>
      </c>
      <c r="K93" s="96" t="s">
        <v>741</v>
      </c>
      <c r="L93" s="96" t="s">
        <v>734</v>
      </c>
      <c r="M93" s="13"/>
    </row>
    <row r="94" spans="1:13" ht="27">
      <c r="A94" s="99">
        <f t="shared" si="2"/>
        <v>82</v>
      </c>
      <c r="B94" s="94" t="s">
        <v>736</v>
      </c>
      <c r="C94" s="94" t="s">
        <v>685</v>
      </c>
      <c r="D94" s="94" t="s">
        <v>686</v>
      </c>
      <c r="E94" s="94" t="s">
        <v>687</v>
      </c>
      <c r="F94" s="95" t="s">
        <v>688</v>
      </c>
      <c r="G94" s="96"/>
      <c r="H94" s="97" t="s">
        <v>742</v>
      </c>
      <c r="I94" s="34" t="s">
        <v>747</v>
      </c>
      <c r="J94" s="98" t="s">
        <v>11</v>
      </c>
      <c r="K94" s="96"/>
      <c r="L94" s="96" t="s">
        <v>734</v>
      </c>
      <c r="M94" s="13"/>
    </row>
    <row r="95" spans="1:13" ht="54">
      <c r="A95" s="99">
        <f t="shared" si="2"/>
        <v>83</v>
      </c>
      <c r="B95" s="94" t="s">
        <v>736</v>
      </c>
      <c r="C95" s="94" t="s">
        <v>689</v>
      </c>
      <c r="D95" s="94" t="s">
        <v>690</v>
      </c>
      <c r="E95" s="94" t="s">
        <v>691</v>
      </c>
      <c r="F95" s="95" t="s">
        <v>692</v>
      </c>
      <c r="G95" s="96"/>
      <c r="H95" s="97" t="s">
        <v>742</v>
      </c>
      <c r="I95" s="96" t="s">
        <v>743</v>
      </c>
      <c r="J95" s="96" t="s">
        <v>12</v>
      </c>
      <c r="K95" s="104" t="s">
        <v>741</v>
      </c>
      <c r="L95" s="96" t="s">
        <v>734</v>
      </c>
      <c r="M95" s="13"/>
    </row>
    <row r="96" spans="1:13">
      <c r="A96" s="99">
        <f t="shared" si="2"/>
        <v>84</v>
      </c>
      <c r="B96" s="94" t="s">
        <v>736</v>
      </c>
      <c r="C96" s="94" t="s">
        <v>693</v>
      </c>
      <c r="D96" s="94">
        <v>7</v>
      </c>
      <c r="E96" s="94" t="s">
        <v>694</v>
      </c>
      <c r="F96" s="95" t="s">
        <v>695</v>
      </c>
      <c r="G96" s="96"/>
      <c r="H96" s="97" t="s">
        <v>742</v>
      </c>
      <c r="I96" s="96" t="s">
        <v>743</v>
      </c>
      <c r="J96" s="96" t="s">
        <v>12</v>
      </c>
      <c r="K96" s="104" t="s">
        <v>741</v>
      </c>
      <c r="L96" s="96" t="s">
        <v>734</v>
      </c>
      <c r="M96" s="13"/>
    </row>
    <row r="97" spans="1:13" ht="40.5">
      <c r="A97" s="99">
        <f t="shared" si="2"/>
        <v>85</v>
      </c>
      <c r="B97" s="94" t="s">
        <v>736</v>
      </c>
      <c r="C97" s="94" t="s">
        <v>696</v>
      </c>
      <c r="D97" s="94" t="s">
        <v>697</v>
      </c>
      <c r="E97" s="94" t="s">
        <v>698</v>
      </c>
      <c r="F97" s="95" t="s">
        <v>699</v>
      </c>
      <c r="G97" s="96"/>
      <c r="H97" s="97" t="s">
        <v>742</v>
      </c>
      <c r="I97" s="96" t="s">
        <v>743</v>
      </c>
      <c r="J97" s="96" t="s">
        <v>12</v>
      </c>
      <c r="K97" s="104" t="s">
        <v>741</v>
      </c>
      <c r="L97" s="96" t="s">
        <v>734</v>
      </c>
      <c r="M97" s="13"/>
    </row>
    <row r="98" spans="1:13" ht="27">
      <c r="A98" s="99">
        <f t="shared" si="2"/>
        <v>86</v>
      </c>
      <c r="B98" s="94" t="s">
        <v>736</v>
      </c>
      <c r="C98" s="94" t="s">
        <v>700</v>
      </c>
      <c r="D98" s="94" t="s">
        <v>701</v>
      </c>
      <c r="E98" s="94" t="s">
        <v>702</v>
      </c>
      <c r="F98" s="95" t="s">
        <v>703</v>
      </c>
      <c r="G98" s="96"/>
      <c r="H98" s="97" t="s">
        <v>742</v>
      </c>
      <c r="I98" s="96" t="s">
        <v>746</v>
      </c>
      <c r="J98" s="96" t="s">
        <v>12</v>
      </c>
      <c r="K98" s="104" t="s">
        <v>741</v>
      </c>
      <c r="L98" s="96" t="s">
        <v>734</v>
      </c>
      <c r="M98" s="13"/>
    </row>
    <row r="99" spans="1:13" ht="40.5">
      <c r="A99" s="99">
        <f t="shared" si="2"/>
        <v>87</v>
      </c>
      <c r="B99" s="94" t="s">
        <v>736</v>
      </c>
      <c r="C99" s="94" t="s">
        <v>704</v>
      </c>
      <c r="D99" s="94">
        <v>7.1</v>
      </c>
      <c r="E99" s="94" t="s">
        <v>705</v>
      </c>
      <c r="F99" s="95" t="s">
        <v>706</v>
      </c>
      <c r="G99" s="96"/>
      <c r="H99" s="97" t="s">
        <v>742</v>
      </c>
      <c r="I99" s="103" t="s">
        <v>750</v>
      </c>
      <c r="J99" s="96" t="s">
        <v>11</v>
      </c>
      <c r="K99" s="96"/>
      <c r="L99" s="96" t="s">
        <v>734</v>
      </c>
      <c r="M99" s="13"/>
    </row>
    <row r="100" spans="1:13">
      <c r="A100" s="99">
        <f t="shared" si="2"/>
        <v>88</v>
      </c>
      <c r="B100" s="94" t="s">
        <v>736</v>
      </c>
      <c r="C100" s="94" t="s">
        <v>707</v>
      </c>
      <c r="D100" s="94">
        <v>7.1</v>
      </c>
      <c r="E100" s="94" t="s">
        <v>708</v>
      </c>
      <c r="F100" s="95" t="s">
        <v>709</v>
      </c>
      <c r="G100" s="96"/>
      <c r="H100" s="97" t="s">
        <v>742</v>
      </c>
      <c r="I100" s="96" t="s">
        <v>745</v>
      </c>
      <c r="J100" s="96" t="s">
        <v>12</v>
      </c>
      <c r="K100" s="104" t="s">
        <v>741</v>
      </c>
      <c r="L100" s="96" t="s">
        <v>734</v>
      </c>
      <c r="M100" s="13"/>
    </row>
    <row r="101" spans="1:13" ht="40.5">
      <c r="A101" s="99">
        <f t="shared" si="2"/>
        <v>89</v>
      </c>
      <c r="B101" s="94" t="s">
        <v>736</v>
      </c>
      <c r="C101" s="94" t="s">
        <v>710</v>
      </c>
      <c r="D101" s="94">
        <v>7.1</v>
      </c>
      <c r="E101" s="94" t="s">
        <v>711</v>
      </c>
      <c r="F101" s="95" t="s">
        <v>712</v>
      </c>
      <c r="G101" s="96"/>
      <c r="H101" s="97" t="s">
        <v>742</v>
      </c>
      <c r="I101" s="103" t="s">
        <v>749</v>
      </c>
      <c r="J101" s="96" t="s">
        <v>12</v>
      </c>
      <c r="K101" s="104" t="s">
        <v>741</v>
      </c>
      <c r="L101" s="96" t="s">
        <v>734</v>
      </c>
      <c r="M101" s="13"/>
    </row>
    <row r="102" spans="1:13" ht="27">
      <c r="A102" s="99">
        <f t="shared" si="2"/>
        <v>90</v>
      </c>
      <c r="B102" s="94" t="s">
        <v>736</v>
      </c>
      <c r="C102" s="94" t="s">
        <v>713</v>
      </c>
      <c r="D102" s="94" t="s">
        <v>714</v>
      </c>
      <c r="E102" s="94" t="s">
        <v>715</v>
      </c>
      <c r="F102" s="95" t="s">
        <v>716</v>
      </c>
      <c r="G102" s="96"/>
      <c r="H102" s="97" t="s">
        <v>742</v>
      </c>
      <c r="I102" s="34" t="s">
        <v>743</v>
      </c>
      <c r="J102" s="34" t="s">
        <v>12</v>
      </c>
      <c r="K102" s="98" t="s">
        <v>741</v>
      </c>
      <c r="L102" s="96" t="s">
        <v>734</v>
      </c>
      <c r="M102" s="13"/>
    </row>
    <row r="103" spans="1:13" ht="27">
      <c r="A103" s="99">
        <f t="shared" si="2"/>
        <v>91</v>
      </c>
      <c r="B103" s="94" t="s">
        <v>736</v>
      </c>
      <c r="C103" s="94" t="s">
        <v>717</v>
      </c>
      <c r="D103" s="94" t="s">
        <v>718</v>
      </c>
      <c r="E103" s="94" t="s">
        <v>719</v>
      </c>
      <c r="F103" s="95" t="s">
        <v>720</v>
      </c>
      <c r="G103" s="96"/>
      <c r="H103" s="97" t="s">
        <v>742</v>
      </c>
      <c r="I103" s="34" t="s">
        <v>745</v>
      </c>
      <c r="J103" s="96" t="s">
        <v>12</v>
      </c>
      <c r="K103" s="104" t="s">
        <v>741</v>
      </c>
      <c r="L103" s="96" t="s">
        <v>734</v>
      </c>
      <c r="M103" s="13"/>
    </row>
    <row r="104" spans="1:13" ht="81">
      <c r="A104" s="99">
        <f t="shared" si="2"/>
        <v>92</v>
      </c>
      <c r="B104" s="94" t="s">
        <v>736</v>
      </c>
      <c r="C104" s="94" t="s">
        <v>721</v>
      </c>
      <c r="D104" s="94" t="s">
        <v>722</v>
      </c>
      <c r="E104" s="94" t="s">
        <v>723</v>
      </c>
      <c r="F104" s="95" t="s">
        <v>724</v>
      </c>
      <c r="G104" s="96"/>
      <c r="H104" s="34" t="s">
        <v>906</v>
      </c>
      <c r="I104" s="35" t="s">
        <v>921</v>
      </c>
      <c r="J104" s="96" t="s">
        <v>12</v>
      </c>
      <c r="K104" s="34" t="s">
        <v>741</v>
      </c>
      <c r="L104" s="34" t="s">
        <v>734</v>
      </c>
      <c r="M104" s="13"/>
    </row>
    <row r="105" spans="1:13" ht="40.5">
      <c r="A105" s="99">
        <f t="shared" si="2"/>
        <v>93</v>
      </c>
      <c r="B105" s="94" t="s">
        <v>736</v>
      </c>
      <c r="C105" s="94" t="s">
        <v>725</v>
      </c>
      <c r="D105" s="94" t="s">
        <v>546</v>
      </c>
      <c r="E105" s="94" t="s">
        <v>563</v>
      </c>
      <c r="F105" s="95" t="s">
        <v>726</v>
      </c>
      <c r="G105" s="96"/>
      <c r="H105" s="34" t="s">
        <v>742</v>
      </c>
      <c r="I105" s="96"/>
      <c r="J105" s="96" t="s">
        <v>10</v>
      </c>
      <c r="K105" s="96" t="s">
        <v>741</v>
      </c>
      <c r="L105" s="34" t="s">
        <v>734</v>
      </c>
      <c r="M105" s="13"/>
    </row>
    <row r="106" spans="1:13" ht="27">
      <c r="A106" s="99">
        <f t="shared" si="2"/>
        <v>94</v>
      </c>
      <c r="B106" s="94" t="s">
        <v>737</v>
      </c>
      <c r="C106" s="94" t="s">
        <v>783</v>
      </c>
      <c r="D106" s="94" t="s">
        <v>727</v>
      </c>
      <c r="E106" s="94">
        <v>1</v>
      </c>
      <c r="F106" s="95" t="s">
        <v>728</v>
      </c>
      <c r="G106" s="96"/>
      <c r="H106" s="97" t="s">
        <v>742</v>
      </c>
      <c r="I106" s="35" t="s">
        <v>740</v>
      </c>
      <c r="J106" s="96" t="s">
        <v>12</v>
      </c>
      <c r="K106" s="104" t="s">
        <v>741</v>
      </c>
      <c r="L106" s="34" t="s">
        <v>734</v>
      </c>
      <c r="M106" s="13"/>
    </row>
    <row r="107" spans="1:13" ht="54">
      <c r="A107" s="99">
        <f t="shared" si="2"/>
        <v>95</v>
      </c>
      <c r="B107" s="94" t="s">
        <v>742</v>
      </c>
      <c r="C107" s="94" t="s">
        <v>784</v>
      </c>
      <c r="D107" s="94" t="s">
        <v>761</v>
      </c>
      <c r="E107" s="94" t="s">
        <v>762</v>
      </c>
      <c r="F107" s="95" t="s">
        <v>763</v>
      </c>
      <c r="G107" s="105"/>
      <c r="H107" s="106" t="s">
        <v>742</v>
      </c>
      <c r="I107" s="95" t="s">
        <v>891</v>
      </c>
      <c r="J107" s="106" t="s">
        <v>11</v>
      </c>
      <c r="K107" s="106" t="s">
        <v>29</v>
      </c>
      <c r="L107" s="34" t="s">
        <v>734</v>
      </c>
      <c r="M107" s="13"/>
    </row>
    <row r="108" spans="1:13" ht="135">
      <c r="A108" s="99">
        <f t="shared" si="2"/>
        <v>96</v>
      </c>
      <c r="B108" s="94" t="s">
        <v>916</v>
      </c>
      <c r="C108" s="94" t="s">
        <v>849</v>
      </c>
      <c r="D108" s="94" t="s">
        <v>842</v>
      </c>
      <c r="E108" s="94" t="s">
        <v>563</v>
      </c>
      <c r="F108" s="95" t="s">
        <v>848</v>
      </c>
      <c r="G108" s="96"/>
      <c r="H108" s="106" t="s">
        <v>742</v>
      </c>
      <c r="I108" s="95" t="s">
        <v>892</v>
      </c>
      <c r="J108" s="106" t="s">
        <v>12</v>
      </c>
      <c r="K108" s="106" t="s">
        <v>741</v>
      </c>
      <c r="L108" s="34" t="s">
        <v>734</v>
      </c>
      <c r="M108" s="13"/>
    </row>
    <row r="109" spans="1:13" ht="40.5">
      <c r="A109" s="99">
        <f t="shared" si="2"/>
        <v>97</v>
      </c>
      <c r="B109" s="94" t="s">
        <v>916</v>
      </c>
      <c r="C109" s="94" t="s">
        <v>847</v>
      </c>
      <c r="D109" s="94" t="s">
        <v>697</v>
      </c>
      <c r="E109" s="94" t="s">
        <v>563</v>
      </c>
      <c r="F109" s="95" t="s">
        <v>846</v>
      </c>
      <c r="G109" s="96"/>
      <c r="H109" s="106" t="s">
        <v>742</v>
      </c>
      <c r="I109" s="95" t="s">
        <v>745</v>
      </c>
      <c r="J109" s="106" t="s">
        <v>12</v>
      </c>
      <c r="K109" s="106" t="s">
        <v>741</v>
      </c>
      <c r="L109" s="34" t="s">
        <v>734</v>
      </c>
      <c r="M109" s="13"/>
    </row>
    <row r="110" spans="1:13" ht="27">
      <c r="A110" s="99">
        <f t="shared" ref="A110:A141" si="3">A109+1</f>
        <v>98</v>
      </c>
      <c r="B110" s="94" t="s">
        <v>916</v>
      </c>
      <c r="C110" s="94" t="s">
        <v>845</v>
      </c>
      <c r="D110" s="94" t="s">
        <v>842</v>
      </c>
      <c r="E110" s="94" t="s">
        <v>563</v>
      </c>
      <c r="F110" s="95" t="s">
        <v>844</v>
      </c>
      <c r="G110" s="96"/>
      <c r="H110" s="106" t="s">
        <v>742</v>
      </c>
      <c r="I110" s="95" t="s">
        <v>745</v>
      </c>
      <c r="J110" s="106" t="s">
        <v>12</v>
      </c>
      <c r="K110" s="106" t="s">
        <v>741</v>
      </c>
      <c r="L110" s="34" t="s">
        <v>734</v>
      </c>
      <c r="M110" s="13"/>
    </row>
    <row r="111" spans="1:13" ht="40.5">
      <c r="A111" s="99">
        <f t="shared" si="3"/>
        <v>99</v>
      </c>
      <c r="B111" s="94" t="s">
        <v>916</v>
      </c>
      <c r="C111" s="94" t="s">
        <v>843</v>
      </c>
      <c r="D111" s="94" t="s">
        <v>842</v>
      </c>
      <c r="E111" s="94" t="s">
        <v>563</v>
      </c>
      <c r="F111" s="95" t="s">
        <v>841</v>
      </c>
      <c r="G111" s="96"/>
      <c r="H111" s="106" t="s">
        <v>742</v>
      </c>
      <c r="I111" s="95" t="s">
        <v>758</v>
      </c>
      <c r="J111" s="106" t="s">
        <v>12</v>
      </c>
      <c r="K111" s="106" t="s">
        <v>741</v>
      </c>
      <c r="L111" s="34" t="s">
        <v>734</v>
      </c>
      <c r="M111" s="13"/>
    </row>
    <row r="112" spans="1:13">
      <c r="A112" s="99">
        <f t="shared" si="3"/>
        <v>100</v>
      </c>
      <c r="B112" s="94" t="s">
        <v>916</v>
      </c>
      <c r="C112" s="94" t="s">
        <v>840</v>
      </c>
      <c r="D112" s="94" t="s">
        <v>498</v>
      </c>
      <c r="E112" s="94" t="s">
        <v>563</v>
      </c>
      <c r="F112" s="95" t="s">
        <v>839</v>
      </c>
      <c r="G112" s="96"/>
      <c r="H112" s="106" t="s">
        <v>742</v>
      </c>
      <c r="I112" s="95" t="s">
        <v>745</v>
      </c>
      <c r="J112" s="106" t="s">
        <v>12</v>
      </c>
      <c r="K112" s="106" t="s">
        <v>741</v>
      </c>
      <c r="L112" s="34" t="s">
        <v>734</v>
      </c>
      <c r="M112" s="13"/>
    </row>
    <row r="113" spans="1:13" ht="175.5">
      <c r="A113" s="99">
        <f t="shared" si="3"/>
        <v>101</v>
      </c>
      <c r="B113" s="94" t="s">
        <v>916</v>
      </c>
      <c r="C113" s="94" t="s">
        <v>838</v>
      </c>
      <c r="D113" s="94" t="s">
        <v>498</v>
      </c>
      <c r="E113" s="94" t="s">
        <v>828</v>
      </c>
      <c r="F113" s="95" t="s">
        <v>837</v>
      </c>
      <c r="G113" s="96"/>
      <c r="H113" s="106" t="s">
        <v>887</v>
      </c>
      <c r="I113" s="108" t="s">
        <v>746</v>
      </c>
      <c r="J113" s="106" t="s">
        <v>12</v>
      </c>
      <c r="K113" s="106" t="s">
        <v>741</v>
      </c>
      <c r="L113" s="34" t="s">
        <v>734</v>
      </c>
      <c r="M113" s="13"/>
    </row>
    <row r="114" spans="1:13" ht="40.5">
      <c r="A114" s="99">
        <f t="shared" si="3"/>
        <v>102</v>
      </c>
      <c r="B114" s="94" t="s">
        <v>916</v>
      </c>
      <c r="C114" s="94" t="s">
        <v>836</v>
      </c>
      <c r="D114" s="94" t="s">
        <v>498</v>
      </c>
      <c r="E114" s="94" t="s">
        <v>828</v>
      </c>
      <c r="F114" s="95" t="s">
        <v>835</v>
      </c>
      <c r="G114" s="96"/>
      <c r="H114" s="106" t="s">
        <v>742</v>
      </c>
      <c r="I114" s="95" t="s">
        <v>882</v>
      </c>
      <c r="J114" s="106" t="s">
        <v>11</v>
      </c>
      <c r="K114" s="106" t="s">
        <v>29</v>
      </c>
      <c r="L114" s="34" t="s">
        <v>734</v>
      </c>
      <c r="M114" s="13"/>
    </row>
    <row r="115" spans="1:13" ht="27">
      <c r="A115" s="99">
        <f t="shared" si="3"/>
        <v>103</v>
      </c>
      <c r="B115" s="94" t="s">
        <v>916</v>
      </c>
      <c r="C115" s="94" t="s">
        <v>834</v>
      </c>
      <c r="D115" s="94" t="s">
        <v>833</v>
      </c>
      <c r="E115" s="94" t="s">
        <v>832</v>
      </c>
      <c r="F115" s="95" t="s">
        <v>831</v>
      </c>
      <c r="G115" s="96"/>
      <c r="H115" s="106" t="s">
        <v>742</v>
      </c>
      <c r="I115" s="95" t="s">
        <v>894</v>
      </c>
      <c r="J115" s="106" t="s">
        <v>12</v>
      </c>
      <c r="K115" s="106" t="s">
        <v>741</v>
      </c>
      <c r="L115" s="34" t="s">
        <v>734</v>
      </c>
      <c r="M115" s="13"/>
    </row>
    <row r="116" spans="1:13" ht="54">
      <c r="A116" s="99">
        <f t="shared" si="3"/>
        <v>104</v>
      </c>
      <c r="B116" s="94" t="s">
        <v>916</v>
      </c>
      <c r="C116" s="94" t="s">
        <v>830</v>
      </c>
      <c r="D116" s="94" t="s">
        <v>829</v>
      </c>
      <c r="E116" s="94" t="s">
        <v>828</v>
      </c>
      <c r="F116" s="95" t="s">
        <v>827</v>
      </c>
      <c r="G116" s="96"/>
      <c r="H116" s="106" t="s">
        <v>742</v>
      </c>
      <c r="I116" s="95" t="s">
        <v>903</v>
      </c>
      <c r="J116" s="106" t="s">
        <v>10</v>
      </c>
      <c r="K116" s="106" t="s">
        <v>741</v>
      </c>
      <c r="L116" s="34" t="s">
        <v>734</v>
      </c>
      <c r="M116" s="13"/>
    </row>
    <row r="117" spans="1:13" ht="162">
      <c r="A117" s="99">
        <f t="shared" si="3"/>
        <v>105</v>
      </c>
      <c r="B117" s="94" t="s">
        <v>916</v>
      </c>
      <c r="C117" s="94" t="s">
        <v>826</v>
      </c>
      <c r="D117" s="94" t="s">
        <v>498</v>
      </c>
      <c r="E117" s="94" t="s">
        <v>825</v>
      </c>
      <c r="F117" s="95" t="s">
        <v>824</v>
      </c>
      <c r="G117" s="96"/>
      <c r="H117" s="106" t="s">
        <v>742</v>
      </c>
      <c r="I117" s="95" t="s">
        <v>893</v>
      </c>
      <c r="J117" s="106" t="s">
        <v>12</v>
      </c>
      <c r="K117" s="106" t="s">
        <v>741</v>
      </c>
      <c r="L117" s="34" t="s">
        <v>734</v>
      </c>
      <c r="M117" s="13"/>
    </row>
    <row r="118" spans="1:13" ht="148.5">
      <c r="A118" s="99">
        <f t="shared" si="3"/>
        <v>106</v>
      </c>
      <c r="B118" s="94" t="s">
        <v>916</v>
      </c>
      <c r="C118" s="94" t="s">
        <v>823</v>
      </c>
      <c r="D118" s="94" t="s">
        <v>498</v>
      </c>
      <c r="E118" s="94" t="s">
        <v>818</v>
      </c>
      <c r="F118" s="95" t="s">
        <v>822</v>
      </c>
      <c r="G118" s="96"/>
      <c r="H118" s="106" t="s">
        <v>887</v>
      </c>
      <c r="I118" s="95" t="s">
        <v>746</v>
      </c>
      <c r="J118" s="106" t="s">
        <v>12</v>
      </c>
      <c r="K118" s="106" t="s">
        <v>741</v>
      </c>
      <c r="L118" s="107" t="s">
        <v>734</v>
      </c>
      <c r="M118" s="13"/>
    </row>
    <row r="119" spans="1:13" ht="216">
      <c r="A119" s="99">
        <f t="shared" si="3"/>
        <v>107</v>
      </c>
      <c r="B119" s="94" t="s">
        <v>916</v>
      </c>
      <c r="C119" s="94" t="s">
        <v>821</v>
      </c>
      <c r="D119" s="94" t="s">
        <v>498</v>
      </c>
      <c r="E119" s="94" t="s">
        <v>818</v>
      </c>
      <c r="F119" s="95" t="s">
        <v>820</v>
      </c>
      <c r="G119" s="96"/>
      <c r="H119" s="34" t="s">
        <v>742</v>
      </c>
      <c r="I119" s="95" t="s">
        <v>889</v>
      </c>
      <c r="J119" s="106" t="s">
        <v>10</v>
      </c>
      <c r="K119" s="106" t="s">
        <v>741</v>
      </c>
      <c r="L119" s="107" t="s">
        <v>734</v>
      </c>
      <c r="M119" s="13"/>
    </row>
    <row r="120" spans="1:13" ht="108">
      <c r="A120" s="99">
        <f t="shared" si="3"/>
        <v>108</v>
      </c>
      <c r="B120" s="94" t="s">
        <v>916</v>
      </c>
      <c r="C120" s="94" t="s">
        <v>819</v>
      </c>
      <c r="D120" s="94" t="s">
        <v>498</v>
      </c>
      <c r="E120" s="94" t="s">
        <v>818</v>
      </c>
      <c r="F120" s="95" t="s">
        <v>817</v>
      </c>
      <c r="G120" s="96"/>
      <c r="H120" s="106" t="s">
        <v>742</v>
      </c>
      <c r="I120" s="95" t="s">
        <v>895</v>
      </c>
      <c r="J120" s="106" t="s">
        <v>12</v>
      </c>
      <c r="K120" s="106" t="s">
        <v>741</v>
      </c>
      <c r="L120" s="107" t="s">
        <v>734</v>
      </c>
      <c r="M120" s="13"/>
    </row>
    <row r="121" spans="1:13" ht="67.5">
      <c r="A121" s="99">
        <f t="shared" si="3"/>
        <v>109</v>
      </c>
      <c r="B121" s="94" t="s">
        <v>916</v>
      </c>
      <c r="C121" s="94" t="s">
        <v>816</v>
      </c>
      <c r="D121" s="94" t="s">
        <v>815</v>
      </c>
      <c r="E121" s="94" t="s">
        <v>563</v>
      </c>
      <c r="F121" s="95" t="s">
        <v>814</v>
      </c>
      <c r="G121" s="96"/>
      <c r="H121" s="106" t="s">
        <v>906</v>
      </c>
      <c r="I121" s="35" t="s">
        <v>905</v>
      </c>
      <c r="J121" s="106" t="s">
        <v>12</v>
      </c>
      <c r="K121" s="106" t="s">
        <v>741</v>
      </c>
      <c r="L121" s="107" t="s">
        <v>734</v>
      </c>
      <c r="M121" s="13"/>
    </row>
    <row r="122" spans="1:13" ht="94.5">
      <c r="A122" s="99">
        <f t="shared" si="3"/>
        <v>110</v>
      </c>
      <c r="B122" s="94" t="s">
        <v>916</v>
      </c>
      <c r="C122" s="94" t="s">
        <v>813</v>
      </c>
      <c r="D122" s="94" t="s">
        <v>812</v>
      </c>
      <c r="E122" s="94" t="s">
        <v>563</v>
      </c>
      <c r="F122" s="95" t="s">
        <v>811</v>
      </c>
      <c r="G122" s="96"/>
      <c r="H122" s="106" t="s">
        <v>742</v>
      </c>
      <c r="I122" s="35" t="s">
        <v>907</v>
      </c>
      <c r="J122" s="106" t="s">
        <v>12</v>
      </c>
      <c r="K122" s="106" t="s">
        <v>741</v>
      </c>
      <c r="L122" s="107" t="s">
        <v>734</v>
      </c>
      <c r="M122" s="13"/>
    </row>
    <row r="123" spans="1:13" ht="40.5">
      <c r="A123" s="99">
        <f t="shared" si="3"/>
        <v>111</v>
      </c>
      <c r="B123" s="94" t="s">
        <v>916</v>
      </c>
      <c r="C123" s="94" t="s">
        <v>810</v>
      </c>
      <c r="D123" s="94" t="s">
        <v>809</v>
      </c>
      <c r="E123" s="94" t="s">
        <v>563</v>
      </c>
      <c r="F123" s="95" t="s">
        <v>808</v>
      </c>
      <c r="G123" s="96"/>
      <c r="H123" s="106" t="s">
        <v>742</v>
      </c>
      <c r="I123" s="95" t="s">
        <v>899</v>
      </c>
      <c r="J123" s="106" t="s">
        <v>10</v>
      </c>
      <c r="K123" s="106" t="s">
        <v>741</v>
      </c>
      <c r="L123" s="107" t="s">
        <v>734</v>
      </c>
      <c r="M123" s="13"/>
    </row>
    <row r="124" spans="1:13" ht="40.5">
      <c r="A124" s="99">
        <f t="shared" si="3"/>
        <v>112</v>
      </c>
      <c r="B124" s="94" t="s">
        <v>917</v>
      </c>
      <c r="C124" s="94" t="s">
        <v>807</v>
      </c>
      <c r="D124" s="94" t="s">
        <v>806</v>
      </c>
      <c r="E124" s="94" t="s">
        <v>805</v>
      </c>
      <c r="F124" s="95" t="s">
        <v>850</v>
      </c>
      <c r="G124" s="96"/>
      <c r="H124" s="106" t="s">
        <v>742</v>
      </c>
      <c r="I124" s="95"/>
      <c r="J124" s="106" t="s">
        <v>10</v>
      </c>
      <c r="K124" s="106" t="s">
        <v>741</v>
      </c>
      <c r="L124" s="107" t="s">
        <v>734</v>
      </c>
      <c r="M124" s="13"/>
    </row>
    <row r="125" spans="1:13" ht="40.5">
      <c r="A125" s="99">
        <f t="shared" si="3"/>
        <v>113</v>
      </c>
      <c r="B125" s="94" t="s">
        <v>917</v>
      </c>
      <c r="C125" s="94" t="s">
        <v>804</v>
      </c>
      <c r="D125" s="94">
        <v>1</v>
      </c>
      <c r="E125" s="94" t="s">
        <v>803</v>
      </c>
      <c r="F125" s="95" t="s">
        <v>851</v>
      </c>
      <c r="G125" s="96"/>
      <c r="H125" s="106" t="s">
        <v>742</v>
      </c>
      <c r="I125" s="95" t="s">
        <v>892</v>
      </c>
      <c r="J125" s="106" t="s">
        <v>12</v>
      </c>
      <c r="K125" s="106" t="s">
        <v>741</v>
      </c>
      <c r="L125" s="107" t="s">
        <v>734</v>
      </c>
      <c r="M125" s="13"/>
    </row>
    <row r="126" spans="1:13" ht="94.5">
      <c r="A126" s="99">
        <f t="shared" si="3"/>
        <v>114</v>
      </c>
      <c r="B126" s="94" t="s">
        <v>917</v>
      </c>
      <c r="C126" s="94" t="s">
        <v>802</v>
      </c>
      <c r="D126" s="94">
        <v>1</v>
      </c>
      <c r="E126" s="94" t="s">
        <v>801</v>
      </c>
      <c r="F126" s="95" t="s">
        <v>800</v>
      </c>
      <c r="G126" s="96"/>
      <c r="H126" s="106" t="s">
        <v>742</v>
      </c>
      <c r="I126" s="95" t="s">
        <v>896</v>
      </c>
      <c r="J126" s="106" t="s">
        <v>11</v>
      </c>
      <c r="K126" s="106" t="s">
        <v>741</v>
      </c>
      <c r="L126" s="107" t="s">
        <v>734</v>
      </c>
      <c r="M126" s="13"/>
    </row>
    <row r="127" spans="1:13" ht="67.5">
      <c r="A127" s="99">
        <f t="shared" si="3"/>
        <v>115</v>
      </c>
      <c r="B127" s="94" t="s">
        <v>917</v>
      </c>
      <c r="C127" s="94" t="s">
        <v>799</v>
      </c>
      <c r="D127" s="94">
        <v>1</v>
      </c>
      <c r="E127" s="94" t="s">
        <v>798</v>
      </c>
      <c r="F127" s="95" t="s">
        <v>877</v>
      </c>
      <c r="G127" s="96"/>
      <c r="H127" s="106" t="s">
        <v>742</v>
      </c>
      <c r="I127" s="95" t="s">
        <v>883</v>
      </c>
      <c r="J127" s="106" t="s">
        <v>11</v>
      </c>
      <c r="K127" s="106" t="s">
        <v>29</v>
      </c>
      <c r="L127" s="107" t="s">
        <v>734</v>
      </c>
      <c r="M127" s="13"/>
    </row>
    <row r="128" spans="1:13" ht="135">
      <c r="A128" s="99">
        <f t="shared" si="3"/>
        <v>116</v>
      </c>
      <c r="B128" s="94" t="s">
        <v>917</v>
      </c>
      <c r="C128" s="94" t="s">
        <v>797</v>
      </c>
      <c r="D128" s="94">
        <v>1.2</v>
      </c>
      <c r="E128" s="94" t="s">
        <v>796</v>
      </c>
      <c r="F128" s="95" t="s">
        <v>852</v>
      </c>
      <c r="G128" s="96"/>
      <c r="H128" s="106" t="s">
        <v>742</v>
      </c>
      <c r="I128" s="95" t="s">
        <v>884</v>
      </c>
      <c r="J128" s="106" t="s">
        <v>10</v>
      </c>
      <c r="K128" s="106" t="s">
        <v>741</v>
      </c>
      <c r="L128" s="107" t="s">
        <v>734</v>
      </c>
      <c r="M128" s="13"/>
    </row>
    <row r="129" spans="1:13" ht="40.5">
      <c r="A129" s="99">
        <f t="shared" si="3"/>
        <v>117</v>
      </c>
      <c r="B129" s="94" t="s">
        <v>917</v>
      </c>
      <c r="C129" s="94" t="s">
        <v>795</v>
      </c>
      <c r="D129" s="94" t="s">
        <v>794</v>
      </c>
      <c r="E129" s="94" t="s">
        <v>793</v>
      </c>
      <c r="F129" s="95" t="s">
        <v>853</v>
      </c>
      <c r="G129" s="96"/>
      <c r="H129" s="106" t="s">
        <v>742</v>
      </c>
      <c r="I129" s="95" t="s">
        <v>885</v>
      </c>
      <c r="J129" s="106" t="s">
        <v>11</v>
      </c>
      <c r="K129" s="106" t="s">
        <v>29</v>
      </c>
      <c r="L129" s="107" t="s">
        <v>734</v>
      </c>
      <c r="M129" s="13"/>
    </row>
    <row r="130" spans="1:13" ht="40.5">
      <c r="A130" s="99">
        <f t="shared" si="3"/>
        <v>118</v>
      </c>
      <c r="B130" s="94" t="s">
        <v>918</v>
      </c>
      <c r="C130" s="94" t="s">
        <v>792</v>
      </c>
      <c r="D130" s="94">
        <v>1.5</v>
      </c>
      <c r="E130" s="94" t="s">
        <v>791</v>
      </c>
      <c r="F130" s="95" t="s">
        <v>790</v>
      </c>
      <c r="G130" s="96"/>
      <c r="H130" s="106" t="s">
        <v>742</v>
      </c>
      <c r="I130" s="95" t="s">
        <v>886</v>
      </c>
      <c r="J130" s="106" t="s">
        <v>10</v>
      </c>
      <c r="K130" s="106" t="s">
        <v>741</v>
      </c>
      <c r="L130" s="107" t="s">
        <v>734</v>
      </c>
      <c r="M130" s="13"/>
    </row>
    <row r="131" spans="1:13" ht="54">
      <c r="A131" s="99">
        <f t="shared" si="3"/>
        <v>119</v>
      </c>
      <c r="B131" s="94" t="s">
        <v>918</v>
      </c>
      <c r="C131" s="94" t="s">
        <v>789</v>
      </c>
      <c r="D131" s="94">
        <v>1.6</v>
      </c>
      <c r="E131" s="94" t="s">
        <v>788</v>
      </c>
      <c r="F131" s="95" t="s">
        <v>787</v>
      </c>
      <c r="G131" s="96"/>
      <c r="H131" s="106" t="s">
        <v>742</v>
      </c>
      <c r="I131" s="95" t="s">
        <v>897</v>
      </c>
      <c r="J131" s="106" t="s">
        <v>12</v>
      </c>
      <c r="K131" s="106" t="s">
        <v>741</v>
      </c>
      <c r="L131" s="107" t="s">
        <v>734</v>
      </c>
      <c r="M131" s="13"/>
    </row>
    <row r="132" spans="1:13" ht="189">
      <c r="A132" s="99">
        <f t="shared" si="3"/>
        <v>120</v>
      </c>
      <c r="B132" s="94" t="s">
        <v>918</v>
      </c>
      <c r="C132" s="94" t="s">
        <v>786</v>
      </c>
      <c r="D132" s="94" t="s">
        <v>785</v>
      </c>
      <c r="E132" s="94">
        <v>19</v>
      </c>
      <c r="F132" s="95" t="s">
        <v>854</v>
      </c>
      <c r="G132" s="96"/>
      <c r="H132" s="106" t="s">
        <v>887</v>
      </c>
      <c r="I132" s="95" t="s">
        <v>909</v>
      </c>
      <c r="J132" s="106" t="s">
        <v>12</v>
      </c>
      <c r="K132" s="106" t="s">
        <v>741</v>
      </c>
      <c r="L132" s="107" t="s">
        <v>734</v>
      </c>
      <c r="M132" s="13"/>
    </row>
    <row r="133" spans="1:13" ht="405">
      <c r="A133" s="99">
        <f t="shared" si="3"/>
        <v>121</v>
      </c>
      <c r="B133" s="94" t="s">
        <v>918</v>
      </c>
      <c r="C133" s="94" t="s">
        <v>786</v>
      </c>
      <c r="D133" s="94" t="s">
        <v>785</v>
      </c>
      <c r="E133" s="94">
        <v>19</v>
      </c>
      <c r="F133" s="95" t="s">
        <v>855</v>
      </c>
      <c r="G133" s="105"/>
      <c r="H133" s="106" t="s">
        <v>887</v>
      </c>
      <c r="I133" s="95" t="s">
        <v>909</v>
      </c>
      <c r="J133" s="106" t="s">
        <v>12</v>
      </c>
      <c r="K133" s="106" t="s">
        <v>741</v>
      </c>
      <c r="L133" s="107" t="s">
        <v>734</v>
      </c>
      <c r="M133" s="13"/>
    </row>
    <row r="134" spans="1:13" ht="40.5">
      <c r="A134" s="99">
        <f t="shared" si="3"/>
        <v>122</v>
      </c>
      <c r="B134" s="94" t="s">
        <v>918</v>
      </c>
      <c r="C134" s="94" t="s">
        <v>873</v>
      </c>
      <c r="D134" s="94">
        <v>6.8</v>
      </c>
      <c r="E134" s="94">
        <v>45</v>
      </c>
      <c r="F134" s="95" t="s">
        <v>872</v>
      </c>
      <c r="G134" s="105"/>
      <c r="H134" s="106" t="s">
        <v>887</v>
      </c>
      <c r="I134" s="95" t="s">
        <v>910</v>
      </c>
      <c r="J134" s="106" t="s">
        <v>12</v>
      </c>
      <c r="K134" s="106" t="s">
        <v>741</v>
      </c>
      <c r="L134" s="107" t="s">
        <v>734</v>
      </c>
      <c r="M134" s="13"/>
    </row>
    <row r="135" spans="1:13" ht="108">
      <c r="A135" s="99">
        <f t="shared" si="3"/>
        <v>123</v>
      </c>
      <c r="B135" s="94" t="s">
        <v>918</v>
      </c>
      <c r="C135" s="94" t="s">
        <v>871</v>
      </c>
      <c r="D135" s="94" t="s">
        <v>870</v>
      </c>
      <c r="E135" s="94">
        <v>52</v>
      </c>
      <c r="F135" s="95" t="s">
        <v>869</v>
      </c>
      <c r="G135" s="105"/>
      <c r="H135" s="106" t="s">
        <v>742</v>
      </c>
      <c r="I135" s="95" t="s">
        <v>898</v>
      </c>
      <c r="J135" s="106" t="s">
        <v>12</v>
      </c>
      <c r="K135" s="106" t="s">
        <v>741</v>
      </c>
      <c r="L135" s="107" t="s">
        <v>734</v>
      </c>
      <c r="M135" s="13"/>
    </row>
    <row r="136" spans="1:13" ht="387" customHeight="1">
      <c r="A136" s="99">
        <f t="shared" si="3"/>
        <v>124</v>
      </c>
      <c r="B136" s="94" t="s">
        <v>918</v>
      </c>
      <c r="C136" s="94" t="s">
        <v>868</v>
      </c>
      <c r="D136" s="94" t="s">
        <v>867</v>
      </c>
      <c r="E136" s="94">
        <v>53</v>
      </c>
      <c r="F136" s="95" t="s">
        <v>866</v>
      </c>
      <c r="G136" s="105"/>
      <c r="H136" s="106" t="s">
        <v>887</v>
      </c>
      <c r="I136" s="95" t="s">
        <v>911</v>
      </c>
      <c r="J136" s="106" t="s">
        <v>12</v>
      </c>
      <c r="K136" s="106" t="s">
        <v>741</v>
      </c>
      <c r="L136" s="107" t="s">
        <v>734</v>
      </c>
      <c r="M136" s="13"/>
    </row>
    <row r="137" spans="1:13" ht="108">
      <c r="A137" s="99">
        <f t="shared" si="3"/>
        <v>125</v>
      </c>
      <c r="B137" s="94" t="s">
        <v>918</v>
      </c>
      <c r="C137" s="94" t="s">
        <v>865</v>
      </c>
      <c r="D137" s="94" t="s">
        <v>864</v>
      </c>
      <c r="E137" s="94">
        <v>60</v>
      </c>
      <c r="F137" s="95" t="s">
        <v>863</v>
      </c>
      <c r="G137" s="105"/>
      <c r="H137" s="106" t="s">
        <v>887</v>
      </c>
      <c r="I137" s="95" t="s">
        <v>912</v>
      </c>
      <c r="J137" s="106" t="s">
        <v>12</v>
      </c>
      <c r="K137" s="106" t="s">
        <v>741</v>
      </c>
      <c r="L137" s="107" t="s">
        <v>734</v>
      </c>
      <c r="M137" s="13"/>
    </row>
    <row r="138" spans="1:13" ht="40.5">
      <c r="A138" s="99">
        <f t="shared" si="3"/>
        <v>126</v>
      </c>
      <c r="B138" s="94" t="s">
        <v>918</v>
      </c>
      <c r="C138" s="94" t="s">
        <v>862</v>
      </c>
      <c r="D138" s="94">
        <v>7.4</v>
      </c>
      <c r="E138" s="94">
        <v>60</v>
      </c>
      <c r="F138" s="95" t="s">
        <v>861</v>
      </c>
      <c r="G138" s="105"/>
      <c r="H138" s="106" t="s">
        <v>742</v>
      </c>
      <c r="I138" s="95" t="s">
        <v>900</v>
      </c>
      <c r="J138" s="106" t="s">
        <v>11</v>
      </c>
      <c r="K138" s="106" t="s">
        <v>29</v>
      </c>
      <c r="L138" s="107" t="s">
        <v>734</v>
      </c>
      <c r="M138" s="13"/>
    </row>
    <row r="139" spans="1:13" ht="81">
      <c r="A139" s="99">
        <f t="shared" si="3"/>
        <v>127</v>
      </c>
      <c r="B139" s="94" t="s">
        <v>918</v>
      </c>
      <c r="C139" s="94" t="s">
        <v>860</v>
      </c>
      <c r="D139" s="94">
        <v>8.3000000000000007</v>
      </c>
      <c r="E139" s="94">
        <v>61</v>
      </c>
      <c r="F139" s="95" t="s">
        <v>859</v>
      </c>
      <c r="G139" s="105"/>
      <c r="H139" s="106" t="s">
        <v>742</v>
      </c>
      <c r="I139" s="95" t="s">
        <v>900</v>
      </c>
      <c r="J139" s="106" t="s">
        <v>11</v>
      </c>
      <c r="K139" s="106" t="s">
        <v>29</v>
      </c>
      <c r="L139" s="107" t="s">
        <v>734</v>
      </c>
      <c r="M139" s="13"/>
    </row>
    <row r="140" spans="1:13" ht="135">
      <c r="A140" s="99">
        <f t="shared" si="3"/>
        <v>128</v>
      </c>
      <c r="B140" s="94"/>
      <c r="C140" s="94" t="s">
        <v>858</v>
      </c>
      <c r="D140" s="94" t="s">
        <v>857</v>
      </c>
      <c r="E140" s="94">
        <v>30</v>
      </c>
      <c r="F140" s="95" t="s">
        <v>856</v>
      </c>
      <c r="G140" s="105"/>
      <c r="H140" s="106" t="s">
        <v>887</v>
      </c>
      <c r="I140" s="95" t="s">
        <v>913</v>
      </c>
      <c r="J140" s="106" t="s">
        <v>12</v>
      </c>
      <c r="K140" s="106" t="s">
        <v>741</v>
      </c>
      <c r="L140" s="107" t="s">
        <v>734</v>
      </c>
      <c r="M140" s="13"/>
    </row>
    <row r="141" spans="1:13">
      <c r="A141" s="99">
        <f t="shared" si="3"/>
        <v>129</v>
      </c>
      <c r="B141" s="94"/>
      <c r="C141" s="94"/>
      <c r="D141" s="94"/>
      <c r="E141" s="94"/>
      <c r="F141" s="95"/>
      <c r="G141" s="105"/>
      <c r="H141" s="106"/>
      <c r="I141" s="95"/>
      <c r="J141" s="106"/>
      <c r="K141" s="106" t="s">
        <v>29</v>
      </c>
      <c r="L141" s="107"/>
      <c r="M141" s="13"/>
    </row>
    <row r="142" spans="1:13">
      <c r="A142" s="99">
        <f t="shared" ref="A142:A205" si="4">A141+1</f>
        <v>130</v>
      </c>
      <c r="B142" s="94"/>
      <c r="C142" s="94"/>
      <c r="D142" s="94"/>
      <c r="E142" s="94"/>
      <c r="F142" s="95"/>
      <c r="G142" s="105"/>
      <c r="H142" s="106"/>
      <c r="I142" s="95"/>
      <c r="J142" s="106"/>
      <c r="K142" s="106" t="s">
        <v>29</v>
      </c>
      <c r="L142" s="107"/>
      <c r="M142" s="13"/>
    </row>
    <row r="143" spans="1:13">
      <c r="A143" s="99">
        <f t="shared" si="4"/>
        <v>131</v>
      </c>
      <c r="B143" s="94"/>
      <c r="C143" s="94"/>
      <c r="D143" s="94"/>
      <c r="E143" s="94"/>
      <c r="F143" s="95"/>
      <c r="G143" s="105"/>
      <c r="H143" s="106"/>
      <c r="I143" s="95"/>
      <c r="J143" s="106"/>
      <c r="K143" s="106" t="s">
        <v>29</v>
      </c>
      <c r="L143" s="107"/>
      <c r="M143" s="13"/>
    </row>
    <row r="144" spans="1:13">
      <c r="A144" s="99">
        <f t="shared" si="4"/>
        <v>132</v>
      </c>
      <c r="B144" s="94"/>
      <c r="C144" s="94"/>
      <c r="D144" s="94"/>
      <c r="E144" s="94"/>
      <c r="F144" s="95"/>
      <c r="G144" s="105"/>
      <c r="H144" s="106"/>
      <c r="I144" s="95"/>
      <c r="J144" s="106"/>
      <c r="K144" s="106" t="s">
        <v>29</v>
      </c>
      <c r="L144" s="107"/>
      <c r="M144" s="13"/>
    </row>
    <row r="145" spans="1:13">
      <c r="A145" s="99">
        <f t="shared" si="4"/>
        <v>133</v>
      </c>
      <c r="B145" s="94"/>
      <c r="C145" s="94"/>
      <c r="D145" s="94"/>
      <c r="E145" s="94"/>
      <c r="F145" s="95"/>
      <c r="G145" s="105"/>
      <c r="H145" s="106"/>
      <c r="I145" s="95"/>
      <c r="J145" s="106"/>
      <c r="K145" s="106" t="s">
        <v>29</v>
      </c>
      <c r="L145" s="107"/>
      <c r="M145" s="13"/>
    </row>
    <row r="146" spans="1:13">
      <c r="A146" s="99">
        <f t="shared" si="4"/>
        <v>134</v>
      </c>
      <c r="B146" s="94"/>
      <c r="C146" s="94"/>
      <c r="D146" s="94"/>
      <c r="E146" s="94"/>
      <c r="F146" s="95"/>
      <c r="G146" s="105"/>
      <c r="H146" s="106"/>
      <c r="I146" s="95"/>
      <c r="J146" s="106"/>
      <c r="K146" s="106" t="s">
        <v>29</v>
      </c>
      <c r="L146" s="107"/>
      <c r="M146" s="13"/>
    </row>
    <row r="147" spans="1:13">
      <c r="A147" s="99">
        <f t="shared" si="4"/>
        <v>135</v>
      </c>
      <c r="B147" s="94"/>
      <c r="C147" s="94"/>
      <c r="D147" s="94"/>
      <c r="E147" s="94"/>
      <c r="F147" s="95"/>
      <c r="G147" s="105"/>
      <c r="H147" s="106"/>
      <c r="I147" s="95"/>
      <c r="J147" s="106"/>
      <c r="K147" s="106" t="s">
        <v>29</v>
      </c>
      <c r="L147" s="107"/>
      <c r="M147" s="13"/>
    </row>
    <row r="148" spans="1:13">
      <c r="A148" s="99">
        <f t="shared" si="4"/>
        <v>136</v>
      </c>
      <c r="B148" s="94"/>
      <c r="C148" s="94"/>
      <c r="D148" s="94"/>
      <c r="E148" s="94"/>
      <c r="F148" s="95"/>
      <c r="G148" s="105"/>
      <c r="H148" s="106"/>
      <c r="I148" s="95"/>
      <c r="J148" s="106"/>
      <c r="K148" s="106" t="s">
        <v>29</v>
      </c>
      <c r="L148" s="107"/>
      <c r="M148" s="13"/>
    </row>
    <row r="149" spans="1:13">
      <c r="A149" s="99">
        <f t="shared" si="4"/>
        <v>137</v>
      </c>
      <c r="B149" s="94"/>
      <c r="C149" s="94"/>
      <c r="D149" s="94"/>
      <c r="E149" s="94"/>
      <c r="F149" s="95"/>
      <c r="G149" s="105"/>
      <c r="H149" s="106"/>
      <c r="I149" s="95"/>
      <c r="J149" s="106"/>
      <c r="K149" s="106" t="s">
        <v>29</v>
      </c>
      <c r="L149" s="107"/>
      <c r="M149" s="13"/>
    </row>
    <row r="150" spans="1:13">
      <c r="A150" s="99">
        <f t="shared" si="4"/>
        <v>138</v>
      </c>
      <c r="B150" s="94"/>
      <c r="C150" s="94"/>
      <c r="D150" s="94"/>
      <c r="E150" s="94"/>
      <c r="F150" s="95"/>
      <c r="G150" s="105"/>
      <c r="H150" s="106"/>
      <c r="I150" s="95"/>
      <c r="J150" s="106"/>
      <c r="K150" s="106" t="s">
        <v>29</v>
      </c>
      <c r="L150" s="107"/>
      <c r="M150" s="13"/>
    </row>
    <row r="151" spans="1:13">
      <c r="A151" s="99">
        <f t="shared" si="4"/>
        <v>139</v>
      </c>
      <c r="B151" s="94"/>
      <c r="C151" s="94"/>
      <c r="D151" s="94"/>
      <c r="E151" s="94"/>
      <c r="F151" s="95"/>
      <c r="G151" s="105"/>
      <c r="H151" s="106"/>
      <c r="I151" s="95"/>
      <c r="J151" s="106"/>
      <c r="K151" s="106" t="s">
        <v>29</v>
      </c>
      <c r="L151" s="107"/>
      <c r="M151" s="13"/>
    </row>
    <row r="152" spans="1:13">
      <c r="A152" s="99">
        <f t="shared" si="4"/>
        <v>140</v>
      </c>
      <c r="B152" s="94"/>
      <c r="C152" s="94"/>
      <c r="D152" s="94"/>
      <c r="E152" s="94"/>
      <c r="F152" s="95"/>
      <c r="G152" s="105"/>
      <c r="H152" s="106"/>
      <c r="I152" s="95"/>
      <c r="J152" s="106"/>
      <c r="K152" s="106" t="s">
        <v>29</v>
      </c>
      <c r="L152" s="107"/>
      <c r="M152" s="13"/>
    </row>
    <row r="153" spans="1:13">
      <c r="A153" s="99">
        <f t="shared" si="4"/>
        <v>141</v>
      </c>
      <c r="B153" s="94"/>
      <c r="C153" s="94"/>
      <c r="D153" s="94"/>
      <c r="E153" s="94"/>
      <c r="F153" s="95"/>
      <c r="G153" s="105"/>
      <c r="H153" s="106"/>
      <c r="I153" s="95"/>
      <c r="J153" s="106"/>
      <c r="K153" s="106" t="s">
        <v>29</v>
      </c>
      <c r="L153" s="107"/>
      <c r="M153" s="13"/>
    </row>
    <row r="154" spans="1:13">
      <c r="A154" s="99">
        <f t="shared" si="4"/>
        <v>142</v>
      </c>
      <c r="B154" s="94"/>
      <c r="C154" s="94"/>
      <c r="D154" s="94"/>
      <c r="E154" s="94"/>
      <c r="F154" s="95"/>
      <c r="G154" s="105"/>
      <c r="H154" s="106"/>
      <c r="I154" s="95"/>
      <c r="J154" s="106"/>
      <c r="K154" s="106" t="s">
        <v>29</v>
      </c>
      <c r="L154" s="107"/>
      <c r="M154" s="13"/>
    </row>
    <row r="155" spans="1:13">
      <c r="A155" s="99">
        <f t="shared" si="4"/>
        <v>143</v>
      </c>
      <c r="B155" s="94"/>
      <c r="C155" s="94"/>
      <c r="D155" s="94"/>
      <c r="E155" s="94"/>
      <c r="F155" s="95"/>
      <c r="G155" s="105"/>
      <c r="H155" s="106"/>
      <c r="I155" s="95"/>
      <c r="J155" s="106"/>
      <c r="K155" s="106" t="s">
        <v>29</v>
      </c>
      <c r="L155" s="107"/>
      <c r="M155" s="13"/>
    </row>
    <row r="156" spans="1:13">
      <c r="A156" s="99">
        <f t="shared" si="4"/>
        <v>144</v>
      </c>
      <c r="B156" s="94"/>
      <c r="C156" s="94"/>
      <c r="D156" s="94"/>
      <c r="E156" s="94"/>
      <c r="F156" s="95"/>
      <c r="G156" s="105"/>
      <c r="H156" s="106"/>
      <c r="I156" s="95"/>
      <c r="J156" s="106"/>
      <c r="K156" s="106" t="s">
        <v>29</v>
      </c>
      <c r="L156" s="107"/>
      <c r="M156" s="13"/>
    </row>
    <row r="157" spans="1:13">
      <c r="A157" s="99">
        <f t="shared" si="4"/>
        <v>145</v>
      </c>
      <c r="B157" s="94"/>
      <c r="C157" s="94"/>
      <c r="D157" s="94"/>
      <c r="E157" s="94"/>
      <c r="F157" s="95"/>
      <c r="G157" s="105"/>
      <c r="H157" s="106"/>
      <c r="I157" s="95"/>
      <c r="J157" s="106"/>
      <c r="K157" s="106" t="s">
        <v>29</v>
      </c>
      <c r="L157" s="107"/>
      <c r="M157" s="13"/>
    </row>
    <row r="158" spans="1:13">
      <c r="A158" s="99">
        <f t="shared" si="4"/>
        <v>146</v>
      </c>
      <c r="B158" s="94"/>
      <c r="C158" s="94"/>
      <c r="D158" s="94"/>
      <c r="E158" s="94"/>
      <c r="F158" s="95"/>
      <c r="G158" s="105"/>
      <c r="H158" s="106"/>
      <c r="I158" s="95"/>
      <c r="J158" s="106"/>
      <c r="K158" s="106" t="s">
        <v>29</v>
      </c>
      <c r="L158" s="107"/>
      <c r="M158" s="13"/>
    </row>
    <row r="159" spans="1:13">
      <c r="A159" s="99">
        <f t="shared" si="4"/>
        <v>147</v>
      </c>
      <c r="B159" s="94"/>
      <c r="C159" s="94"/>
      <c r="D159" s="94"/>
      <c r="E159" s="94"/>
      <c r="F159" s="95"/>
      <c r="G159" s="105"/>
      <c r="H159" s="106"/>
      <c r="I159" s="95"/>
      <c r="J159" s="106"/>
      <c r="K159" s="106" t="s">
        <v>29</v>
      </c>
      <c r="L159" s="107"/>
      <c r="M159" s="13"/>
    </row>
    <row r="160" spans="1:13">
      <c r="A160" s="99">
        <f t="shared" si="4"/>
        <v>148</v>
      </c>
      <c r="B160" s="94"/>
      <c r="C160" s="94"/>
      <c r="D160" s="94"/>
      <c r="E160" s="94"/>
      <c r="F160" s="95"/>
      <c r="G160" s="105"/>
      <c r="H160" s="106"/>
      <c r="I160" s="95"/>
      <c r="J160" s="106"/>
      <c r="K160" s="106" t="s">
        <v>29</v>
      </c>
      <c r="L160" s="107"/>
      <c r="M160" s="13"/>
    </row>
    <row r="161" spans="1:13">
      <c r="A161" s="99">
        <f t="shared" si="4"/>
        <v>149</v>
      </c>
      <c r="B161" s="94"/>
      <c r="C161" s="94"/>
      <c r="D161" s="94"/>
      <c r="E161" s="94"/>
      <c r="F161" s="95"/>
      <c r="G161" s="105"/>
      <c r="H161" s="106"/>
      <c r="I161" s="95"/>
      <c r="J161" s="106"/>
      <c r="K161" s="106" t="s">
        <v>29</v>
      </c>
      <c r="L161" s="107"/>
      <c r="M161" s="13"/>
    </row>
    <row r="162" spans="1:13">
      <c r="A162" s="99">
        <f t="shared" si="4"/>
        <v>150</v>
      </c>
      <c r="B162" s="94"/>
      <c r="C162" s="94"/>
      <c r="D162" s="94"/>
      <c r="E162" s="94"/>
      <c r="F162" s="95"/>
      <c r="G162" s="105"/>
      <c r="H162" s="106"/>
      <c r="I162" s="95"/>
      <c r="J162" s="106"/>
      <c r="K162" s="106" t="s">
        <v>29</v>
      </c>
      <c r="L162" s="107"/>
      <c r="M162" s="13"/>
    </row>
    <row r="163" spans="1:13">
      <c r="A163" s="99">
        <f t="shared" si="4"/>
        <v>151</v>
      </c>
      <c r="B163" s="94"/>
      <c r="C163" s="94"/>
      <c r="D163" s="94"/>
      <c r="E163" s="94"/>
      <c r="F163" s="95"/>
      <c r="G163" s="105"/>
      <c r="H163" s="106"/>
      <c r="I163" s="95"/>
      <c r="J163" s="106"/>
      <c r="K163" s="106" t="s">
        <v>29</v>
      </c>
      <c r="L163" s="107"/>
      <c r="M163" s="13"/>
    </row>
    <row r="164" spans="1:13">
      <c r="A164" s="99">
        <f t="shared" si="4"/>
        <v>152</v>
      </c>
      <c r="B164" s="94"/>
      <c r="C164" s="94"/>
      <c r="D164" s="94"/>
      <c r="E164" s="94"/>
      <c r="F164" s="95"/>
      <c r="G164" s="105"/>
      <c r="H164" s="106"/>
      <c r="I164" s="95"/>
      <c r="J164" s="106"/>
      <c r="K164" s="106" t="s">
        <v>29</v>
      </c>
      <c r="L164" s="107"/>
      <c r="M164" s="13"/>
    </row>
    <row r="165" spans="1:13">
      <c r="A165" s="99">
        <f t="shared" si="4"/>
        <v>153</v>
      </c>
      <c r="B165" s="94"/>
      <c r="C165" s="94"/>
      <c r="D165" s="94"/>
      <c r="E165" s="94"/>
      <c r="F165" s="95"/>
      <c r="G165" s="105"/>
      <c r="H165" s="106"/>
      <c r="I165" s="95"/>
      <c r="J165" s="106"/>
      <c r="K165" s="106" t="s">
        <v>29</v>
      </c>
      <c r="L165" s="107"/>
      <c r="M165" s="13"/>
    </row>
    <row r="166" spans="1:13">
      <c r="A166" s="99">
        <f t="shared" si="4"/>
        <v>154</v>
      </c>
      <c r="B166" s="94"/>
      <c r="C166" s="94"/>
      <c r="D166" s="94"/>
      <c r="E166" s="94"/>
      <c r="F166" s="95"/>
      <c r="G166" s="105"/>
      <c r="H166" s="106"/>
      <c r="I166" s="95"/>
      <c r="J166" s="106"/>
      <c r="K166" s="106" t="s">
        <v>29</v>
      </c>
      <c r="L166" s="107"/>
      <c r="M166" s="13"/>
    </row>
    <row r="167" spans="1:13">
      <c r="A167" s="99">
        <f t="shared" si="4"/>
        <v>155</v>
      </c>
      <c r="B167" s="94"/>
      <c r="C167" s="94"/>
      <c r="D167" s="94"/>
      <c r="E167" s="94"/>
      <c r="F167" s="95"/>
      <c r="G167" s="105"/>
      <c r="H167" s="106"/>
      <c r="I167" s="95"/>
      <c r="J167" s="106"/>
      <c r="K167" s="106" t="s">
        <v>29</v>
      </c>
      <c r="L167" s="107"/>
      <c r="M167" s="13"/>
    </row>
    <row r="168" spans="1:13">
      <c r="A168" s="99">
        <f t="shared" si="4"/>
        <v>156</v>
      </c>
      <c r="B168" s="94"/>
      <c r="C168" s="94"/>
      <c r="D168" s="94"/>
      <c r="E168" s="94"/>
      <c r="F168" s="95"/>
      <c r="G168" s="105"/>
      <c r="H168" s="106"/>
      <c r="I168" s="95"/>
      <c r="J168" s="106"/>
      <c r="K168" s="106" t="s">
        <v>29</v>
      </c>
      <c r="L168" s="107"/>
      <c r="M168" s="13"/>
    </row>
    <row r="169" spans="1:13">
      <c r="A169" s="99">
        <f t="shared" si="4"/>
        <v>157</v>
      </c>
      <c r="B169" s="94"/>
      <c r="C169" s="94"/>
      <c r="D169" s="94"/>
      <c r="E169" s="94"/>
      <c r="F169" s="95"/>
      <c r="G169" s="105"/>
      <c r="H169" s="106"/>
      <c r="I169" s="95"/>
      <c r="J169" s="106"/>
      <c r="K169" s="106" t="s">
        <v>29</v>
      </c>
      <c r="L169" s="107"/>
      <c r="M169" s="13"/>
    </row>
    <row r="170" spans="1:13">
      <c r="A170" s="99">
        <f t="shared" si="4"/>
        <v>158</v>
      </c>
      <c r="B170" s="94"/>
      <c r="C170" s="94"/>
      <c r="D170" s="94"/>
      <c r="E170" s="94"/>
      <c r="F170" s="95"/>
      <c r="G170" s="105"/>
      <c r="H170" s="106"/>
      <c r="I170" s="95"/>
      <c r="J170" s="106"/>
      <c r="K170" s="106" t="s">
        <v>29</v>
      </c>
      <c r="L170" s="107"/>
      <c r="M170" s="13"/>
    </row>
    <row r="171" spans="1:13">
      <c r="A171" s="99">
        <f t="shared" si="4"/>
        <v>159</v>
      </c>
      <c r="B171" s="94"/>
      <c r="C171" s="94"/>
      <c r="D171" s="94"/>
      <c r="E171" s="94"/>
      <c r="F171" s="95"/>
      <c r="G171" s="105"/>
      <c r="H171" s="106"/>
      <c r="I171" s="95"/>
      <c r="J171" s="106"/>
      <c r="K171" s="106" t="s">
        <v>29</v>
      </c>
      <c r="L171" s="107"/>
      <c r="M171" s="13"/>
    </row>
    <row r="172" spans="1:13">
      <c r="A172" s="99">
        <f t="shared" si="4"/>
        <v>160</v>
      </c>
      <c r="B172" s="94"/>
      <c r="C172" s="94"/>
      <c r="D172" s="94"/>
      <c r="E172" s="94"/>
      <c r="F172" s="95"/>
      <c r="G172" s="105"/>
      <c r="H172" s="106"/>
      <c r="I172" s="95"/>
      <c r="J172" s="106"/>
      <c r="K172" s="106" t="s">
        <v>29</v>
      </c>
      <c r="L172" s="107"/>
      <c r="M172" s="13"/>
    </row>
    <row r="173" spans="1:13">
      <c r="A173" s="99">
        <f t="shared" si="4"/>
        <v>161</v>
      </c>
      <c r="B173" s="94"/>
      <c r="C173" s="94"/>
      <c r="D173" s="94"/>
      <c r="E173" s="94"/>
      <c r="F173" s="95"/>
      <c r="G173" s="105"/>
      <c r="H173" s="106"/>
      <c r="I173" s="95"/>
      <c r="J173" s="106"/>
      <c r="K173" s="106" t="s">
        <v>29</v>
      </c>
      <c r="L173" s="107"/>
      <c r="M173" s="13"/>
    </row>
    <row r="174" spans="1:13">
      <c r="A174" s="99">
        <f t="shared" si="4"/>
        <v>162</v>
      </c>
      <c r="B174" s="94"/>
      <c r="C174" s="94"/>
      <c r="D174" s="94"/>
      <c r="E174" s="94"/>
      <c r="F174" s="95"/>
      <c r="G174" s="105"/>
      <c r="H174" s="106"/>
      <c r="I174" s="95"/>
      <c r="J174" s="106"/>
      <c r="K174" s="106" t="s">
        <v>29</v>
      </c>
      <c r="L174" s="107"/>
      <c r="M174" s="13"/>
    </row>
    <row r="175" spans="1:13">
      <c r="A175" s="99">
        <f t="shared" si="4"/>
        <v>163</v>
      </c>
      <c r="B175" s="94"/>
      <c r="C175" s="94"/>
      <c r="D175" s="94"/>
      <c r="E175" s="94"/>
      <c r="F175" s="95"/>
      <c r="G175" s="105"/>
      <c r="H175" s="106"/>
      <c r="I175" s="95"/>
      <c r="J175" s="106"/>
      <c r="K175" s="106" t="s">
        <v>29</v>
      </c>
      <c r="L175" s="107"/>
      <c r="M175" s="13"/>
    </row>
    <row r="176" spans="1:13">
      <c r="A176" s="99">
        <f t="shared" si="4"/>
        <v>164</v>
      </c>
      <c r="B176" s="94"/>
      <c r="C176" s="94"/>
      <c r="D176" s="94"/>
      <c r="E176" s="94"/>
      <c r="F176" s="95"/>
      <c r="G176" s="105"/>
      <c r="H176" s="106"/>
      <c r="I176" s="95"/>
      <c r="J176" s="106"/>
      <c r="K176" s="106" t="s">
        <v>29</v>
      </c>
      <c r="L176" s="107"/>
      <c r="M176" s="13"/>
    </row>
    <row r="177" spans="1:13">
      <c r="A177" s="99">
        <f t="shared" si="4"/>
        <v>165</v>
      </c>
      <c r="B177" s="94"/>
      <c r="C177" s="94"/>
      <c r="D177" s="94"/>
      <c r="E177" s="94"/>
      <c r="F177" s="95"/>
      <c r="G177" s="105"/>
      <c r="H177" s="106"/>
      <c r="I177" s="95"/>
      <c r="J177" s="106"/>
      <c r="K177" s="106" t="s">
        <v>29</v>
      </c>
      <c r="L177" s="107"/>
      <c r="M177" s="13"/>
    </row>
    <row r="178" spans="1:13">
      <c r="A178" s="99">
        <f t="shared" si="4"/>
        <v>166</v>
      </c>
      <c r="B178" s="94"/>
      <c r="C178" s="94"/>
      <c r="D178" s="94"/>
      <c r="E178" s="94"/>
      <c r="F178" s="95"/>
      <c r="G178" s="105"/>
      <c r="H178" s="106"/>
      <c r="I178" s="95"/>
      <c r="J178" s="106"/>
      <c r="K178" s="106" t="s">
        <v>29</v>
      </c>
      <c r="L178" s="107"/>
      <c r="M178" s="13"/>
    </row>
    <row r="179" spans="1:13">
      <c r="A179" s="99">
        <f t="shared" si="4"/>
        <v>167</v>
      </c>
      <c r="B179" s="94"/>
      <c r="C179" s="94"/>
      <c r="D179" s="94"/>
      <c r="E179" s="94"/>
      <c r="F179" s="95"/>
      <c r="G179" s="105"/>
      <c r="H179" s="106"/>
      <c r="I179" s="95"/>
      <c r="J179" s="106"/>
      <c r="K179" s="106" t="s">
        <v>29</v>
      </c>
      <c r="L179" s="107"/>
      <c r="M179" s="13"/>
    </row>
    <row r="180" spans="1:13">
      <c r="A180" s="99">
        <f t="shared" si="4"/>
        <v>168</v>
      </c>
      <c r="B180" s="94"/>
      <c r="C180" s="94"/>
      <c r="D180" s="94"/>
      <c r="E180" s="94"/>
      <c r="F180" s="95"/>
      <c r="G180" s="105"/>
      <c r="H180" s="106"/>
      <c r="I180" s="95"/>
      <c r="J180" s="106"/>
      <c r="K180" s="106" t="s">
        <v>29</v>
      </c>
      <c r="L180" s="107"/>
      <c r="M180" s="13"/>
    </row>
    <row r="181" spans="1:13">
      <c r="A181" s="99">
        <f t="shared" si="4"/>
        <v>169</v>
      </c>
      <c r="B181" s="94"/>
      <c r="C181" s="94"/>
      <c r="D181" s="94"/>
      <c r="E181" s="94"/>
      <c r="F181" s="95"/>
      <c r="G181" s="105"/>
      <c r="H181" s="106"/>
      <c r="I181" s="95"/>
      <c r="J181" s="106"/>
      <c r="K181" s="106" t="s">
        <v>29</v>
      </c>
      <c r="L181" s="107"/>
      <c r="M181" s="13"/>
    </row>
    <row r="182" spans="1:13">
      <c r="A182" s="99">
        <f t="shared" si="4"/>
        <v>170</v>
      </c>
      <c r="B182" s="94"/>
      <c r="C182" s="94"/>
      <c r="D182" s="94"/>
      <c r="E182" s="94"/>
      <c r="F182" s="95"/>
      <c r="G182" s="105"/>
      <c r="H182" s="106"/>
      <c r="I182" s="95"/>
      <c r="J182" s="106"/>
      <c r="K182" s="106" t="s">
        <v>29</v>
      </c>
      <c r="L182" s="107"/>
      <c r="M182" s="13"/>
    </row>
    <row r="183" spans="1:13">
      <c r="A183" s="99">
        <f t="shared" si="4"/>
        <v>171</v>
      </c>
      <c r="B183" s="94"/>
      <c r="C183" s="94"/>
      <c r="D183" s="94"/>
      <c r="E183" s="94"/>
      <c r="F183" s="95"/>
      <c r="G183" s="105"/>
      <c r="H183" s="106"/>
      <c r="I183" s="95"/>
      <c r="J183" s="106"/>
      <c r="K183" s="106" t="s">
        <v>29</v>
      </c>
      <c r="L183" s="107"/>
      <c r="M183" s="13"/>
    </row>
    <row r="184" spans="1:13">
      <c r="A184" s="99">
        <f t="shared" si="4"/>
        <v>172</v>
      </c>
      <c r="B184" s="94"/>
      <c r="C184" s="94"/>
      <c r="D184" s="94"/>
      <c r="E184" s="94"/>
      <c r="F184" s="95"/>
      <c r="G184" s="105"/>
      <c r="H184" s="106"/>
      <c r="I184" s="95"/>
      <c r="J184" s="106"/>
      <c r="K184" s="106" t="s">
        <v>29</v>
      </c>
      <c r="L184" s="107"/>
      <c r="M184" s="13"/>
    </row>
    <row r="185" spans="1:13">
      <c r="A185" s="99">
        <f t="shared" si="4"/>
        <v>173</v>
      </c>
      <c r="B185" s="94"/>
      <c r="C185" s="94"/>
      <c r="D185" s="94"/>
      <c r="E185" s="94"/>
      <c r="F185" s="95"/>
      <c r="G185" s="105"/>
      <c r="H185" s="106"/>
      <c r="I185" s="95"/>
      <c r="J185" s="106"/>
      <c r="K185" s="106" t="s">
        <v>29</v>
      </c>
      <c r="L185" s="107"/>
      <c r="M185" s="13"/>
    </row>
    <row r="186" spans="1:13">
      <c r="A186" s="99">
        <f t="shared" si="4"/>
        <v>174</v>
      </c>
      <c r="B186" s="94"/>
      <c r="C186" s="94"/>
      <c r="D186" s="94"/>
      <c r="E186" s="94"/>
      <c r="F186" s="95"/>
      <c r="G186" s="105"/>
      <c r="H186" s="106"/>
      <c r="I186" s="95"/>
      <c r="J186" s="106"/>
      <c r="K186" s="106" t="s">
        <v>29</v>
      </c>
      <c r="L186" s="107"/>
      <c r="M186" s="13"/>
    </row>
    <row r="187" spans="1:13">
      <c r="A187" s="99">
        <f t="shared" si="4"/>
        <v>175</v>
      </c>
      <c r="B187" s="94"/>
      <c r="C187" s="94"/>
      <c r="D187" s="94"/>
      <c r="E187" s="94"/>
      <c r="F187" s="95"/>
      <c r="G187" s="105"/>
      <c r="H187" s="106"/>
      <c r="I187" s="95"/>
      <c r="J187" s="106"/>
      <c r="K187" s="106" t="s">
        <v>29</v>
      </c>
      <c r="L187" s="107"/>
      <c r="M187" s="13"/>
    </row>
    <row r="188" spans="1:13">
      <c r="A188" s="99">
        <f t="shared" si="4"/>
        <v>176</v>
      </c>
      <c r="B188" s="94"/>
      <c r="C188" s="94"/>
      <c r="D188" s="94"/>
      <c r="E188" s="94"/>
      <c r="F188" s="95"/>
      <c r="G188" s="105"/>
      <c r="H188" s="106"/>
      <c r="I188" s="95"/>
      <c r="J188" s="106"/>
      <c r="K188" s="106" t="s">
        <v>29</v>
      </c>
      <c r="L188" s="107"/>
      <c r="M188" s="13"/>
    </row>
    <row r="189" spans="1:13">
      <c r="A189" s="99">
        <f t="shared" si="4"/>
        <v>177</v>
      </c>
      <c r="B189" s="94"/>
      <c r="C189" s="94"/>
      <c r="D189" s="94"/>
      <c r="E189" s="94"/>
      <c r="F189" s="95"/>
      <c r="G189" s="105"/>
      <c r="H189" s="106"/>
      <c r="I189" s="95"/>
      <c r="J189" s="106"/>
      <c r="K189" s="106" t="s">
        <v>29</v>
      </c>
      <c r="L189" s="107"/>
      <c r="M189" s="13"/>
    </row>
    <row r="190" spans="1:13">
      <c r="A190" s="99">
        <f t="shared" si="4"/>
        <v>178</v>
      </c>
      <c r="B190" s="94"/>
      <c r="C190" s="94"/>
      <c r="D190" s="94"/>
      <c r="E190" s="94"/>
      <c r="F190" s="95"/>
      <c r="G190" s="105"/>
      <c r="H190" s="106"/>
      <c r="I190" s="95"/>
      <c r="J190" s="106"/>
      <c r="K190" s="106" t="s">
        <v>29</v>
      </c>
      <c r="L190" s="107"/>
      <c r="M190" s="13"/>
    </row>
    <row r="191" spans="1:13">
      <c r="A191" s="99">
        <f t="shared" si="4"/>
        <v>179</v>
      </c>
      <c r="B191" s="94"/>
      <c r="C191" s="94"/>
      <c r="D191" s="94"/>
      <c r="E191" s="94"/>
      <c r="F191" s="95"/>
      <c r="G191" s="105"/>
      <c r="H191" s="106"/>
      <c r="I191" s="95"/>
      <c r="J191" s="106"/>
      <c r="K191" s="106" t="s">
        <v>29</v>
      </c>
      <c r="L191" s="107"/>
      <c r="M191" s="13"/>
    </row>
    <row r="192" spans="1:13">
      <c r="A192" s="99">
        <f t="shared" si="4"/>
        <v>180</v>
      </c>
      <c r="B192" s="94"/>
      <c r="C192" s="94"/>
      <c r="D192" s="94"/>
      <c r="E192" s="94"/>
      <c r="F192" s="95"/>
      <c r="G192" s="105"/>
      <c r="H192" s="106"/>
      <c r="I192" s="95"/>
      <c r="J192" s="106"/>
      <c r="K192" s="106" t="s">
        <v>29</v>
      </c>
      <c r="L192" s="107"/>
      <c r="M192" s="13"/>
    </row>
    <row r="193" spans="1:13">
      <c r="A193" s="99">
        <f t="shared" si="4"/>
        <v>181</v>
      </c>
      <c r="B193" s="94"/>
      <c r="C193" s="94"/>
      <c r="D193" s="94"/>
      <c r="E193" s="94"/>
      <c r="F193" s="95"/>
      <c r="G193" s="105"/>
      <c r="H193" s="106"/>
      <c r="I193" s="95"/>
      <c r="J193" s="106"/>
      <c r="K193" s="106" t="s">
        <v>29</v>
      </c>
      <c r="L193" s="107"/>
      <c r="M193" s="13"/>
    </row>
    <row r="194" spans="1:13">
      <c r="A194" s="99">
        <f t="shared" si="4"/>
        <v>182</v>
      </c>
      <c r="B194" s="94"/>
      <c r="C194" s="94"/>
      <c r="D194" s="94"/>
      <c r="E194" s="94"/>
      <c r="F194" s="95"/>
      <c r="G194" s="105"/>
      <c r="H194" s="106"/>
      <c r="I194" s="95"/>
      <c r="J194" s="106"/>
      <c r="K194" s="106" t="s">
        <v>29</v>
      </c>
      <c r="L194" s="107"/>
      <c r="M194" s="13"/>
    </row>
    <row r="195" spans="1:13">
      <c r="A195" s="99">
        <f t="shared" si="4"/>
        <v>183</v>
      </c>
      <c r="B195" s="94"/>
      <c r="C195" s="94"/>
      <c r="D195" s="94"/>
      <c r="E195" s="94"/>
      <c r="F195" s="95"/>
      <c r="G195" s="105"/>
      <c r="H195" s="106"/>
      <c r="I195" s="95"/>
      <c r="J195" s="106"/>
      <c r="K195" s="106" t="s">
        <v>29</v>
      </c>
      <c r="L195" s="107"/>
      <c r="M195" s="13"/>
    </row>
    <row r="196" spans="1:13">
      <c r="A196" s="99">
        <f t="shared" si="4"/>
        <v>184</v>
      </c>
      <c r="B196" s="94"/>
      <c r="C196" s="94"/>
      <c r="D196" s="94"/>
      <c r="E196" s="94"/>
      <c r="F196" s="95"/>
      <c r="G196" s="105"/>
      <c r="H196" s="106"/>
      <c r="I196" s="95"/>
      <c r="J196" s="106"/>
      <c r="K196" s="106" t="s">
        <v>29</v>
      </c>
      <c r="L196" s="107"/>
      <c r="M196" s="13"/>
    </row>
    <row r="197" spans="1:13">
      <c r="A197" s="99">
        <f t="shared" si="4"/>
        <v>185</v>
      </c>
      <c r="B197" s="94"/>
      <c r="C197" s="94"/>
      <c r="D197" s="94"/>
      <c r="E197" s="94"/>
      <c r="F197" s="95"/>
      <c r="G197" s="105"/>
      <c r="H197" s="106"/>
      <c r="I197" s="95"/>
      <c r="J197" s="106"/>
      <c r="K197" s="106" t="s">
        <v>29</v>
      </c>
      <c r="L197" s="107"/>
      <c r="M197" s="13"/>
    </row>
    <row r="198" spans="1:13">
      <c r="A198" s="99">
        <f t="shared" si="4"/>
        <v>186</v>
      </c>
      <c r="B198" s="94"/>
      <c r="C198" s="94"/>
      <c r="D198" s="94"/>
      <c r="E198" s="94"/>
      <c r="F198" s="95"/>
      <c r="G198" s="105"/>
      <c r="H198" s="106"/>
      <c r="I198" s="95"/>
      <c r="J198" s="106"/>
      <c r="K198" s="106" t="s">
        <v>29</v>
      </c>
      <c r="L198" s="107"/>
      <c r="M198" s="13"/>
    </row>
    <row r="199" spans="1:13">
      <c r="A199" s="99">
        <f t="shared" si="4"/>
        <v>187</v>
      </c>
      <c r="B199" s="94"/>
      <c r="C199" s="94"/>
      <c r="D199" s="94"/>
      <c r="E199" s="94"/>
      <c r="F199" s="95"/>
      <c r="G199" s="105"/>
      <c r="H199" s="106"/>
      <c r="I199" s="95"/>
      <c r="J199" s="106"/>
      <c r="K199" s="106" t="s">
        <v>29</v>
      </c>
      <c r="L199" s="107"/>
      <c r="M199" s="13"/>
    </row>
    <row r="200" spans="1:13">
      <c r="A200" s="99">
        <f t="shared" si="4"/>
        <v>188</v>
      </c>
      <c r="B200" s="94"/>
      <c r="C200" s="94"/>
      <c r="D200" s="94"/>
      <c r="E200" s="94"/>
      <c r="F200" s="95"/>
      <c r="G200" s="105"/>
      <c r="H200" s="106"/>
      <c r="I200" s="95"/>
      <c r="J200" s="106"/>
      <c r="K200" s="106" t="s">
        <v>29</v>
      </c>
      <c r="L200" s="107"/>
      <c r="M200" s="13"/>
    </row>
    <row r="201" spans="1:13">
      <c r="A201" s="99">
        <f t="shared" si="4"/>
        <v>189</v>
      </c>
      <c r="B201" s="94"/>
      <c r="C201" s="94"/>
      <c r="D201" s="94"/>
      <c r="E201" s="94"/>
      <c r="F201" s="95"/>
      <c r="G201" s="105"/>
      <c r="H201" s="106"/>
      <c r="I201" s="95"/>
      <c r="J201" s="106"/>
      <c r="K201" s="106" t="s">
        <v>29</v>
      </c>
      <c r="L201" s="107"/>
      <c r="M201" s="13"/>
    </row>
    <row r="202" spans="1:13">
      <c r="A202" s="99">
        <f t="shared" si="4"/>
        <v>190</v>
      </c>
      <c r="B202" s="94"/>
      <c r="C202" s="94"/>
      <c r="D202" s="94"/>
      <c r="E202" s="94"/>
      <c r="F202" s="95"/>
      <c r="G202" s="105"/>
      <c r="H202" s="106"/>
      <c r="I202" s="95"/>
      <c r="J202" s="106"/>
      <c r="K202" s="106" t="s">
        <v>29</v>
      </c>
      <c r="L202" s="107"/>
      <c r="M202" s="13"/>
    </row>
    <row r="203" spans="1:13">
      <c r="A203" s="99">
        <f t="shared" si="4"/>
        <v>191</v>
      </c>
      <c r="B203" s="94"/>
      <c r="C203" s="94"/>
      <c r="D203" s="94"/>
      <c r="E203" s="94"/>
      <c r="F203" s="95"/>
      <c r="G203" s="105"/>
      <c r="H203" s="106"/>
      <c r="I203" s="95"/>
      <c r="J203" s="106"/>
      <c r="K203" s="106" t="s">
        <v>29</v>
      </c>
      <c r="L203" s="107"/>
      <c r="M203" s="13"/>
    </row>
    <row r="204" spans="1:13">
      <c r="A204" s="99">
        <f t="shared" si="4"/>
        <v>192</v>
      </c>
      <c r="B204" s="94"/>
      <c r="C204" s="94"/>
      <c r="D204" s="94"/>
      <c r="E204" s="94"/>
      <c r="F204" s="95"/>
      <c r="G204" s="105"/>
      <c r="H204" s="106"/>
      <c r="I204" s="95"/>
      <c r="J204" s="106"/>
      <c r="K204" s="106" t="s">
        <v>29</v>
      </c>
      <c r="L204" s="107"/>
      <c r="M204" s="13"/>
    </row>
    <row r="205" spans="1:13">
      <c r="A205" s="99">
        <f t="shared" si="4"/>
        <v>193</v>
      </c>
      <c r="B205" s="94"/>
      <c r="C205" s="94"/>
      <c r="D205" s="94"/>
      <c r="E205" s="94"/>
      <c r="F205" s="95"/>
      <c r="G205" s="105"/>
      <c r="H205" s="106"/>
      <c r="I205" s="95"/>
      <c r="J205" s="106"/>
      <c r="K205" s="106" t="s">
        <v>29</v>
      </c>
      <c r="L205" s="107"/>
      <c r="M205" s="13"/>
    </row>
    <row r="206" spans="1:13">
      <c r="A206" s="99">
        <f t="shared" ref="A206:A237" si="5">A205+1</f>
        <v>194</v>
      </c>
      <c r="B206" s="94"/>
      <c r="C206" s="94"/>
      <c r="D206" s="94"/>
      <c r="E206" s="94"/>
      <c r="F206" s="95"/>
      <c r="G206" s="105"/>
      <c r="H206" s="106"/>
      <c r="I206" s="95"/>
      <c r="J206" s="106"/>
      <c r="K206" s="106" t="s">
        <v>29</v>
      </c>
      <c r="L206" s="107"/>
      <c r="M206" s="13"/>
    </row>
    <row r="207" spans="1:13">
      <c r="A207" s="99">
        <f t="shared" si="5"/>
        <v>195</v>
      </c>
      <c r="B207" s="94"/>
      <c r="C207" s="94"/>
      <c r="D207" s="94"/>
      <c r="E207" s="94"/>
      <c r="F207" s="95"/>
      <c r="G207" s="105"/>
      <c r="H207" s="106"/>
      <c r="I207" s="95"/>
      <c r="J207" s="106"/>
      <c r="K207" s="106" t="s">
        <v>29</v>
      </c>
      <c r="L207" s="107"/>
      <c r="M207" s="13"/>
    </row>
    <row r="208" spans="1:13">
      <c r="A208" s="99">
        <f t="shared" si="5"/>
        <v>196</v>
      </c>
      <c r="B208" s="94"/>
      <c r="C208" s="94"/>
      <c r="D208" s="94"/>
      <c r="E208" s="94"/>
      <c r="F208" s="95"/>
      <c r="G208" s="105"/>
      <c r="H208" s="106"/>
      <c r="I208" s="95"/>
      <c r="J208" s="106"/>
      <c r="K208" s="106" t="s">
        <v>29</v>
      </c>
      <c r="L208" s="107"/>
      <c r="M208" s="13"/>
    </row>
    <row r="209" spans="1:13">
      <c r="A209" s="99">
        <f t="shared" si="5"/>
        <v>197</v>
      </c>
      <c r="B209" s="94"/>
      <c r="C209" s="94"/>
      <c r="D209" s="94"/>
      <c r="E209" s="94"/>
      <c r="F209" s="95"/>
      <c r="G209" s="105"/>
      <c r="H209" s="106"/>
      <c r="I209" s="95"/>
      <c r="J209" s="106"/>
      <c r="K209" s="106" t="s">
        <v>29</v>
      </c>
      <c r="L209" s="107"/>
      <c r="M209" s="13"/>
    </row>
    <row r="210" spans="1:13">
      <c r="A210" s="99">
        <f t="shared" si="5"/>
        <v>198</v>
      </c>
      <c r="B210" s="94"/>
      <c r="C210" s="94"/>
      <c r="D210" s="94"/>
      <c r="E210" s="94"/>
      <c r="F210" s="95"/>
      <c r="G210" s="105"/>
      <c r="H210" s="106"/>
      <c r="I210" s="95"/>
      <c r="J210" s="106"/>
      <c r="K210" s="106" t="s">
        <v>29</v>
      </c>
      <c r="L210" s="107"/>
      <c r="M210" s="13"/>
    </row>
    <row r="211" spans="1:13">
      <c r="A211" s="99">
        <f t="shared" si="5"/>
        <v>199</v>
      </c>
      <c r="B211" s="94"/>
      <c r="C211" s="94"/>
      <c r="D211" s="94"/>
      <c r="E211" s="94"/>
      <c r="F211" s="95"/>
      <c r="G211" s="105"/>
      <c r="H211" s="106"/>
      <c r="I211" s="95"/>
      <c r="J211" s="106"/>
      <c r="K211" s="106" t="s">
        <v>29</v>
      </c>
      <c r="L211" s="107"/>
      <c r="M211" s="13"/>
    </row>
    <row r="212" spans="1:13">
      <c r="A212" s="99">
        <f t="shared" si="5"/>
        <v>200</v>
      </c>
      <c r="B212" s="94"/>
      <c r="C212" s="94"/>
      <c r="D212" s="94"/>
      <c r="E212" s="94"/>
      <c r="F212" s="95"/>
      <c r="G212" s="105"/>
      <c r="H212" s="106"/>
      <c r="I212" s="95"/>
      <c r="J212" s="106"/>
      <c r="K212" s="106" t="s">
        <v>29</v>
      </c>
      <c r="L212" s="107"/>
      <c r="M212" s="13"/>
    </row>
    <row r="213" spans="1:13">
      <c r="A213" s="99">
        <f t="shared" si="5"/>
        <v>201</v>
      </c>
      <c r="B213" s="94"/>
      <c r="C213" s="94"/>
      <c r="D213" s="94"/>
      <c r="E213" s="94"/>
      <c r="F213" s="95"/>
      <c r="G213" s="105"/>
      <c r="H213" s="106"/>
      <c r="I213" s="95"/>
      <c r="J213" s="106"/>
      <c r="K213" s="106" t="s">
        <v>29</v>
      </c>
      <c r="L213" s="107"/>
      <c r="M213" s="13"/>
    </row>
    <row r="214" spans="1:13">
      <c r="A214" s="99">
        <f t="shared" si="5"/>
        <v>202</v>
      </c>
      <c r="B214" s="94"/>
      <c r="C214" s="94"/>
      <c r="D214" s="94"/>
      <c r="E214" s="94"/>
      <c r="F214" s="95"/>
      <c r="G214" s="105"/>
      <c r="H214" s="106"/>
      <c r="I214" s="95"/>
      <c r="J214" s="106"/>
      <c r="K214" s="106" t="s">
        <v>29</v>
      </c>
      <c r="L214" s="107"/>
      <c r="M214" s="13"/>
    </row>
    <row r="215" spans="1:13">
      <c r="A215" s="99">
        <f t="shared" si="5"/>
        <v>203</v>
      </c>
      <c r="B215" s="94"/>
      <c r="C215" s="94"/>
      <c r="D215" s="94"/>
      <c r="E215" s="94"/>
      <c r="F215" s="95"/>
      <c r="G215" s="105"/>
      <c r="H215" s="106"/>
      <c r="I215" s="95"/>
      <c r="J215" s="106"/>
      <c r="K215" s="106" t="s">
        <v>29</v>
      </c>
      <c r="L215" s="107"/>
      <c r="M215" s="13"/>
    </row>
    <row r="216" spans="1:13">
      <c r="A216" s="99">
        <f t="shared" si="5"/>
        <v>204</v>
      </c>
      <c r="B216" s="94"/>
      <c r="C216" s="94"/>
      <c r="D216" s="94"/>
      <c r="E216" s="94"/>
      <c r="F216" s="95"/>
      <c r="G216" s="105"/>
      <c r="H216" s="106"/>
      <c r="I216" s="95"/>
      <c r="J216" s="106"/>
      <c r="K216" s="106" t="s">
        <v>29</v>
      </c>
      <c r="L216" s="107"/>
      <c r="M216" s="13"/>
    </row>
    <row r="217" spans="1:13">
      <c r="A217" s="99">
        <f t="shared" si="5"/>
        <v>205</v>
      </c>
      <c r="B217" s="94"/>
      <c r="C217" s="94"/>
      <c r="D217" s="94"/>
      <c r="E217" s="94"/>
      <c r="F217" s="95"/>
      <c r="G217" s="105"/>
      <c r="H217" s="106"/>
      <c r="I217" s="95"/>
      <c r="J217" s="106"/>
      <c r="K217" s="106" t="s">
        <v>29</v>
      </c>
      <c r="L217" s="107"/>
      <c r="M217" s="13"/>
    </row>
    <row r="218" spans="1:13">
      <c r="A218" s="99">
        <f t="shared" si="5"/>
        <v>206</v>
      </c>
      <c r="B218" s="94"/>
      <c r="C218" s="94"/>
      <c r="D218" s="94"/>
      <c r="E218" s="94"/>
      <c r="F218" s="95"/>
      <c r="G218" s="105"/>
      <c r="H218" s="106"/>
      <c r="I218" s="95"/>
      <c r="J218" s="106"/>
      <c r="K218" s="106" t="s">
        <v>29</v>
      </c>
      <c r="L218" s="107"/>
      <c r="M218" s="13"/>
    </row>
    <row r="219" spans="1:13">
      <c r="A219" s="99">
        <f t="shared" si="5"/>
        <v>207</v>
      </c>
      <c r="B219" s="94"/>
      <c r="C219" s="94"/>
      <c r="D219" s="94"/>
      <c r="E219" s="94"/>
      <c r="F219" s="95"/>
      <c r="G219" s="105"/>
      <c r="H219" s="106"/>
      <c r="I219" s="95"/>
      <c r="J219" s="106"/>
      <c r="K219" s="106" t="s">
        <v>29</v>
      </c>
      <c r="L219" s="107"/>
      <c r="M219" s="13"/>
    </row>
    <row r="220" spans="1:13">
      <c r="A220" s="99">
        <f t="shared" si="5"/>
        <v>208</v>
      </c>
      <c r="B220" s="94"/>
      <c r="C220" s="94"/>
      <c r="D220" s="94"/>
      <c r="E220" s="94"/>
      <c r="F220" s="95"/>
      <c r="G220" s="105"/>
      <c r="H220" s="106"/>
      <c r="I220" s="95"/>
      <c r="J220" s="106"/>
      <c r="K220" s="106" t="s">
        <v>29</v>
      </c>
      <c r="L220" s="107"/>
      <c r="M220" s="13"/>
    </row>
    <row r="221" spans="1:13">
      <c r="A221" s="99">
        <f t="shared" si="5"/>
        <v>209</v>
      </c>
      <c r="B221" s="94"/>
      <c r="C221" s="94"/>
      <c r="D221" s="94"/>
      <c r="E221" s="94"/>
      <c r="F221" s="95"/>
      <c r="G221" s="105"/>
      <c r="H221" s="106"/>
      <c r="I221" s="95"/>
      <c r="J221" s="106"/>
      <c r="K221" s="106" t="s">
        <v>29</v>
      </c>
      <c r="L221" s="107"/>
      <c r="M221" s="13"/>
    </row>
    <row r="222" spans="1:13">
      <c r="A222" s="99">
        <f t="shared" si="5"/>
        <v>210</v>
      </c>
      <c r="B222" s="94"/>
      <c r="C222" s="94"/>
      <c r="D222" s="94"/>
      <c r="E222" s="94"/>
      <c r="F222" s="95"/>
      <c r="G222" s="105"/>
      <c r="H222" s="106"/>
      <c r="I222" s="95"/>
      <c r="J222" s="106"/>
      <c r="K222" s="106" t="s">
        <v>29</v>
      </c>
      <c r="L222" s="107"/>
      <c r="M222" s="13"/>
    </row>
    <row r="223" spans="1:13">
      <c r="A223" s="99">
        <f t="shared" si="5"/>
        <v>211</v>
      </c>
      <c r="B223" s="94"/>
      <c r="C223" s="94"/>
      <c r="D223" s="94"/>
      <c r="E223" s="94"/>
      <c r="F223" s="95"/>
      <c r="G223" s="105"/>
      <c r="H223" s="106"/>
      <c r="I223" s="95"/>
      <c r="J223" s="106"/>
      <c r="K223" s="106" t="s">
        <v>29</v>
      </c>
      <c r="L223" s="107"/>
      <c r="M223" s="13"/>
    </row>
    <row r="224" spans="1:13">
      <c r="A224" s="99">
        <f t="shared" si="5"/>
        <v>212</v>
      </c>
      <c r="B224" s="94"/>
      <c r="C224" s="94"/>
      <c r="D224" s="94"/>
      <c r="E224" s="94"/>
      <c r="F224" s="95"/>
      <c r="G224" s="105"/>
      <c r="H224" s="106"/>
      <c r="I224" s="95"/>
      <c r="J224" s="106"/>
      <c r="K224" s="106" t="s">
        <v>29</v>
      </c>
      <c r="L224" s="107"/>
      <c r="M224" s="13"/>
    </row>
    <row r="225" spans="1:13">
      <c r="A225" s="99">
        <f t="shared" si="5"/>
        <v>213</v>
      </c>
      <c r="B225" s="94"/>
      <c r="C225" s="94"/>
      <c r="D225" s="94"/>
      <c r="E225" s="94"/>
      <c r="F225" s="95"/>
      <c r="G225" s="105"/>
      <c r="H225" s="106"/>
      <c r="I225" s="95"/>
      <c r="J225" s="106"/>
      <c r="K225" s="106" t="s">
        <v>29</v>
      </c>
      <c r="L225" s="107"/>
      <c r="M225" s="13"/>
    </row>
    <row r="226" spans="1:13">
      <c r="A226" s="99">
        <f t="shared" si="5"/>
        <v>214</v>
      </c>
      <c r="B226" s="94"/>
      <c r="C226" s="94"/>
      <c r="D226" s="94"/>
      <c r="E226" s="94"/>
      <c r="F226" s="95"/>
      <c r="G226" s="105"/>
      <c r="H226" s="106"/>
      <c r="I226" s="95"/>
      <c r="J226" s="106"/>
      <c r="K226" s="106" t="s">
        <v>29</v>
      </c>
      <c r="L226" s="107"/>
      <c r="M226" s="13"/>
    </row>
    <row r="227" spans="1:13">
      <c r="A227" s="99">
        <f t="shared" si="5"/>
        <v>215</v>
      </c>
      <c r="B227" s="94"/>
      <c r="C227" s="94"/>
      <c r="D227" s="94"/>
      <c r="E227" s="94"/>
      <c r="F227" s="95"/>
      <c r="G227" s="105"/>
      <c r="H227" s="106"/>
      <c r="I227" s="95"/>
      <c r="J227" s="106"/>
      <c r="K227" s="106" t="s">
        <v>29</v>
      </c>
      <c r="L227" s="107"/>
      <c r="M227" s="13"/>
    </row>
    <row r="228" spans="1:13">
      <c r="A228" s="99">
        <f t="shared" si="5"/>
        <v>216</v>
      </c>
      <c r="B228" s="94"/>
      <c r="C228" s="94"/>
      <c r="D228" s="94"/>
      <c r="E228" s="94"/>
      <c r="F228" s="95"/>
      <c r="G228" s="105"/>
      <c r="H228" s="106"/>
      <c r="I228" s="95"/>
      <c r="J228" s="106"/>
      <c r="K228" s="106"/>
      <c r="L228" s="107"/>
      <c r="M228" s="13"/>
    </row>
    <row r="229" spans="1:13">
      <c r="A229" s="99">
        <f t="shared" si="5"/>
        <v>217</v>
      </c>
      <c r="B229" s="94"/>
      <c r="C229" s="94"/>
      <c r="D229" s="94"/>
      <c r="E229" s="94"/>
      <c r="F229" s="95"/>
      <c r="G229" s="105"/>
      <c r="H229" s="106"/>
      <c r="I229" s="95"/>
      <c r="J229" s="106"/>
      <c r="K229" s="106" t="s">
        <v>29</v>
      </c>
      <c r="L229" s="107"/>
      <c r="M229" s="13"/>
    </row>
    <row r="230" spans="1:13">
      <c r="A230" s="99">
        <f t="shared" si="5"/>
        <v>218</v>
      </c>
      <c r="B230" s="94"/>
      <c r="C230" s="94"/>
      <c r="D230" s="94"/>
      <c r="E230" s="94"/>
      <c r="F230" s="95"/>
      <c r="G230" s="105"/>
      <c r="H230" s="106"/>
      <c r="I230" s="95"/>
      <c r="J230" s="106"/>
      <c r="K230" s="106" t="s">
        <v>29</v>
      </c>
      <c r="L230" s="107"/>
      <c r="M230" s="13"/>
    </row>
    <row r="231" spans="1:13">
      <c r="A231" s="99">
        <f t="shared" si="5"/>
        <v>219</v>
      </c>
      <c r="B231" s="94"/>
      <c r="C231" s="94"/>
      <c r="D231" s="94"/>
      <c r="E231" s="94"/>
      <c r="F231" s="95"/>
      <c r="G231" s="105"/>
      <c r="H231" s="106"/>
      <c r="I231" s="95"/>
      <c r="J231" s="106"/>
      <c r="K231" s="106" t="s">
        <v>29</v>
      </c>
      <c r="L231" s="107"/>
      <c r="M231" s="13"/>
    </row>
    <row r="232" spans="1:13">
      <c r="A232" s="99">
        <f t="shared" si="5"/>
        <v>220</v>
      </c>
      <c r="B232" s="94"/>
      <c r="C232" s="94"/>
      <c r="D232" s="94"/>
      <c r="E232" s="94"/>
      <c r="F232" s="95"/>
      <c r="G232" s="105"/>
      <c r="H232" s="106"/>
      <c r="I232" s="95"/>
      <c r="J232" s="106"/>
      <c r="K232" s="106" t="s">
        <v>29</v>
      </c>
      <c r="L232" s="107"/>
      <c r="M232" s="13"/>
    </row>
    <row r="233" spans="1:13">
      <c r="A233" s="99">
        <f t="shared" si="5"/>
        <v>221</v>
      </c>
      <c r="B233" s="94"/>
      <c r="C233" s="94"/>
      <c r="D233" s="94"/>
      <c r="E233" s="94"/>
      <c r="F233" s="95"/>
      <c r="G233" s="105"/>
      <c r="H233" s="106"/>
      <c r="I233" s="95"/>
      <c r="J233" s="106"/>
      <c r="K233" s="106" t="s">
        <v>29</v>
      </c>
      <c r="L233" s="107"/>
      <c r="M233" s="13"/>
    </row>
    <row r="234" spans="1:13">
      <c r="A234" s="99">
        <f t="shared" si="5"/>
        <v>222</v>
      </c>
      <c r="B234" s="94"/>
      <c r="C234" s="94"/>
      <c r="D234" s="94"/>
      <c r="E234" s="94"/>
      <c r="F234" s="95"/>
      <c r="G234" s="105"/>
      <c r="H234" s="106"/>
      <c r="I234" s="95"/>
      <c r="J234" s="106"/>
      <c r="K234" s="106" t="s">
        <v>29</v>
      </c>
      <c r="L234" s="107"/>
      <c r="M234" s="13"/>
    </row>
    <row r="235" spans="1:13">
      <c r="A235" s="99">
        <f t="shared" si="5"/>
        <v>223</v>
      </c>
      <c r="B235" s="94"/>
      <c r="C235" s="94"/>
      <c r="D235" s="94"/>
      <c r="E235" s="94"/>
      <c r="F235" s="95"/>
      <c r="G235" s="105"/>
      <c r="H235" s="106"/>
      <c r="I235" s="95"/>
      <c r="J235" s="106"/>
      <c r="K235" s="106" t="s">
        <v>29</v>
      </c>
      <c r="L235" s="107"/>
      <c r="M235" s="13"/>
    </row>
    <row r="236" spans="1:13">
      <c r="A236" s="99">
        <f t="shared" si="5"/>
        <v>224</v>
      </c>
      <c r="B236" s="94"/>
      <c r="C236" s="94"/>
      <c r="D236" s="94"/>
      <c r="E236" s="94"/>
      <c r="F236" s="95"/>
      <c r="G236" s="105"/>
      <c r="H236" s="106"/>
      <c r="I236" s="95"/>
      <c r="J236" s="106"/>
      <c r="K236" s="106" t="s">
        <v>29</v>
      </c>
      <c r="L236" s="107"/>
      <c r="M236" s="13"/>
    </row>
    <row r="237" spans="1:13">
      <c r="A237" s="12">
        <f t="shared" si="5"/>
        <v>225</v>
      </c>
      <c r="B237" s="18"/>
      <c r="C237" s="18"/>
      <c r="D237" s="18"/>
      <c r="E237" s="18"/>
      <c r="F237" s="80"/>
      <c r="G237" s="17"/>
      <c r="H237" s="16"/>
      <c r="I237" s="80"/>
      <c r="J237" s="16"/>
      <c r="K237" s="16" t="s">
        <v>29</v>
      </c>
      <c r="L237" s="43"/>
      <c r="M237" s="13"/>
    </row>
    <row r="238" spans="1:13">
      <c r="A238" s="118" t="s">
        <v>28</v>
      </c>
      <c r="B238" s="119"/>
      <c r="C238" s="119"/>
      <c r="D238" s="119"/>
      <c r="E238" s="119"/>
      <c r="F238" s="119"/>
      <c r="G238" s="119"/>
      <c r="H238" s="119"/>
      <c r="I238" s="119"/>
      <c r="J238" s="119"/>
      <c r="K238" s="119"/>
      <c r="L238" s="119"/>
      <c r="M238" s="119"/>
    </row>
  </sheetData>
  <sheetProtection insertRows="0"/>
  <autoFilter ref="A12:M238">
    <filterColumn colId="3"/>
    <filterColumn colId="5"/>
    <filterColumn colId="7"/>
    <filterColumn colId="8"/>
    <filterColumn colId="9"/>
    <filterColumn colId="10"/>
  </autoFilter>
  <mergeCells count="15">
    <mergeCell ref="A238:M238"/>
    <mergeCell ref="A9:D9"/>
    <mergeCell ref="D5:F5"/>
    <mergeCell ref="D6:F6"/>
    <mergeCell ref="A6:C6"/>
    <mergeCell ref="A5:C5"/>
    <mergeCell ref="A7:C7"/>
    <mergeCell ref="D7:F7"/>
    <mergeCell ref="A8:C8"/>
    <mergeCell ref="D8:F8"/>
    <mergeCell ref="D3:J3"/>
    <mergeCell ref="D10:J10"/>
    <mergeCell ref="A3:C3"/>
    <mergeCell ref="A4:C4"/>
    <mergeCell ref="D4:F4"/>
  </mergeCells>
  <conditionalFormatting sqref="D4:F5 L13:L237">
    <cfRule type="expression" dxfId="16" priority="34" stopIfTrue="1">
      <formula>#REF!=CheckErr</formula>
    </cfRule>
  </conditionalFormatting>
  <conditionalFormatting sqref="H13:K237">
    <cfRule type="expression" dxfId="15" priority="35" stopIfTrue="1">
      <formula>#REF!=CheckErr</formula>
    </cfRule>
  </conditionalFormatting>
  <conditionalFormatting sqref="B13:F237">
    <cfRule type="expression" dxfId="14" priority="36" stopIfTrue="1">
      <formula>#REF!=CheckErr</formula>
    </cfRule>
  </conditionalFormatting>
  <dataValidations count="7">
    <dataValidation type="textLength" allowBlank="1" showInputMessage="1" showErrorMessage="1" sqref="L13:L237">
      <formula1>2</formula1>
      <formula2>4</formula2>
    </dataValidation>
    <dataValidation type="list" allowBlank="1" showInputMessage="1" showErrorMessage="1" sqref="J13:J237">
      <formula1>"Accepted,Rejected,Duplicate,Noted"</formula1>
    </dataValidation>
    <dataValidation type="list" showInputMessage="1" showErrorMessage="1" sqref="K13:K237">
      <formula1>"Y,y,-"</formula1>
    </dataValidation>
    <dataValidation operator="greaterThan" allowBlank="1" showInputMessage="1" showErrorMessage="1" sqref="D13:E237"/>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D4:F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D5:F5"/>
    <dataValidation allowBlank="1" showInputMessage="1" showErrorMessage="1" promptTitle="Time Spent" prompt="This data is entered in the &quot;Metrics&quot; sheet." sqref="D6:F8"/>
  </dataValidations>
  <pageMargins left="0.74803149606299213" right="0.74803149606299213" top="0.98425196850393704" bottom="0.98425196850393704" header="0.51181102362204722" footer="0.51181102362204722"/>
  <pageSetup paperSize="9" scale="61"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2.xml><?xml version="1.0" encoding="utf-8"?>
<worksheet xmlns="http://schemas.openxmlformats.org/spreadsheetml/2006/main" xmlns:r="http://schemas.openxmlformats.org/officeDocument/2006/relationships">
  <sheetPr codeName="Sheet12"/>
  <dimension ref="A1:S130"/>
  <sheetViews>
    <sheetView workbookViewId="0">
      <selection activeCell="B3" sqref="B3:C3"/>
    </sheetView>
  </sheetViews>
  <sheetFormatPr defaultRowHeight="13.5"/>
  <cols>
    <col min="1" max="1" width="13.875" style="35" bestFit="1" customWidth="1"/>
    <col min="2" max="2" width="17.25" style="35" bestFit="1" customWidth="1"/>
    <col min="3" max="3" width="52.25" style="35" bestFit="1" customWidth="1"/>
    <col min="4" max="4" width="17.25" style="35" bestFit="1" customWidth="1"/>
    <col min="5" max="5" width="53" style="35" customWidth="1"/>
    <col min="6" max="6" width="17.25" style="35" customWidth="1"/>
    <col min="7" max="7" width="62.375" style="35" customWidth="1"/>
    <col min="8" max="8" width="16.5" style="35" bestFit="1" customWidth="1"/>
    <col min="9" max="9" width="62.375" style="35" customWidth="1"/>
    <col min="10" max="10" width="18" style="35" customWidth="1"/>
    <col min="11" max="11" width="25.875" style="35" customWidth="1"/>
    <col min="12" max="12" width="11.5" style="35" bestFit="1" customWidth="1"/>
    <col min="13" max="13" width="62.375" style="35" customWidth="1"/>
    <col min="14" max="14" width="11.5" style="35" bestFit="1" customWidth="1"/>
    <col min="15" max="15" width="62.375" style="35" customWidth="1"/>
    <col min="16" max="16" width="11.5" style="35" bestFit="1" customWidth="1"/>
    <col min="17" max="18" width="62.375" style="35" customWidth="1"/>
    <col min="19" max="19" width="9" style="35"/>
    <col min="20" max="16384" width="9" style="88"/>
  </cols>
  <sheetData>
    <row r="1" spans="1:19" ht="13.5" customHeight="1">
      <c r="A1" s="86" t="s">
        <v>53</v>
      </c>
      <c r="B1" s="127" t="s">
        <v>396</v>
      </c>
      <c r="C1" s="128"/>
      <c r="D1" s="127" t="s">
        <v>215</v>
      </c>
      <c r="E1" s="129"/>
      <c r="F1" s="127" t="s">
        <v>288</v>
      </c>
      <c r="G1" s="129"/>
      <c r="H1" s="127" t="s">
        <v>323</v>
      </c>
      <c r="I1" s="129"/>
      <c r="J1" s="127" t="s">
        <v>429</v>
      </c>
      <c r="K1" s="129"/>
      <c r="L1" s="127" t="s">
        <v>402</v>
      </c>
      <c r="M1" s="129"/>
      <c r="N1" s="127" t="s">
        <v>357</v>
      </c>
      <c r="O1" s="129"/>
      <c r="P1" s="127" t="s">
        <v>57</v>
      </c>
      <c r="Q1" s="129"/>
      <c r="R1" s="124" t="s">
        <v>97</v>
      </c>
      <c r="S1" s="87" t="s">
        <v>274</v>
      </c>
    </row>
    <row r="2" spans="1:19" ht="13.5" customHeight="1">
      <c r="A2" s="86" t="s">
        <v>54</v>
      </c>
      <c r="B2" s="127" t="s">
        <v>426</v>
      </c>
      <c r="C2" s="128"/>
      <c r="D2" s="127" t="s">
        <v>216</v>
      </c>
      <c r="E2" s="129"/>
      <c r="F2" s="127" t="s">
        <v>287</v>
      </c>
      <c r="G2" s="129"/>
      <c r="H2" s="127" t="s">
        <v>428</v>
      </c>
      <c r="I2" s="129"/>
      <c r="J2" s="127" t="s">
        <v>428</v>
      </c>
      <c r="K2" s="129"/>
      <c r="L2" s="127" t="s">
        <v>428</v>
      </c>
      <c r="M2" s="129"/>
      <c r="N2" s="127" t="s">
        <v>428</v>
      </c>
      <c r="O2" s="129"/>
      <c r="P2" s="127" t="s">
        <v>282</v>
      </c>
      <c r="Q2" s="129"/>
      <c r="R2" s="125"/>
      <c r="S2" s="87"/>
    </row>
    <row r="3" spans="1:19" ht="13.5" customHeight="1">
      <c r="A3" s="86" t="s">
        <v>55</v>
      </c>
      <c r="B3" s="127" t="s">
        <v>427</v>
      </c>
      <c r="C3" s="128"/>
      <c r="D3" s="127" t="s">
        <v>217</v>
      </c>
      <c r="E3" s="129"/>
      <c r="F3" s="127" t="s">
        <v>58</v>
      </c>
      <c r="G3" s="129"/>
      <c r="H3" s="127" t="s">
        <v>58</v>
      </c>
      <c r="I3" s="129"/>
      <c r="J3" s="127" t="s">
        <v>58</v>
      </c>
      <c r="K3" s="129"/>
      <c r="L3" s="127" t="s">
        <v>58</v>
      </c>
      <c r="M3" s="129"/>
      <c r="N3" s="127" t="s">
        <v>430</v>
      </c>
      <c r="O3" s="129"/>
      <c r="P3" s="127" t="s">
        <v>58</v>
      </c>
      <c r="Q3" s="129"/>
      <c r="R3" s="126"/>
      <c r="S3" s="87"/>
    </row>
    <row r="4" spans="1:19" ht="14.25" customHeight="1" thickBot="1">
      <c r="A4" s="86" t="s">
        <v>255</v>
      </c>
      <c r="B4" s="127" t="s">
        <v>265</v>
      </c>
      <c r="C4" s="128"/>
      <c r="D4" s="127" t="s">
        <v>275</v>
      </c>
      <c r="E4" s="129"/>
      <c r="F4" s="127" t="s">
        <v>321</v>
      </c>
      <c r="G4" s="129"/>
      <c r="H4" s="127" t="s">
        <v>321</v>
      </c>
      <c r="I4" s="129"/>
      <c r="J4" s="127" t="s">
        <v>425</v>
      </c>
      <c r="K4" s="129"/>
      <c r="L4" s="127" t="s">
        <v>321</v>
      </c>
      <c r="M4" s="129"/>
      <c r="N4" s="127" t="s">
        <v>358</v>
      </c>
      <c r="O4" s="129"/>
      <c r="P4" s="127" t="s">
        <v>275</v>
      </c>
      <c r="Q4" s="129"/>
      <c r="R4" s="87" t="s">
        <v>275</v>
      </c>
      <c r="S4" s="87"/>
    </row>
    <row r="5" spans="1:19" ht="19.5">
      <c r="B5" s="35" t="s">
        <v>256</v>
      </c>
      <c r="C5" s="89" t="s">
        <v>257</v>
      </c>
      <c r="D5" s="35" t="s">
        <v>256</v>
      </c>
      <c r="E5" s="89" t="s">
        <v>218</v>
      </c>
      <c r="F5" s="76" t="s">
        <v>256</v>
      </c>
      <c r="G5" s="89" t="s">
        <v>289</v>
      </c>
      <c r="H5" s="35" t="s">
        <v>256</v>
      </c>
      <c r="I5" s="89" t="s">
        <v>324</v>
      </c>
      <c r="J5" s="92" t="s">
        <v>256</v>
      </c>
      <c r="K5" s="93" t="s">
        <v>417</v>
      </c>
      <c r="L5" s="35" t="s">
        <v>256</v>
      </c>
      <c r="M5" s="89" t="s">
        <v>403</v>
      </c>
      <c r="N5" s="35" t="s">
        <v>256</v>
      </c>
      <c r="O5" s="89" t="s">
        <v>365</v>
      </c>
      <c r="P5" s="35" t="s">
        <v>256</v>
      </c>
      <c r="Q5" s="89" t="s">
        <v>56</v>
      </c>
    </row>
    <row r="6" spans="1:19" ht="40.5">
      <c r="B6" s="35" t="s">
        <v>258</v>
      </c>
      <c r="C6" s="35" t="s">
        <v>50</v>
      </c>
      <c r="D6" s="35" t="s">
        <v>258</v>
      </c>
      <c r="E6" s="35" t="s">
        <v>219</v>
      </c>
      <c r="F6" s="35" t="s">
        <v>258</v>
      </c>
      <c r="G6" s="35" t="s">
        <v>290</v>
      </c>
      <c r="H6" s="35" t="s">
        <v>284</v>
      </c>
      <c r="I6" s="35" t="s">
        <v>325</v>
      </c>
      <c r="J6" s="35" t="s">
        <v>258</v>
      </c>
      <c r="K6" s="35" t="s">
        <v>418</v>
      </c>
      <c r="L6" s="35" t="s">
        <v>284</v>
      </c>
      <c r="M6" s="35" t="s">
        <v>404</v>
      </c>
      <c r="N6" s="35" t="s">
        <v>354</v>
      </c>
      <c r="O6" s="35" t="s">
        <v>401</v>
      </c>
      <c r="P6" s="35" t="s">
        <v>266</v>
      </c>
      <c r="Q6" s="35" t="s">
        <v>102</v>
      </c>
    </row>
    <row r="7" spans="1:19" ht="42">
      <c r="B7" s="35" t="s">
        <v>258</v>
      </c>
      <c r="C7" s="35" t="s">
        <v>69</v>
      </c>
      <c r="D7" s="35" t="s">
        <v>258</v>
      </c>
      <c r="E7" s="35" t="s">
        <v>220</v>
      </c>
      <c r="F7" s="35" t="s">
        <v>258</v>
      </c>
      <c r="G7" s="35" t="s">
        <v>291</v>
      </c>
      <c r="H7" s="35" t="s">
        <v>256</v>
      </c>
      <c r="I7" s="89" t="s">
        <v>326</v>
      </c>
      <c r="J7" s="35" t="s">
        <v>416</v>
      </c>
      <c r="K7" s="35" t="s">
        <v>419</v>
      </c>
      <c r="L7" s="35" t="s">
        <v>284</v>
      </c>
      <c r="M7" s="35" t="s">
        <v>405</v>
      </c>
      <c r="N7" s="35" t="s">
        <v>354</v>
      </c>
      <c r="O7" s="35" t="s">
        <v>359</v>
      </c>
      <c r="P7" s="35" t="s">
        <v>266</v>
      </c>
      <c r="Q7" s="35" t="s">
        <v>103</v>
      </c>
    </row>
    <row r="8" spans="1:19" ht="40.5">
      <c r="B8" s="35" t="s">
        <v>258</v>
      </c>
      <c r="C8" s="35" t="s">
        <v>51</v>
      </c>
      <c r="D8" s="35" t="s">
        <v>258</v>
      </c>
      <c r="E8" s="35" t="s">
        <v>221</v>
      </c>
      <c r="F8" s="35" t="s">
        <v>258</v>
      </c>
      <c r="G8" s="35" t="s">
        <v>322</v>
      </c>
      <c r="H8" s="35" t="s">
        <v>284</v>
      </c>
      <c r="I8" s="35" t="s">
        <v>327</v>
      </c>
      <c r="J8" s="35" t="s">
        <v>416</v>
      </c>
      <c r="K8" s="35" t="s">
        <v>420</v>
      </c>
      <c r="L8" s="35" t="s">
        <v>284</v>
      </c>
      <c r="M8" s="35" t="s">
        <v>406</v>
      </c>
      <c r="N8" s="35" t="s">
        <v>266</v>
      </c>
      <c r="O8" s="35" t="s">
        <v>360</v>
      </c>
      <c r="P8" s="35" t="s">
        <v>266</v>
      </c>
      <c r="Q8" s="35" t="s">
        <v>104</v>
      </c>
    </row>
    <row r="9" spans="1:19" ht="40.5">
      <c r="B9" s="35" t="s">
        <v>258</v>
      </c>
      <c r="C9" s="35" t="s">
        <v>52</v>
      </c>
      <c r="D9" s="35" t="s">
        <v>258</v>
      </c>
      <c r="E9" s="35" t="s">
        <v>222</v>
      </c>
      <c r="F9" s="35" t="s">
        <v>258</v>
      </c>
      <c r="G9" s="35" t="s">
        <v>292</v>
      </c>
      <c r="H9" s="35" t="s">
        <v>266</v>
      </c>
      <c r="I9" s="35" t="s">
        <v>328</v>
      </c>
      <c r="J9" s="35" t="s">
        <v>416</v>
      </c>
      <c r="K9" s="35" t="s">
        <v>421</v>
      </c>
      <c r="L9" s="35" t="s">
        <v>284</v>
      </c>
      <c r="M9" s="35" t="s">
        <v>407</v>
      </c>
      <c r="N9" s="35" t="s">
        <v>284</v>
      </c>
      <c r="O9" s="35" t="s">
        <v>361</v>
      </c>
      <c r="P9" s="35" t="s">
        <v>266</v>
      </c>
      <c r="Q9" s="35" t="s">
        <v>105</v>
      </c>
    </row>
    <row r="10" spans="1:19" ht="27">
      <c r="B10" s="35" t="s">
        <v>258</v>
      </c>
      <c r="C10" s="35" t="s">
        <v>259</v>
      </c>
      <c r="D10" s="35" t="s">
        <v>258</v>
      </c>
      <c r="E10" s="35" t="s">
        <v>223</v>
      </c>
      <c r="F10" s="35" t="s">
        <v>258</v>
      </c>
      <c r="G10" s="35" t="s">
        <v>293</v>
      </c>
      <c r="H10" s="35" t="s">
        <v>266</v>
      </c>
      <c r="I10" s="35" t="s">
        <v>329</v>
      </c>
      <c r="J10" s="35" t="s">
        <v>258</v>
      </c>
      <c r="K10" s="35" t="s">
        <v>422</v>
      </c>
      <c r="L10" s="35" t="s">
        <v>266</v>
      </c>
      <c r="M10" s="35" t="s">
        <v>408</v>
      </c>
      <c r="N10" s="35" t="s">
        <v>354</v>
      </c>
      <c r="O10" s="35" t="s">
        <v>362</v>
      </c>
      <c r="P10" s="35" t="s">
        <v>266</v>
      </c>
      <c r="Q10" s="35" t="s">
        <v>106</v>
      </c>
    </row>
    <row r="11" spans="1:19" ht="28.5">
      <c r="B11" s="35" t="s">
        <v>258</v>
      </c>
      <c r="C11" s="35" t="s">
        <v>260</v>
      </c>
      <c r="D11" s="35" t="s">
        <v>256</v>
      </c>
      <c r="E11" s="89" t="s">
        <v>224</v>
      </c>
      <c r="F11" s="35" t="s">
        <v>258</v>
      </c>
      <c r="G11" s="35" t="s">
        <v>294</v>
      </c>
      <c r="H11" s="35" t="s">
        <v>266</v>
      </c>
      <c r="I11" s="35" t="s">
        <v>330</v>
      </c>
      <c r="J11" s="35" t="s">
        <v>258</v>
      </c>
      <c r="K11" s="35" t="s">
        <v>423</v>
      </c>
      <c r="L11" s="35" t="s">
        <v>266</v>
      </c>
      <c r="M11" s="35" t="s">
        <v>409</v>
      </c>
      <c r="N11" s="35" t="s">
        <v>284</v>
      </c>
      <c r="O11" s="35" t="s">
        <v>363</v>
      </c>
      <c r="P11" s="35" t="s">
        <v>266</v>
      </c>
      <c r="Q11" s="35" t="s">
        <v>107</v>
      </c>
    </row>
    <row r="12" spans="1:19" ht="42">
      <c r="B12" s="35" t="s">
        <v>258</v>
      </c>
      <c r="C12" s="35" t="s">
        <v>415</v>
      </c>
      <c r="D12" s="35" t="s">
        <v>266</v>
      </c>
      <c r="E12" s="35" t="s">
        <v>225</v>
      </c>
      <c r="F12" s="35" t="s">
        <v>258</v>
      </c>
      <c r="G12" s="35" t="s">
        <v>295</v>
      </c>
      <c r="H12" s="35" t="s">
        <v>256</v>
      </c>
      <c r="I12" s="89" t="s">
        <v>331</v>
      </c>
      <c r="J12" s="35" t="s">
        <v>266</v>
      </c>
      <c r="K12" s="35" t="s">
        <v>424</v>
      </c>
      <c r="L12" s="35" t="s">
        <v>266</v>
      </c>
      <c r="M12" s="35" t="s">
        <v>410</v>
      </c>
      <c r="N12" s="35" t="s">
        <v>284</v>
      </c>
      <c r="O12" s="35" t="s">
        <v>364</v>
      </c>
      <c r="P12" s="35" t="s">
        <v>266</v>
      </c>
      <c r="Q12" s="35" t="s">
        <v>108</v>
      </c>
    </row>
    <row r="13" spans="1:19" ht="42">
      <c r="B13" s="35" t="s">
        <v>258</v>
      </c>
      <c r="C13" s="35" t="s">
        <v>261</v>
      </c>
      <c r="D13" s="35" t="s">
        <v>266</v>
      </c>
      <c r="E13" s="35" t="s">
        <v>226</v>
      </c>
      <c r="F13" s="35" t="s">
        <v>258</v>
      </c>
      <c r="G13" s="35" t="s">
        <v>296</v>
      </c>
      <c r="H13" s="35" t="s">
        <v>284</v>
      </c>
      <c r="I13" s="35" t="s">
        <v>332</v>
      </c>
      <c r="L13" s="35" t="s">
        <v>354</v>
      </c>
      <c r="M13" s="35" t="s">
        <v>411</v>
      </c>
      <c r="N13" s="35" t="s">
        <v>256</v>
      </c>
      <c r="O13" s="89" t="s">
        <v>366</v>
      </c>
      <c r="P13" s="35" t="s">
        <v>266</v>
      </c>
      <c r="Q13" s="35" t="s">
        <v>109</v>
      </c>
    </row>
    <row r="14" spans="1:19" ht="54">
      <c r="B14" s="35" t="s">
        <v>258</v>
      </c>
      <c r="C14" s="35" t="s">
        <v>262</v>
      </c>
      <c r="D14" s="35" t="s">
        <v>266</v>
      </c>
      <c r="E14" s="35" t="s">
        <v>227</v>
      </c>
      <c r="F14" s="35" t="s">
        <v>258</v>
      </c>
      <c r="G14" s="35" t="s">
        <v>297</v>
      </c>
      <c r="H14" s="35" t="s">
        <v>266</v>
      </c>
      <c r="I14" s="35" t="s">
        <v>397</v>
      </c>
      <c r="L14" s="35" t="s">
        <v>354</v>
      </c>
      <c r="M14" s="35" t="s">
        <v>412</v>
      </c>
      <c r="N14" s="35" t="s">
        <v>284</v>
      </c>
      <c r="O14" s="35" t="s">
        <v>367</v>
      </c>
      <c r="P14" s="35" t="s">
        <v>266</v>
      </c>
      <c r="Q14" s="35" t="s">
        <v>110</v>
      </c>
    </row>
    <row r="15" spans="1:19" ht="27">
      <c r="B15" s="35" t="s">
        <v>258</v>
      </c>
      <c r="C15" s="35" t="s">
        <v>263</v>
      </c>
      <c r="D15" s="35" t="s">
        <v>266</v>
      </c>
      <c r="E15" s="35" t="s">
        <v>228</v>
      </c>
      <c r="F15" s="35" t="s">
        <v>258</v>
      </c>
      <c r="G15" s="35" t="s">
        <v>298</v>
      </c>
      <c r="H15" s="35" t="s">
        <v>284</v>
      </c>
      <c r="I15" s="35" t="s">
        <v>333</v>
      </c>
      <c r="L15" s="35" t="s">
        <v>354</v>
      </c>
      <c r="M15" s="35" t="s">
        <v>413</v>
      </c>
      <c r="N15" s="35" t="s">
        <v>284</v>
      </c>
      <c r="O15" s="35" t="s">
        <v>368</v>
      </c>
      <c r="P15" s="35" t="s">
        <v>266</v>
      </c>
      <c r="Q15" s="35" t="s">
        <v>111</v>
      </c>
    </row>
    <row r="16" spans="1:19" ht="40.5">
      <c r="B16" s="35" t="s">
        <v>258</v>
      </c>
      <c r="C16" s="35" t="s">
        <v>264</v>
      </c>
      <c r="D16" s="35" t="s">
        <v>266</v>
      </c>
      <c r="E16" s="35" t="s">
        <v>229</v>
      </c>
      <c r="F16" s="35" t="s">
        <v>258</v>
      </c>
      <c r="G16" s="35" t="s">
        <v>299</v>
      </c>
      <c r="H16" s="35" t="s">
        <v>284</v>
      </c>
      <c r="I16" s="35" t="s">
        <v>334</v>
      </c>
      <c r="L16" s="35" t="s">
        <v>354</v>
      </c>
      <c r="M16" s="35" t="s">
        <v>414</v>
      </c>
      <c r="N16" s="35" t="s">
        <v>354</v>
      </c>
      <c r="O16" s="35" t="s">
        <v>369</v>
      </c>
      <c r="P16" s="35" t="s">
        <v>266</v>
      </c>
      <c r="Q16" s="35" t="s">
        <v>112</v>
      </c>
    </row>
    <row r="17" spans="4:17" ht="28.5">
      <c r="D17" s="35" t="s">
        <v>266</v>
      </c>
      <c r="E17" s="35" t="s">
        <v>230</v>
      </c>
      <c r="F17" s="35" t="s">
        <v>258</v>
      </c>
      <c r="G17" s="35" t="s">
        <v>300</v>
      </c>
      <c r="H17" s="35" t="s">
        <v>256</v>
      </c>
      <c r="I17" s="89" t="s">
        <v>356</v>
      </c>
      <c r="J17" s="89"/>
      <c r="K17" s="89"/>
      <c r="N17" s="35" t="s">
        <v>284</v>
      </c>
      <c r="O17" s="35" t="s">
        <v>370</v>
      </c>
      <c r="P17" s="35" t="s">
        <v>266</v>
      </c>
      <c r="Q17" s="35" t="s">
        <v>113</v>
      </c>
    </row>
    <row r="18" spans="4:17" ht="27">
      <c r="D18" s="35" t="s">
        <v>266</v>
      </c>
      <c r="E18" s="35" t="s">
        <v>231</v>
      </c>
      <c r="F18" s="35" t="s">
        <v>258</v>
      </c>
      <c r="G18" s="35" t="s">
        <v>301</v>
      </c>
      <c r="H18" s="35" t="s">
        <v>266</v>
      </c>
      <c r="I18" s="35" t="s">
        <v>335</v>
      </c>
      <c r="N18" s="35" t="s">
        <v>266</v>
      </c>
      <c r="O18" s="35" t="s">
        <v>371</v>
      </c>
      <c r="P18" s="35" t="s">
        <v>266</v>
      </c>
      <c r="Q18" s="35" t="s">
        <v>114</v>
      </c>
    </row>
    <row r="19" spans="4:17" ht="40.5">
      <c r="D19" s="35" t="s">
        <v>266</v>
      </c>
      <c r="E19" s="35" t="s">
        <v>232</v>
      </c>
      <c r="F19" s="35" t="s">
        <v>258</v>
      </c>
      <c r="G19" s="35" t="s">
        <v>302</v>
      </c>
      <c r="H19" s="35" t="s">
        <v>266</v>
      </c>
      <c r="I19" s="35" t="s">
        <v>336</v>
      </c>
      <c r="N19" s="35" t="s">
        <v>354</v>
      </c>
      <c r="O19" s="35" t="s">
        <v>372</v>
      </c>
      <c r="P19" s="35" t="s">
        <v>266</v>
      </c>
      <c r="Q19" s="35" t="s">
        <v>115</v>
      </c>
    </row>
    <row r="20" spans="4:17" ht="39">
      <c r="D20" s="35" t="s">
        <v>266</v>
      </c>
      <c r="E20" s="35" t="s">
        <v>233</v>
      </c>
      <c r="F20" s="35" t="s">
        <v>258</v>
      </c>
      <c r="G20" s="35" t="s">
        <v>303</v>
      </c>
      <c r="H20" s="35" t="s">
        <v>266</v>
      </c>
      <c r="I20" s="35" t="s">
        <v>337</v>
      </c>
      <c r="M20" s="89"/>
      <c r="N20" s="35" t="s">
        <v>354</v>
      </c>
      <c r="O20" s="35" t="s">
        <v>373</v>
      </c>
      <c r="P20" s="35" t="s">
        <v>256</v>
      </c>
      <c r="Q20" s="89" t="s">
        <v>59</v>
      </c>
    </row>
    <row r="21" spans="4:17" ht="40.5">
      <c r="D21" s="35" t="s">
        <v>266</v>
      </c>
      <c r="E21" s="35" t="s">
        <v>234</v>
      </c>
      <c r="F21" s="35" t="s">
        <v>258</v>
      </c>
      <c r="G21" s="35" t="s">
        <v>304</v>
      </c>
      <c r="H21" s="35" t="s">
        <v>284</v>
      </c>
      <c r="I21" s="35" t="s">
        <v>338</v>
      </c>
      <c r="N21" s="35" t="s">
        <v>284</v>
      </c>
      <c r="O21" s="35" t="s">
        <v>374</v>
      </c>
      <c r="P21" s="35" t="s">
        <v>266</v>
      </c>
      <c r="Q21" s="35" t="s">
        <v>116</v>
      </c>
    </row>
    <row r="22" spans="4:17" ht="42">
      <c r="D22" s="35" t="s">
        <v>266</v>
      </c>
      <c r="E22" s="35" t="s">
        <v>235</v>
      </c>
      <c r="F22" s="35" t="s">
        <v>258</v>
      </c>
      <c r="G22" s="35" t="s">
        <v>305</v>
      </c>
      <c r="H22" s="35" t="s">
        <v>256</v>
      </c>
      <c r="I22" s="35" t="s">
        <v>339</v>
      </c>
      <c r="N22" s="35" t="s">
        <v>256</v>
      </c>
      <c r="O22" s="89" t="s">
        <v>375</v>
      </c>
      <c r="P22" s="35" t="s">
        <v>266</v>
      </c>
      <c r="Q22" s="35" t="s">
        <v>117</v>
      </c>
    </row>
    <row r="23" spans="4:17" ht="40.5">
      <c r="D23" s="35" t="s">
        <v>266</v>
      </c>
      <c r="E23" s="35" t="s">
        <v>236</v>
      </c>
      <c r="F23" s="35" t="s">
        <v>258</v>
      </c>
      <c r="G23" s="35" t="s">
        <v>306</v>
      </c>
      <c r="H23" s="35" t="s">
        <v>266</v>
      </c>
      <c r="I23" s="35" t="s">
        <v>398</v>
      </c>
      <c r="N23" s="35" t="s">
        <v>354</v>
      </c>
      <c r="O23" s="35" t="s">
        <v>376</v>
      </c>
      <c r="P23" s="35" t="s">
        <v>266</v>
      </c>
      <c r="Q23" s="35" t="s">
        <v>118</v>
      </c>
    </row>
    <row r="24" spans="4:17" ht="28.5">
      <c r="D24" s="35" t="s">
        <v>256</v>
      </c>
      <c r="E24" s="89" t="s">
        <v>237</v>
      </c>
      <c r="F24" s="35" t="s">
        <v>258</v>
      </c>
      <c r="G24" s="35" t="s">
        <v>307</v>
      </c>
      <c r="H24" s="35" t="s">
        <v>266</v>
      </c>
      <c r="I24" s="35" t="s">
        <v>340</v>
      </c>
      <c r="N24" s="35" t="s">
        <v>284</v>
      </c>
      <c r="O24" s="35" t="s">
        <v>377</v>
      </c>
      <c r="P24" s="35" t="s">
        <v>266</v>
      </c>
      <c r="Q24" s="35" t="s">
        <v>119</v>
      </c>
    </row>
    <row r="25" spans="4:17" ht="28.5">
      <c r="D25" s="35" t="s">
        <v>258</v>
      </c>
      <c r="E25" s="35" t="s">
        <v>246</v>
      </c>
      <c r="F25" s="35" t="s">
        <v>258</v>
      </c>
      <c r="G25" s="35" t="s">
        <v>308</v>
      </c>
      <c r="H25" s="35" t="s">
        <v>256</v>
      </c>
      <c r="I25" s="89" t="s">
        <v>341</v>
      </c>
      <c r="J25" s="89"/>
      <c r="K25" s="89"/>
      <c r="N25" s="35" t="s">
        <v>284</v>
      </c>
      <c r="O25" s="35" t="s">
        <v>378</v>
      </c>
      <c r="P25" s="35" t="s">
        <v>266</v>
      </c>
      <c r="Q25" s="35" t="s">
        <v>120</v>
      </c>
    </row>
    <row r="26" spans="4:17" ht="40.5">
      <c r="D26" s="35" t="s">
        <v>266</v>
      </c>
      <c r="E26" s="35" t="s">
        <v>247</v>
      </c>
      <c r="F26" s="35" t="s">
        <v>258</v>
      </c>
      <c r="G26" s="35" t="s">
        <v>309</v>
      </c>
      <c r="H26" s="35" t="s">
        <v>266</v>
      </c>
      <c r="I26" s="35" t="s">
        <v>342</v>
      </c>
      <c r="N26" s="35" t="s">
        <v>284</v>
      </c>
      <c r="O26" s="35" t="s">
        <v>379</v>
      </c>
      <c r="P26" s="35" t="s">
        <v>266</v>
      </c>
      <c r="Q26" s="35" t="s">
        <v>121</v>
      </c>
    </row>
    <row r="27" spans="4:17" ht="40.5">
      <c r="D27" s="35" t="s">
        <v>258</v>
      </c>
      <c r="E27" s="35" t="s">
        <v>238</v>
      </c>
      <c r="F27" s="35" t="s">
        <v>258</v>
      </c>
      <c r="G27" s="35" t="s">
        <v>310</v>
      </c>
      <c r="H27" s="35" t="s">
        <v>266</v>
      </c>
      <c r="I27" s="35" t="s">
        <v>343</v>
      </c>
      <c r="N27" s="35" t="s">
        <v>284</v>
      </c>
      <c r="O27" s="35" t="s">
        <v>380</v>
      </c>
      <c r="P27" s="35" t="s">
        <v>266</v>
      </c>
      <c r="Q27" s="35" t="s">
        <v>122</v>
      </c>
    </row>
    <row r="28" spans="4:17" ht="27">
      <c r="D28" s="35" t="s">
        <v>258</v>
      </c>
      <c r="E28" s="35" t="s">
        <v>239</v>
      </c>
      <c r="F28" s="35" t="s">
        <v>258</v>
      </c>
      <c r="G28" s="35" t="s">
        <v>311</v>
      </c>
      <c r="H28" s="35" t="s">
        <v>266</v>
      </c>
      <c r="I28" s="35" t="s">
        <v>399</v>
      </c>
      <c r="N28" s="35" t="s">
        <v>284</v>
      </c>
      <c r="O28" s="35" t="s">
        <v>381</v>
      </c>
      <c r="P28" s="35" t="s">
        <v>266</v>
      </c>
      <c r="Q28" s="35" t="s">
        <v>123</v>
      </c>
    </row>
    <row r="29" spans="4:17" ht="27">
      <c r="D29" s="35" t="s">
        <v>258</v>
      </c>
      <c r="E29" s="35" t="s">
        <v>240</v>
      </c>
      <c r="F29" s="35" t="s">
        <v>258</v>
      </c>
      <c r="G29" s="35" t="s">
        <v>312</v>
      </c>
      <c r="H29" s="35" t="s">
        <v>266</v>
      </c>
      <c r="I29" s="35" t="s">
        <v>344</v>
      </c>
      <c r="N29" s="35" t="s">
        <v>284</v>
      </c>
      <c r="O29" s="35" t="s">
        <v>382</v>
      </c>
      <c r="P29" s="35" t="s">
        <v>266</v>
      </c>
      <c r="Q29" s="35" t="s">
        <v>124</v>
      </c>
    </row>
    <row r="30" spans="4:17" ht="40.5">
      <c r="D30" s="35" t="s">
        <v>258</v>
      </c>
      <c r="E30" s="35" t="s">
        <v>241</v>
      </c>
      <c r="F30" s="35" t="s">
        <v>258</v>
      </c>
      <c r="G30" s="35" t="s">
        <v>313</v>
      </c>
      <c r="H30" s="35" t="s">
        <v>266</v>
      </c>
      <c r="I30" s="35" t="s">
        <v>345</v>
      </c>
      <c r="N30" s="35" t="s">
        <v>284</v>
      </c>
      <c r="O30" s="35" t="s">
        <v>383</v>
      </c>
      <c r="P30" s="35" t="s">
        <v>266</v>
      </c>
      <c r="Q30" s="35" t="s">
        <v>125</v>
      </c>
    </row>
    <row r="31" spans="4:17" ht="27">
      <c r="D31" s="35" t="s">
        <v>258</v>
      </c>
      <c r="E31" s="35" t="s">
        <v>242</v>
      </c>
      <c r="F31" s="35" t="s">
        <v>258</v>
      </c>
      <c r="G31" s="35" t="s">
        <v>314</v>
      </c>
      <c r="H31" s="35" t="s">
        <v>266</v>
      </c>
      <c r="I31" s="35" t="s">
        <v>346</v>
      </c>
      <c r="N31" s="35" t="s">
        <v>354</v>
      </c>
      <c r="O31" s="35" t="s">
        <v>384</v>
      </c>
      <c r="P31" s="35" t="s">
        <v>266</v>
      </c>
      <c r="Q31" s="35" t="s">
        <v>126</v>
      </c>
    </row>
    <row r="32" spans="4:17" ht="27">
      <c r="D32" s="35" t="s">
        <v>258</v>
      </c>
      <c r="E32" s="35" t="s">
        <v>243</v>
      </c>
      <c r="F32" s="35" t="s">
        <v>258</v>
      </c>
      <c r="G32" s="35" t="s">
        <v>315</v>
      </c>
      <c r="H32" s="35" t="s">
        <v>266</v>
      </c>
      <c r="I32" s="35" t="s">
        <v>347</v>
      </c>
      <c r="N32" s="35" t="s">
        <v>266</v>
      </c>
      <c r="O32" s="35" t="s">
        <v>385</v>
      </c>
      <c r="P32" s="35" t="s">
        <v>266</v>
      </c>
      <c r="Q32" s="35" t="s">
        <v>127</v>
      </c>
    </row>
    <row r="33" spans="4:17" ht="27">
      <c r="D33" s="35" t="s">
        <v>258</v>
      </c>
      <c r="E33" s="35" t="s">
        <v>244</v>
      </c>
      <c r="F33" s="35" t="s">
        <v>258</v>
      </c>
      <c r="G33" s="35" t="s">
        <v>316</v>
      </c>
      <c r="H33" s="35" t="s">
        <v>266</v>
      </c>
      <c r="I33" s="35" t="s">
        <v>348</v>
      </c>
      <c r="N33" s="35" t="s">
        <v>284</v>
      </c>
      <c r="O33" s="35" t="s">
        <v>386</v>
      </c>
      <c r="P33" s="35" t="s">
        <v>266</v>
      </c>
      <c r="Q33" s="35" t="s">
        <v>128</v>
      </c>
    </row>
    <row r="34" spans="4:17" ht="54">
      <c r="D34" s="35" t="s">
        <v>258</v>
      </c>
      <c r="E34" s="35" t="s">
        <v>245</v>
      </c>
      <c r="F34" s="35" t="s">
        <v>258</v>
      </c>
      <c r="G34" s="35" t="s">
        <v>317</v>
      </c>
      <c r="H34" s="35" t="s">
        <v>266</v>
      </c>
      <c r="I34" s="35" t="s">
        <v>400</v>
      </c>
      <c r="N34" s="35" t="s">
        <v>266</v>
      </c>
      <c r="O34" s="35" t="s">
        <v>387</v>
      </c>
      <c r="P34" s="35" t="s">
        <v>266</v>
      </c>
      <c r="Q34" s="35" t="s">
        <v>129</v>
      </c>
    </row>
    <row r="35" spans="4:17" ht="39">
      <c r="F35" s="35" t="s">
        <v>258</v>
      </c>
      <c r="G35" s="35" t="s">
        <v>318</v>
      </c>
      <c r="H35" s="35" t="s">
        <v>266</v>
      </c>
      <c r="I35" s="35" t="s">
        <v>349</v>
      </c>
      <c r="M35" s="89"/>
      <c r="N35" s="35" t="s">
        <v>284</v>
      </c>
      <c r="O35" s="35" t="s">
        <v>388</v>
      </c>
      <c r="P35" s="35" t="s">
        <v>256</v>
      </c>
      <c r="Q35" s="89" t="s">
        <v>60</v>
      </c>
    </row>
    <row r="36" spans="4:17" ht="27">
      <c r="F36" s="35" t="s">
        <v>258</v>
      </c>
      <c r="G36" s="35" t="s">
        <v>319</v>
      </c>
      <c r="H36" s="35" t="s">
        <v>266</v>
      </c>
      <c r="I36" s="35" t="s">
        <v>350</v>
      </c>
      <c r="N36" s="35" t="s">
        <v>284</v>
      </c>
      <c r="O36" s="35" t="s">
        <v>389</v>
      </c>
      <c r="P36" s="35" t="s">
        <v>266</v>
      </c>
      <c r="Q36" s="35" t="s">
        <v>130</v>
      </c>
    </row>
    <row r="37" spans="4:17" ht="27">
      <c r="F37" s="35" t="s">
        <v>258</v>
      </c>
      <c r="G37" s="35" t="s">
        <v>320</v>
      </c>
      <c r="H37" s="35" t="s">
        <v>266</v>
      </c>
      <c r="I37" s="35" t="s">
        <v>351</v>
      </c>
      <c r="N37" s="35" t="s">
        <v>284</v>
      </c>
      <c r="O37" s="35" t="s">
        <v>390</v>
      </c>
      <c r="P37" s="35" t="s">
        <v>266</v>
      </c>
      <c r="Q37" s="35" t="s">
        <v>131</v>
      </c>
    </row>
    <row r="38" spans="4:17" ht="28.5">
      <c r="H38" s="35" t="s">
        <v>266</v>
      </c>
      <c r="I38" s="35" t="s">
        <v>352</v>
      </c>
      <c r="N38" s="35" t="s">
        <v>256</v>
      </c>
      <c r="O38" s="89" t="s">
        <v>391</v>
      </c>
      <c r="P38" s="35" t="s">
        <v>266</v>
      </c>
      <c r="Q38" s="35" t="s">
        <v>132</v>
      </c>
    </row>
    <row r="39" spans="4:17" ht="28.5">
      <c r="H39" s="35" t="s">
        <v>256</v>
      </c>
      <c r="I39" s="89" t="s">
        <v>353</v>
      </c>
      <c r="J39" s="89"/>
      <c r="K39" s="89"/>
      <c r="N39" s="35" t="s">
        <v>354</v>
      </c>
      <c r="O39" s="35" t="s">
        <v>392</v>
      </c>
      <c r="P39" s="35" t="s">
        <v>266</v>
      </c>
      <c r="Q39" s="35" t="s">
        <v>133</v>
      </c>
    </row>
    <row r="40" spans="4:17" ht="27">
      <c r="H40" s="35" t="s">
        <v>354</v>
      </c>
      <c r="I40" s="35" t="s">
        <v>355</v>
      </c>
      <c r="N40" s="35" t="s">
        <v>354</v>
      </c>
      <c r="O40" s="35" t="s">
        <v>393</v>
      </c>
      <c r="P40" s="35" t="s">
        <v>266</v>
      </c>
      <c r="Q40" s="35" t="s">
        <v>134</v>
      </c>
    </row>
    <row r="41" spans="4:17" ht="27">
      <c r="N41" s="35" t="s">
        <v>283</v>
      </c>
      <c r="O41" s="35" t="s">
        <v>394</v>
      </c>
      <c r="P41" s="35" t="s">
        <v>266</v>
      </c>
      <c r="Q41" s="35" t="s">
        <v>135</v>
      </c>
    </row>
    <row r="42" spans="4:17" ht="27">
      <c r="N42" s="35" t="s">
        <v>284</v>
      </c>
      <c r="O42" s="35" t="s">
        <v>395</v>
      </c>
      <c r="P42" s="35" t="s">
        <v>266</v>
      </c>
      <c r="Q42" s="35" t="s">
        <v>136</v>
      </c>
    </row>
    <row r="43" spans="4:17" ht="19.5">
      <c r="I43" s="89"/>
      <c r="J43" s="89"/>
      <c r="K43" s="89"/>
      <c r="P43" s="35" t="s">
        <v>266</v>
      </c>
      <c r="Q43" s="35" t="s">
        <v>137</v>
      </c>
    </row>
    <row r="44" spans="4:17" ht="27">
      <c r="P44" s="35" t="s">
        <v>266</v>
      </c>
      <c r="Q44" s="35" t="s">
        <v>138</v>
      </c>
    </row>
    <row r="45" spans="4:17">
      <c r="F45" s="34"/>
      <c r="G45" s="34"/>
      <c r="P45" s="35" t="s">
        <v>266</v>
      </c>
      <c r="Q45" s="35" t="s">
        <v>139</v>
      </c>
    </row>
    <row r="46" spans="4:17">
      <c r="F46" s="34"/>
      <c r="G46" s="34"/>
      <c r="P46" s="35" t="s">
        <v>266</v>
      </c>
      <c r="Q46" s="35" t="s">
        <v>140</v>
      </c>
    </row>
    <row r="47" spans="4:17">
      <c r="P47" s="35" t="s">
        <v>266</v>
      </c>
      <c r="Q47" s="35" t="s">
        <v>141</v>
      </c>
    </row>
    <row r="48" spans="4:17" ht="40.5">
      <c r="P48" s="35" t="s">
        <v>266</v>
      </c>
      <c r="Q48" s="35" t="s">
        <v>142</v>
      </c>
    </row>
    <row r="49" spans="7:17" ht="27">
      <c r="P49" s="35" t="s">
        <v>266</v>
      </c>
      <c r="Q49" s="35" t="s">
        <v>143</v>
      </c>
    </row>
    <row r="50" spans="7:17">
      <c r="P50" s="35" t="s">
        <v>266</v>
      </c>
      <c r="Q50" s="35" t="s">
        <v>144</v>
      </c>
    </row>
    <row r="51" spans="7:17" ht="27">
      <c r="P51" s="35" t="s">
        <v>266</v>
      </c>
      <c r="Q51" s="35" t="s">
        <v>145</v>
      </c>
    </row>
    <row r="52" spans="7:17">
      <c r="P52" s="35" t="s">
        <v>266</v>
      </c>
      <c r="Q52" s="35" t="s">
        <v>146</v>
      </c>
    </row>
    <row r="53" spans="7:17">
      <c r="P53" s="35" t="s">
        <v>266</v>
      </c>
      <c r="Q53" s="35" t="s">
        <v>147</v>
      </c>
    </row>
    <row r="54" spans="7:17">
      <c r="P54" s="35" t="s">
        <v>266</v>
      </c>
      <c r="Q54" s="35" t="s">
        <v>148</v>
      </c>
    </row>
    <row r="55" spans="7:17">
      <c r="P55" s="35" t="s">
        <v>266</v>
      </c>
      <c r="Q55" s="35" t="s">
        <v>149</v>
      </c>
    </row>
    <row r="56" spans="7:17">
      <c r="P56" s="35" t="s">
        <v>266</v>
      </c>
      <c r="Q56" s="35" t="s">
        <v>150</v>
      </c>
    </row>
    <row r="57" spans="7:17" ht="19.5">
      <c r="G57" s="89"/>
      <c r="M57" s="89"/>
      <c r="O57" s="89"/>
      <c r="P57" s="35" t="s">
        <v>256</v>
      </c>
      <c r="Q57" s="89" t="s">
        <v>62</v>
      </c>
    </row>
    <row r="58" spans="7:17" ht="78">
      <c r="G58" s="89"/>
      <c r="M58" s="89"/>
      <c r="O58" s="89"/>
      <c r="P58" s="35" t="s">
        <v>256</v>
      </c>
      <c r="Q58" s="89" t="s">
        <v>61</v>
      </c>
    </row>
    <row r="59" spans="7:17">
      <c r="P59" s="35" t="s">
        <v>266</v>
      </c>
      <c r="Q59" s="35" t="s">
        <v>151</v>
      </c>
    </row>
    <row r="60" spans="7:17" ht="27">
      <c r="P60" s="35" t="s">
        <v>266</v>
      </c>
      <c r="Q60" s="35" t="s">
        <v>152</v>
      </c>
    </row>
    <row r="61" spans="7:17">
      <c r="P61" s="35" t="s">
        <v>266</v>
      </c>
      <c r="Q61" s="35" t="s">
        <v>153</v>
      </c>
    </row>
    <row r="62" spans="7:17">
      <c r="P62" s="35" t="s">
        <v>266</v>
      </c>
      <c r="Q62" s="35" t="s">
        <v>154</v>
      </c>
    </row>
    <row r="63" spans="7:17">
      <c r="P63" s="35" t="s">
        <v>266</v>
      </c>
      <c r="Q63" s="35" t="s">
        <v>155</v>
      </c>
    </row>
    <row r="64" spans="7:17">
      <c r="P64" s="35" t="s">
        <v>266</v>
      </c>
      <c r="Q64" s="35" t="s">
        <v>156</v>
      </c>
    </row>
    <row r="65" spans="7:17">
      <c r="P65" s="35" t="s">
        <v>266</v>
      </c>
      <c r="Q65" s="35" t="s">
        <v>157</v>
      </c>
    </row>
    <row r="66" spans="7:17" ht="27">
      <c r="P66" s="35" t="s">
        <v>266</v>
      </c>
      <c r="Q66" s="35" t="s">
        <v>158</v>
      </c>
    </row>
    <row r="67" spans="7:17">
      <c r="P67" s="35" t="s">
        <v>266</v>
      </c>
      <c r="Q67" s="35" t="s">
        <v>159</v>
      </c>
    </row>
    <row r="68" spans="7:17">
      <c r="P68" s="35" t="s">
        <v>266</v>
      </c>
      <c r="Q68" s="35" t="s">
        <v>160</v>
      </c>
    </row>
    <row r="69" spans="7:17">
      <c r="P69" s="35" t="s">
        <v>266</v>
      </c>
      <c r="Q69" s="35" t="s">
        <v>161</v>
      </c>
    </row>
    <row r="70" spans="7:17">
      <c r="P70" s="35" t="s">
        <v>266</v>
      </c>
      <c r="Q70" s="35" t="s">
        <v>162</v>
      </c>
    </row>
    <row r="71" spans="7:17">
      <c r="P71" s="35" t="s">
        <v>266</v>
      </c>
      <c r="Q71" s="35" t="s">
        <v>163</v>
      </c>
    </row>
    <row r="72" spans="7:17">
      <c r="P72" s="35" t="s">
        <v>266</v>
      </c>
      <c r="Q72" s="35" t="s">
        <v>164</v>
      </c>
    </row>
    <row r="73" spans="7:17">
      <c r="P73" s="35" t="s">
        <v>266</v>
      </c>
      <c r="Q73" s="35" t="s">
        <v>165</v>
      </c>
    </row>
    <row r="74" spans="7:17">
      <c r="P74" s="35" t="s">
        <v>266</v>
      </c>
      <c r="Q74" s="35" t="s">
        <v>166</v>
      </c>
    </row>
    <row r="75" spans="7:17">
      <c r="P75" s="35" t="s">
        <v>266</v>
      </c>
      <c r="Q75" s="35" t="s">
        <v>167</v>
      </c>
    </row>
    <row r="76" spans="7:17" ht="27">
      <c r="P76" s="35" t="s">
        <v>266</v>
      </c>
      <c r="Q76" s="35" t="s">
        <v>168</v>
      </c>
    </row>
    <row r="77" spans="7:17" ht="19.5">
      <c r="G77" s="89"/>
      <c r="M77" s="89"/>
      <c r="O77" s="89"/>
      <c r="P77" s="35" t="s">
        <v>256</v>
      </c>
      <c r="Q77" s="89" t="s">
        <v>66</v>
      </c>
    </row>
    <row r="78" spans="7:17" ht="39">
      <c r="G78" s="89"/>
      <c r="M78" s="89"/>
      <c r="O78" s="89"/>
      <c r="P78" s="35" t="s">
        <v>256</v>
      </c>
      <c r="Q78" s="89" t="s">
        <v>63</v>
      </c>
    </row>
    <row r="79" spans="7:17" ht="27">
      <c r="P79" s="35" t="s">
        <v>266</v>
      </c>
      <c r="Q79" s="35" t="s">
        <v>169</v>
      </c>
    </row>
    <row r="80" spans="7:17" ht="27">
      <c r="P80" s="35" t="s">
        <v>266</v>
      </c>
      <c r="Q80" s="35" t="s">
        <v>170</v>
      </c>
    </row>
    <row r="81" spans="16:17" ht="27">
      <c r="P81" s="35" t="s">
        <v>266</v>
      </c>
      <c r="Q81" s="35" t="s">
        <v>171</v>
      </c>
    </row>
    <row r="82" spans="16:17" ht="27">
      <c r="P82" s="35" t="s">
        <v>266</v>
      </c>
      <c r="Q82" s="35" t="s">
        <v>172</v>
      </c>
    </row>
    <row r="83" spans="16:17" ht="40.5">
      <c r="P83" s="35" t="s">
        <v>266</v>
      </c>
      <c r="Q83" s="35" t="s">
        <v>173</v>
      </c>
    </row>
    <row r="84" spans="16:17" ht="27">
      <c r="P84" s="35" t="s">
        <v>266</v>
      </c>
      <c r="Q84" s="35" t="s">
        <v>174</v>
      </c>
    </row>
    <row r="85" spans="16:17">
      <c r="P85" s="35" t="s">
        <v>266</v>
      </c>
      <c r="Q85" s="35" t="s">
        <v>64</v>
      </c>
    </row>
    <row r="86" spans="16:17" ht="27">
      <c r="P86" s="35" t="s">
        <v>266</v>
      </c>
      <c r="Q86" s="35" t="s">
        <v>175</v>
      </c>
    </row>
    <row r="87" spans="16:17" ht="40.5">
      <c r="P87" s="35" t="s">
        <v>266</v>
      </c>
      <c r="Q87" s="35" t="s">
        <v>176</v>
      </c>
    </row>
    <row r="88" spans="16:17" ht="40.5">
      <c r="P88" s="35" t="s">
        <v>266</v>
      </c>
      <c r="Q88" s="35" t="s">
        <v>177</v>
      </c>
    </row>
    <row r="89" spans="16:17">
      <c r="P89" s="35" t="s">
        <v>266</v>
      </c>
      <c r="Q89" s="35" t="s">
        <v>178</v>
      </c>
    </row>
    <row r="90" spans="16:17">
      <c r="P90" s="35" t="s">
        <v>266</v>
      </c>
      <c r="Q90" s="35" t="s">
        <v>179</v>
      </c>
    </row>
    <row r="91" spans="16:17" ht="27">
      <c r="P91" s="35" t="s">
        <v>266</v>
      </c>
      <c r="Q91" s="35" t="s">
        <v>180</v>
      </c>
    </row>
    <row r="92" spans="16:17">
      <c r="P92" s="35" t="s">
        <v>266</v>
      </c>
      <c r="Q92" s="35" t="s">
        <v>181</v>
      </c>
    </row>
    <row r="93" spans="16:17">
      <c r="P93" s="35" t="s">
        <v>266</v>
      </c>
      <c r="Q93" s="35" t="s">
        <v>182</v>
      </c>
    </row>
    <row r="94" spans="16:17">
      <c r="P94" s="35" t="s">
        <v>266</v>
      </c>
      <c r="Q94" s="35" t="s">
        <v>183</v>
      </c>
    </row>
    <row r="95" spans="16:17">
      <c r="P95" s="35" t="s">
        <v>266</v>
      </c>
      <c r="Q95" s="35" t="s">
        <v>184</v>
      </c>
    </row>
    <row r="96" spans="16:17" ht="40.5">
      <c r="P96" s="35" t="s">
        <v>266</v>
      </c>
      <c r="Q96" s="35" t="s">
        <v>185</v>
      </c>
    </row>
    <row r="97" spans="7:17" ht="19.5">
      <c r="G97" s="89"/>
      <c r="M97" s="89"/>
      <c r="O97" s="89"/>
      <c r="P97" s="35" t="s">
        <v>256</v>
      </c>
      <c r="Q97" s="89" t="s">
        <v>67</v>
      </c>
    </row>
    <row r="98" spans="7:17" ht="19.5">
      <c r="G98" s="89"/>
      <c r="M98" s="89"/>
      <c r="O98" s="89"/>
      <c r="P98" s="35" t="s">
        <v>256</v>
      </c>
      <c r="Q98" s="89" t="s">
        <v>285</v>
      </c>
    </row>
    <row r="99" spans="7:17">
      <c r="P99" s="35" t="s">
        <v>266</v>
      </c>
      <c r="Q99" s="35" t="s">
        <v>186</v>
      </c>
    </row>
    <row r="100" spans="7:17" ht="27">
      <c r="P100" s="35" t="s">
        <v>266</v>
      </c>
      <c r="Q100" s="35" t="s">
        <v>187</v>
      </c>
    </row>
    <row r="101" spans="7:17" ht="27">
      <c r="P101" s="35" t="s">
        <v>266</v>
      </c>
      <c r="Q101" s="35" t="s">
        <v>188</v>
      </c>
    </row>
    <row r="102" spans="7:17" ht="27">
      <c r="P102" s="35" t="s">
        <v>266</v>
      </c>
      <c r="Q102" s="35" t="s">
        <v>189</v>
      </c>
    </row>
    <row r="103" spans="7:17" ht="27">
      <c r="P103" s="35" t="s">
        <v>266</v>
      </c>
      <c r="Q103" s="35" t="s">
        <v>190</v>
      </c>
    </row>
    <row r="104" spans="7:17">
      <c r="P104" s="35" t="s">
        <v>266</v>
      </c>
      <c r="Q104" s="35" t="s">
        <v>191</v>
      </c>
    </row>
    <row r="105" spans="7:17" ht="27">
      <c r="P105" s="35" t="s">
        <v>266</v>
      </c>
      <c r="Q105" s="35" t="s">
        <v>192</v>
      </c>
    </row>
    <row r="106" spans="7:17">
      <c r="P106" s="35" t="s">
        <v>266</v>
      </c>
      <c r="Q106" s="35" t="s">
        <v>193</v>
      </c>
    </row>
    <row r="107" spans="7:17" ht="27">
      <c r="P107" s="35" t="s">
        <v>266</v>
      </c>
      <c r="Q107" s="35" t="s">
        <v>194</v>
      </c>
    </row>
    <row r="108" spans="7:17">
      <c r="P108" s="35" t="s">
        <v>266</v>
      </c>
      <c r="Q108" s="35" t="s">
        <v>195</v>
      </c>
    </row>
    <row r="109" spans="7:17" ht="27">
      <c r="P109" s="35" t="s">
        <v>266</v>
      </c>
      <c r="Q109" s="35" t="s">
        <v>196</v>
      </c>
    </row>
    <row r="110" spans="7:17" ht="27">
      <c r="P110" s="35" t="s">
        <v>266</v>
      </c>
      <c r="Q110" s="35" t="s">
        <v>197</v>
      </c>
    </row>
    <row r="111" spans="7:17">
      <c r="P111" s="35" t="s">
        <v>266</v>
      </c>
      <c r="Q111" s="35" t="s">
        <v>198</v>
      </c>
    </row>
    <row r="112" spans="7:17">
      <c r="P112" s="35" t="s">
        <v>266</v>
      </c>
      <c r="Q112" s="35" t="s">
        <v>199</v>
      </c>
    </row>
    <row r="113" spans="7:17">
      <c r="P113" s="35" t="s">
        <v>266</v>
      </c>
      <c r="Q113" s="35" t="s">
        <v>200</v>
      </c>
    </row>
    <row r="114" spans="7:17">
      <c r="P114" s="35" t="s">
        <v>266</v>
      </c>
      <c r="Q114" s="35" t="s">
        <v>201</v>
      </c>
    </row>
    <row r="115" spans="7:17" ht="19.5">
      <c r="G115" s="89"/>
      <c r="M115" s="89"/>
      <c r="O115" s="89"/>
      <c r="P115" s="35" t="s">
        <v>256</v>
      </c>
      <c r="Q115" s="89" t="s">
        <v>68</v>
      </c>
    </row>
    <row r="116" spans="7:17" ht="19.5">
      <c r="G116" s="89"/>
      <c r="M116" s="89"/>
      <c r="O116" s="89"/>
      <c r="P116" s="35" t="s">
        <v>256</v>
      </c>
      <c r="Q116" s="89" t="s">
        <v>65</v>
      </c>
    </row>
    <row r="117" spans="7:17" ht="19.5">
      <c r="G117" s="89"/>
      <c r="M117" s="89"/>
      <c r="O117" s="89"/>
      <c r="P117" s="35" t="s">
        <v>256</v>
      </c>
      <c r="Q117" s="89" t="s">
        <v>286</v>
      </c>
    </row>
    <row r="118" spans="7:17">
      <c r="P118" s="35" t="s">
        <v>266</v>
      </c>
      <c r="Q118" s="35" t="s">
        <v>202</v>
      </c>
    </row>
    <row r="119" spans="7:17">
      <c r="P119" s="35" t="s">
        <v>266</v>
      </c>
      <c r="Q119" s="35" t="s">
        <v>110</v>
      </c>
    </row>
    <row r="120" spans="7:17">
      <c r="P120" s="35" t="s">
        <v>266</v>
      </c>
      <c r="Q120" s="35" t="s">
        <v>203</v>
      </c>
    </row>
    <row r="121" spans="7:17">
      <c r="P121" s="35" t="s">
        <v>266</v>
      </c>
      <c r="Q121" s="35" t="s">
        <v>204</v>
      </c>
    </row>
    <row r="122" spans="7:17">
      <c r="P122" s="35" t="s">
        <v>266</v>
      </c>
      <c r="Q122" s="35" t="s">
        <v>205</v>
      </c>
    </row>
    <row r="123" spans="7:17">
      <c r="P123" s="35" t="s">
        <v>266</v>
      </c>
      <c r="Q123" s="35" t="s">
        <v>206</v>
      </c>
    </row>
    <row r="124" spans="7:17">
      <c r="P124" s="35" t="s">
        <v>266</v>
      </c>
      <c r="Q124" s="35" t="s">
        <v>207</v>
      </c>
    </row>
    <row r="125" spans="7:17">
      <c r="P125" s="35" t="s">
        <v>266</v>
      </c>
      <c r="Q125" s="35" t="s">
        <v>208</v>
      </c>
    </row>
    <row r="126" spans="7:17">
      <c r="P126" s="35" t="s">
        <v>266</v>
      </c>
      <c r="Q126" s="35" t="s">
        <v>209</v>
      </c>
    </row>
    <row r="127" spans="7:17">
      <c r="P127" s="35" t="s">
        <v>266</v>
      </c>
      <c r="Q127" s="35" t="s">
        <v>210</v>
      </c>
    </row>
    <row r="128" spans="7:17">
      <c r="P128" s="35" t="s">
        <v>266</v>
      </c>
      <c r="Q128" s="35" t="s">
        <v>211</v>
      </c>
    </row>
    <row r="129" spans="16:17">
      <c r="P129" s="35" t="s">
        <v>266</v>
      </c>
      <c r="Q129" s="35" t="s">
        <v>212</v>
      </c>
    </row>
    <row r="130" spans="16:17">
      <c r="P130" s="35" t="s">
        <v>266</v>
      </c>
      <c r="Q130" s="35" t="s">
        <v>213</v>
      </c>
    </row>
  </sheetData>
  <mergeCells count="33">
    <mergeCell ref="P4:Q4"/>
    <mergeCell ref="N1:O1"/>
    <mergeCell ref="N2:O2"/>
    <mergeCell ref="N3:O3"/>
    <mergeCell ref="N4:O4"/>
    <mergeCell ref="P1:Q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R1:R3"/>
    <mergeCell ref="B2:C2"/>
    <mergeCell ref="D2:E2"/>
    <mergeCell ref="P2:Q2"/>
    <mergeCell ref="B3:C3"/>
    <mergeCell ref="H3:I3"/>
    <mergeCell ref="L1:M1"/>
    <mergeCell ref="L2:M2"/>
    <mergeCell ref="L3:M3"/>
    <mergeCell ref="P3:Q3"/>
    <mergeCell ref="J1:K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3.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3" customWidth="1"/>
    <col min="2" max="2" width="5.375" style="3" customWidth="1"/>
    <col min="3" max="3" width="28.125" style="3" customWidth="1"/>
    <col min="4" max="4" width="5" style="45" customWidth="1"/>
    <col min="5" max="5" width="14.125" style="46" customWidth="1"/>
    <col min="6" max="6" width="9.875" style="45" customWidth="1"/>
    <col min="7" max="7" width="10.125" style="45" customWidth="1"/>
    <col min="8" max="8" width="10" style="45" customWidth="1"/>
    <col min="9" max="10" width="9.875" style="45" customWidth="1"/>
    <col min="11" max="11" width="5" style="45" customWidth="1"/>
    <col min="12" max="16384" width="9" style="3"/>
  </cols>
  <sheetData>
    <row r="1" spans="1:11" ht="21">
      <c r="A1" s="44" t="s">
        <v>70</v>
      </c>
    </row>
    <row r="2" spans="1:11">
      <c r="A2" s="3" t="e">
        <f>#REF!</f>
        <v>#REF!</v>
      </c>
      <c r="B2" s="136" t="e">
        <f>#REF!</f>
        <v>#REF!</v>
      </c>
      <c r="C2" s="136"/>
    </row>
    <row r="3" spans="1:11" ht="24">
      <c r="A3" s="3" t="e">
        <f>#REF!</f>
        <v>#REF!</v>
      </c>
      <c r="B3" s="136" t="e">
        <f>#REF!</f>
        <v>#REF!</v>
      </c>
      <c r="C3" s="136"/>
      <c r="E3" s="47" t="e">
        <f>IF(CaptureEffortData,"","THERE IS NO NEED TO FILL IN THIS SHEET")</f>
        <v>#REF!</v>
      </c>
    </row>
    <row r="4" spans="1:11">
      <c r="A4" s="3" t="e">
        <f>#REF!</f>
        <v>#REF!</v>
      </c>
      <c r="B4" s="136" t="e">
        <f>#REF!</f>
        <v>#REF!</v>
      </c>
      <c r="C4" s="136"/>
    </row>
    <row r="5" spans="1:11">
      <c r="A5" s="3" t="e">
        <f>#REF!</f>
        <v>#REF!</v>
      </c>
      <c r="B5" s="136" t="e">
        <f>#REF!</f>
        <v>#REF!</v>
      </c>
      <c r="C5" s="136"/>
    </row>
    <row r="6" spans="1:11">
      <c r="A6" s="48" t="s">
        <v>71</v>
      </c>
      <c r="B6" s="136" t="e">
        <f>IF(SUM(B2:B4)=0,"&lt;Item Size&gt;",SUM(B2:B4))</f>
        <v>#REF!</v>
      </c>
      <c r="C6" s="136"/>
    </row>
    <row r="8" spans="1:11" ht="21">
      <c r="A8" s="44" t="s">
        <v>27</v>
      </c>
      <c r="B8" s="44"/>
    </row>
    <row r="9" spans="1:11">
      <c r="A9" s="49"/>
      <c r="B9" s="50"/>
    </row>
    <row r="10" spans="1:11" ht="24" customHeight="1">
      <c r="A10" s="134" t="s">
        <v>26</v>
      </c>
      <c r="B10" s="135"/>
      <c r="C10" s="4">
        <f>SUM(C14:C23)</f>
        <v>0</v>
      </c>
      <c r="D10" s="11"/>
      <c r="E10" s="51"/>
    </row>
    <row r="11" spans="1:11">
      <c r="A11" s="130" t="s">
        <v>25</v>
      </c>
      <c r="B11" s="131"/>
      <c r="C11" s="10" t="str">
        <f>CONCATENATE(INT(C10/60)," hour(s) and ", MOD(C10,60), " minutes")</f>
        <v>0 hour(s) and 0 minutes</v>
      </c>
      <c r="D11" s="9"/>
      <c r="E11" s="51"/>
    </row>
    <row r="12" spans="1:11">
      <c r="D12" s="52"/>
      <c r="G12" s="53" t="s">
        <v>12</v>
      </c>
      <c r="H12" s="53" t="s">
        <v>11</v>
      </c>
      <c r="I12" s="53" t="s">
        <v>47</v>
      </c>
      <c r="J12" s="53" t="s">
        <v>10</v>
      </c>
      <c r="K12" s="53"/>
    </row>
    <row r="13" spans="1:11" ht="45.75" customHeight="1" outlineLevel="1">
      <c r="A13" s="54" t="s">
        <v>24</v>
      </c>
      <c r="B13" s="55" t="s">
        <v>23</v>
      </c>
      <c r="C13" s="56" t="s">
        <v>22</v>
      </c>
      <c r="D13" s="57" t="s">
        <v>16</v>
      </c>
      <c r="E13" s="58" t="s">
        <v>21</v>
      </c>
      <c r="F13" s="59" t="s">
        <v>20</v>
      </c>
      <c r="G13" s="59" t="s">
        <v>19</v>
      </c>
      <c r="H13" s="59" t="s">
        <v>18</v>
      </c>
      <c r="I13" s="59" t="s">
        <v>46</v>
      </c>
      <c r="J13" s="59" t="s">
        <v>17</v>
      </c>
      <c r="K13" s="60" t="s">
        <v>16</v>
      </c>
    </row>
    <row r="14" spans="1:11" outlineLevel="1">
      <c r="A14" s="75"/>
      <c r="B14" s="75"/>
      <c r="C14" s="75"/>
      <c r="D14" s="8" t="e">
        <f t="shared" ref="D14:D23" si="0">IF(OR(COUNTA(A14:C14)=0,COUNTA(A14:C14)=COUNTA(A$13:C$13)),CheckOK,CheckErr)</f>
        <v>#REF!</v>
      </c>
      <c r="E14" s="7" t="str">
        <f>IF(NOT(ISBLANK(C14)),IF(ISNUMBER(ItemSize),ItemSize/C14,"Enter Item Size"),"")</f>
        <v/>
      </c>
      <c r="F14" s="5" t="str">
        <f t="shared" ref="F14:F23" si="1">IF(ISBLANK(B14),"",COUNTIF(DevCommentInitials,B14))</f>
        <v/>
      </c>
      <c r="G14" s="5" t="str">
        <f t="shared" ref="G14:J23" si="2">IF(ISBLANK($B14),"",COUNTIFS(DevCommentInitials,$B14,DevCommentStatuses,G$12))</f>
        <v/>
      </c>
      <c r="H14" s="5" t="str">
        <f t="shared" si="2"/>
        <v/>
      </c>
      <c r="I14" s="5" t="str">
        <f t="shared" si="2"/>
        <v/>
      </c>
      <c r="J14" s="5" t="str">
        <f t="shared" si="2"/>
        <v/>
      </c>
      <c r="K14" s="5" t="str">
        <f t="shared" ref="K14:K23" si="3">IF(ISBLANK(B14),"",IF(F14=G14+H14+I14+J14,CheckOK,CheckErr))</f>
        <v/>
      </c>
    </row>
    <row r="15" spans="1:11" outlineLevel="1">
      <c r="A15" s="75"/>
      <c r="B15" s="75"/>
      <c r="C15" s="75"/>
      <c r="D15" s="8" t="e">
        <f t="shared" si="0"/>
        <v>#REF!</v>
      </c>
      <c r="E15" s="7" t="str">
        <f t="shared" ref="E15:E23" si="4">IF(NOT(ISBLANK(C15)),IF(ISNUMBER(ItemSize),ItemSize/C15,"Enter Item Size"),"")</f>
        <v/>
      </c>
      <c r="F15" s="5" t="str">
        <f t="shared" si="1"/>
        <v/>
      </c>
      <c r="G15" s="5" t="str">
        <f t="shared" si="2"/>
        <v/>
      </c>
      <c r="H15" s="5" t="str">
        <f t="shared" si="2"/>
        <v/>
      </c>
      <c r="I15" s="5" t="str">
        <f t="shared" si="2"/>
        <v/>
      </c>
      <c r="J15" s="5" t="str">
        <f t="shared" si="2"/>
        <v/>
      </c>
      <c r="K15" s="5" t="str">
        <f t="shared" si="3"/>
        <v/>
      </c>
    </row>
    <row r="16" spans="1:11" outlineLevel="1">
      <c r="A16" s="75"/>
      <c r="B16" s="75"/>
      <c r="C16" s="75"/>
      <c r="D16" s="8" t="e">
        <f t="shared" si="0"/>
        <v>#REF!</v>
      </c>
      <c r="E16" s="7" t="str">
        <f t="shared" si="4"/>
        <v/>
      </c>
      <c r="F16" s="5" t="str">
        <f t="shared" si="1"/>
        <v/>
      </c>
      <c r="G16" s="5" t="str">
        <f t="shared" si="2"/>
        <v/>
      </c>
      <c r="H16" s="5" t="str">
        <f t="shared" si="2"/>
        <v/>
      </c>
      <c r="I16" s="5" t="str">
        <f t="shared" si="2"/>
        <v/>
      </c>
      <c r="J16" s="5" t="str">
        <f t="shared" si="2"/>
        <v/>
      </c>
      <c r="K16" s="5" t="str">
        <f t="shared" si="3"/>
        <v/>
      </c>
    </row>
    <row r="17" spans="1:11" outlineLevel="1">
      <c r="A17" s="75"/>
      <c r="B17" s="75"/>
      <c r="C17" s="75"/>
      <c r="D17" s="8" t="e">
        <f t="shared" si="0"/>
        <v>#REF!</v>
      </c>
      <c r="E17" s="7" t="str">
        <f t="shared" si="4"/>
        <v/>
      </c>
      <c r="F17" s="5" t="str">
        <f t="shared" si="1"/>
        <v/>
      </c>
      <c r="G17" s="5" t="str">
        <f t="shared" si="2"/>
        <v/>
      </c>
      <c r="H17" s="5" t="str">
        <f t="shared" si="2"/>
        <v/>
      </c>
      <c r="I17" s="5" t="str">
        <f t="shared" si="2"/>
        <v/>
      </c>
      <c r="J17" s="5" t="str">
        <f t="shared" si="2"/>
        <v/>
      </c>
      <c r="K17" s="5" t="str">
        <f t="shared" si="3"/>
        <v/>
      </c>
    </row>
    <row r="18" spans="1:11" outlineLevel="1">
      <c r="A18" s="75"/>
      <c r="B18" s="75"/>
      <c r="C18" s="75"/>
      <c r="D18" s="8" t="e">
        <f t="shared" si="0"/>
        <v>#REF!</v>
      </c>
      <c r="E18" s="7" t="str">
        <f t="shared" si="4"/>
        <v/>
      </c>
      <c r="F18" s="5" t="str">
        <f t="shared" si="1"/>
        <v/>
      </c>
      <c r="G18" s="5" t="str">
        <f t="shared" si="2"/>
        <v/>
      </c>
      <c r="H18" s="5" t="str">
        <f t="shared" si="2"/>
        <v/>
      </c>
      <c r="I18" s="5" t="str">
        <f t="shared" si="2"/>
        <v/>
      </c>
      <c r="J18" s="5" t="str">
        <f t="shared" si="2"/>
        <v/>
      </c>
      <c r="K18" s="5" t="str">
        <f t="shared" si="3"/>
        <v/>
      </c>
    </row>
    <row r="19" spans="1:11" outlineLevel="1">
      <c r="A19" s="75"/>
      <c r="B19" s="75"/>
      <c r="C19" s="75"/>
      <c r="D19" s="8" t="e">
        <f t="shared" si="0"/>
        <v>#REF!</v>
      </c>
      <c r="E19" s="7" t="str">
        <f t="shared" si="4"/>
        <v/>
      </c>
      <c r="F19" s="5" t="str">
        <f t="shared" si="1"/>
        <v/>
      </c>
      <c r="G19" s="5" t="str">
        <f t="shared" si="2"/>
        <v/>
      </c>
      <c r="H19" s="5" t="str">
        <f t="shared" si="2"/>
        <v/>
      </c>
      <c r="I19" s="5" t="str">
        <f t="shared" si="2"/>
        <v/>
      </c>
      <c r="J19" s="5" t="str">
        <f t="shared" si="2"/>
        <v/>
      </c>
      <c r="K19" s="5" t="str">
        <f t="shared" si="3"/>
        <v/>
      </c>
    </row>
    <row r="20" spans="1:11" outlineLevel="1">
      <c r="A20" s="75"/>
      <c r="B20" s="75"/>
      <c r="C20" s="75"/>
      <c r="D20" s="8" t="e">
        <f t="shared" si="0"/>
        <v>#REF!</v>
      </c>
      <c r="E20" s="7" t="str">
        <f t="shared" si="4"/>
        <v/>
      </c>
      <c r="F20" s="5" t="str">
        <f t="shared" si="1"/>
        <v/>
      </c>
      <c r="G20" s="5" t="str">
        <f t="shared" si="2"/>
        <v/>
      </c>
      <c r="H20" s="5" t="str">
        <f t="shared" si="2"/>
        <v/>
      </c>
      <c r="I20" s="5" t="str">
        <f t="shared" si="2"/>
        <v/>
      </c>
      <c r="J20" s="5" t="str">
        <f t="shared" si="2"/>
        <v/>
      </c>
      <c r="K20" s="5" t="str">
        <f t="shared" si="3"/>
        <v/>
      </c>
    </row>
    <row r="21" spans="1:11" outlineLevel="1">
      <c r="A21" s="75"/>
      <c r="B21" s="75"/>
      <c r="C21" s="75"/>
      <c r="D21" s="8" t="e">
        <f t="shared" si="0"/>
        <v>#REF!</v>
      </c>
      <c r="E21" s="7" t="str">
        <f t="shared" si="4"/>
        <v/>
      </c>
      <c r="F21" s="5" t="str">
        <f t="shared" si="1"/>
        <v/>
      </c>
      <c r="G21" s="5" t="str">
        <f t="shared" si="2"/>
        <v/>
      </c>
      <c r="H21" s="5" t="str">
        <f t="shared" si="2"/>
        <v/>
      </c>
      <c r="I21" s="5" t="str">
        <f t="shared" si="2"/>
        <v/>
      </c>
      <c r="J21" s="5" t="str">
        <f t="shared" si="2"/>
        <v/>
      </c>
      <c r="K21" s="5" t="str">
        <f t="shared" si="3"/>
        <v/>
      </c>
    </row>
    <row r="22" spans="1:11" outlineLevel="1">
      <c r="A22" s="75"/>
      <c r="B22" s="75"/>
      <c r="C22" s="75"/>
      <c r="D22" s="8" t="e">
        <f t="shared" si="0"/>
        <v>#REF!</v>
      </c>
      <c r="E22" s="7" t="str">
        <f t="shared" si="4"/>
        <v/>
      </c>
      <c r="F22" s="5" t="str">
        <f t="shared" si="1"/>
        <v/>
      </c>
      <c r="G22" s="5" t="str">
        <f t="shared" si="2"/>
        <v/>
      </c>
      <c r="H22" s="5" t="str">
        <f t="shared" si="2"/>
        <v/>
      </c>
      <c r="I22" s="5" t="str">
        <f t="shared" si="2"/>
        <v/>
      </c>
      <c r="J22" s="5" t="str">
        <f t="shared" si="2"/>
        <v/>
      </c>
      <c r="K22" s="5" t="str">
        <f t="shared" si="3"/>
        <v/>
      </c>
    </row>
    <row r="23" spans="1:11" outlineLevel="1">
      <c r="A23" s="75"/>
      <c r="B23" s="75"/>
      <c r="C23" s="75"/>
      <c r="D23" s="8" t="e">
        <f t="shared" si="0"/>
        <v>#REF!</v>
      </c>
      <c r="E23" s="7" t="str">
        <f t="shared" si="4"/>
        <v/>
      </c>
      <c r="F23" s="5" t="str">
        <f t="shared" si="1"/>
        <v/>
      </c>
      <c r="G23" s="5" t="str">
        <f t="shared" si="2"/>
        <v/>
      </c>
      <c r="H23" s="5" t="str">
        <f t="shared" si="2"/>
        <v/>
      </c>
      <c r="I23" s="5" t="str">
        <f t="shared" si="2"/>
        <v/>
      </c>
      <c r="J23" s="5" t="str">
        <f t="shared" si="2"/>
        <v/>
      </c>
      <c r="K23" s="5" t="str">
        <f t="shared" si="3"/>
        <v/>
      </c>
    </row>
    <row r="24" spans="1:11" outlineLevel="1">
      <c r="A24" s="132" t="s">
        <v>15</v>
      </c>
      <c r="B24" s="132"/>
      <c r="C24" s="62">
        <f>TotalTimeSpentReviewing</f>
        <v>0</v>
      </c>
      <c r="D24" s="63"/>
      <c r="E24" s="6" t="str">
        <f>IF(NOT(ISNUMBER(ItemSize)),"Enter Item Size",IF(C24&gt;0,ItemSize/C24,"-"))</f>
        <v>Enter Item Size</v>
      </c>
      <c r="F24" s="64">
        <f>SUM(F14:F23)</f>
        <v>0</v>
      </c>
      <c r="G24" s="64">
        <f>SUM(G14:G23)</f>
        <v>0</v>
      </c>
      <c r="H24" s="64">
        <f>SUM(H14:H23)</f>
        <v>0</v>
      </c>
      <c r="I24" s="64">
        <f>SUM(I14:I23)</f>
        <v>0</v>
      </c>
      <c r="J24" s="64">
        <f>SUM(J14:J23)</f>
        <v>0</v>
      </c>
      <c r="K24" s="5" t="e">
        <f>IF(F24=G24+H24+I24+J24,CheckOK,CheckErr)</f>
        <v>#REF!</v>
      </c>
    </row>
    <row r="25" spans="1:11" s="68" customFormat="1" ht="27" customHeight="1" outlineLevel="1">
      <c r="A25" s="133" t="s">
        <v>14</v>
      </c>
      <c r="B25" s="133"/>
      <c r="C25" s="61"/>
      <c r="D25" s="65"/>
      <c r="E25" s="66"/>
      <c r="F25" s="67">
        <f>COUNTA(DevCommentInitials)</f>
        <v>127</v>
      </c>
      <c r="G25" s="67">
        <f>COUNTIF(DevCommentStatuses,G$12)</f>
        <v>91</v>
      </c>
      <c r="H25" s="67">
        <f>COUNTIF(DevCommentStatuses,H$12)</f>
        <v>22</v>
      </c>
      <c r="I25" s="67">
        <f>COUNTIF(DevCommentStatuses,I$12)</f>
        <v>0</v>
      </c>
      <c r="J25" s="67">
        <f>COUNTIF(DevCommentStatuses,J$12)</f>
        <v>15</v>
      </c>
      <c r="K25" s="5" t="e">
        <f>IF(AND(F25=G25+H25+I25+J25,F24=F25,G24=G25,H24=H25,I24=I25,J24=J25),CheckOK,CheckErr)</f>
        <v>#REF!</v>
      </c>
    </row>
    <row r="27" spans="1:11" ht="21">
      <c r="A27" s="44" t="s">
        <v>72</v>
      </c>
    </row>
    <row r="28" spans="1:11">
      <c r="A28" s="134" t="str">
        <f>A27</f>
        <v>Time Spent Reworking</v>
      </c>
      <c r="B28" s="135"/>
      <c r="C28" s="4">
        <f>SUM(C32:C36)</f>
        <v>0</v>
      </c>
    </row>
    <row r="29" spans="1:11">
      <c r="A29" s="130" t="s">
        <v>25</v>
      </c>
      <c r="B29" s="131"/>
      <c r="C29" s="10" t="str">
        <f>CONCATENATE(INT(C28/60)," hour(s) and ", MOD(C28,60), " minutes")</f>
        <v>0 hour(s) and 0 minutes</v>
      </c>
    </row>
    <row r="30" spans="1:11">
      <c r="G30" s="53" t="s">
        <v>12</v>
      </c>
      <c r="H30" s="53" t="s">
        <v>11</v>
      </c>
      <c r="I30" s="53" t="s">
        <v>47</v>
      </c>
      <c r="J30" s="53" t="s">
        <v>10</v>
      </c>
    </row>
    <row r="31" spans="1:11" ht="38.25" customHeight="1" outlineLevel="2">
      <c r="A31" s="69" t="s">
        <v>74</v>
      </c>
      <c r="B31" s="70" t="s">
        <v>75</v>
      </c>
      <c r="C31" s="71" t="s">
        <v>44</v>
      </c>
      <c r="D31" s="57" t="s">
        <v>16</v>
      </c>
      <c r="E31" s="58" t="s">
        <v>76</v>
      </c>
      <c r="F31" s="59" t="s">
        <v>79</v>
      </c>
      <c r="G31" s="59" t="s">
        <v>19</v>
      </c>
      <c r="H31" s="59" t="s">
        <v>18</v>
      </c>
      <c r="I31" s="59" t="s">
        <v>46</v>
      </c>
      <c r="J31" s="59" t="s">
        <v>17</v>
      </c>
      <c r="K31" s="60" t="s">
        <v>16</v>
      </c>
    </row>
    <row r="32" spans="1:11" outlineLevel="2">
      <c r="A32" s="75"/>
      <c r="B32" s="75"/>
      <c r="C32" s="75"/>
      <c r="D32" s="8" t="e">
        <f>IF(OR(COUNTA(A32:C32)=0,COUNTA(A32:C32)=COUNTA(A$13:C$13)),CheckOK,CheckErr)</f>
        <v>#REF!</v>
      </c>
      <c r="E32" s="7" t="str">
        <f>IF(NOT(ISBLANK(C32)),IF(ISNUMBER(ItemSize),F32/C32,"Enter Item Size"),"")</f>
        <v/>
      </c>
      <c r="F32" s="5" t="str">
        <f>IF(ISBLANK(B32),"",COUNTIF(DevAuthorInitials,B32))</f>
        <v/>
      </c>
      <c r="G32" s="5" t="str">
        <f t="shared" ref="G32:J36" si="5">IF(ISBLANK($B32),"",COUNTIFS(DevAuthorInitials,$B32,DevCommentStatuses,G$12))</f>
        <v/>
      </c>
      <c r="H32" s="5" t="str">
        <f t="shared" si="5"/>
        <v/>
      </c>
      <c r="I32" s="5" t="str">
        <f t="shared" si="5"/>
        <v/>
      </c>
      <c r="J32" s="5" t="str">
        <f t="shared" si="5"/>
        <v/>
      </c>
      <c r="K32" s="5" t="str">
        <f>IF(ISBLANK(B32),"",IF(F32=G32+H32+I32+J32,CheckOK,CheckErr))</f>
        <v/>
      </c>
    </row>
    <row r="33" spans="1:11" outlineLevel="2">
      <c r="A33" s="75"/>
      <c r="B33" s="75"/>
      <c r="C33" s="75"/>
      <c r="D33" s="8" t="e">
        <f>IF(OR(COUNTA(A33:C33)=0,COUNTA(A33:C33)=COUNTA(A$13:C$13)),CheckOK,CheckErr)</f>
        <v>#REF!</v>
      </c>
      <c r="E33" s="7" t="str">
        <f>IF(NOT(ISBLANK(C33)),IF(ISNUMBER(ItemSize),F33/C33,"Enter Item Size"),"")</f>
        <v/>
      </c>
      <c r="F33" s="5" t="str">
        <f>IF(ISBLANK(B33),"",COUNTIF(DevAuthorInitials,B33))</f>
        <v/>
      </c>
      <c r="G33" s="5" t="str">
        <f t="shared" si="5"/>
        <v/>
      </c>
      <c r="H33" s="5" t="str">
        <f t="shared" si="5"/>
        <v/>
      </c>
      <c r="I33" s="5" t="str">
        <f t="shared" si="5"/>
        <v/>
      </c>
      <c r="J33" s="5" t="str">
        <f t="shared" si="5"/>
        <v/>
      </c>
      <c r="K33" s="5" t="str">
        <f>IF(ISBLANK(B33),"",IF(F33=G33+H33+I33+J33,CheckOK,CheckErr))</f>
        <v/>
      </c>
    </row>
    <row r="34" spans="1:11" outlineLevel="2">
      <c r="A34" s="75"/>
      <c r="B34" s="75"/>
      <c r="C34" s="75"/>
      <c r="D34" s="8" t="e">
        <f>IF(OR(COUNTA(A34:C34)=0,COUNTA(A34:C34)=COUNTA(A$13:C$13)),CheckOK,CheckErr)</f>
        <v>#REF!</v>
      </c>
      <c r="E34" s="7" t="str">
        <f>IF(NOT(ISBLANK(C34)),IF(ISNUMBER(ItemSize),F34/C34,"Enter Item Size"),"")</f>
        <v/>
      </c>
      <c r="F34" s="5" t="str">
        <f>IF(ISBLANK(B34),"",COUNTIF(DevAuthorInitials,B34))</f>
        <v/>
      </c>
      <c r="G34" s="5" t="str">
        <f t="shared" si="5"/>
        <v/>
      </c>
      <c r="H34" s="5" t="str">
        <f t="shared" si="5"/>
        <v/>
      </c>
      <c r="I34" s="5" t="str">
        <f t="shared" si="5"/>
        <v/>
      </c>
      <c r="J34" s="5" t="str">
        <f t="shared" si="5"/>
        <v/>
      </c>
      <c r="K34" s="5" t="str">
        <f>IF(ISBLANK(B34),"",IF(F34=G34+H34+I34+J34,CheckOK,CheckErr))</f>
        <v/>
      </c>
    </row>
    <row r="35" spans="1:11" outlineLevel="2">
      <c r="A35" s="75"/>
      <c r="B35" s="75"/>
      <c r="C35" s="75"/>
      <c r="D35" s="8" t="e">
        <f>IF(OR(COUNTA(A35:C35)=0,COUNTA(A35:C35)=COUNTA(A$13:C$13)),CheckOK,CheckErr)</f>
        <v>#REF!</v>
      </c>
      <c r="E35" s="7" t="str">
        <f>IF(NOT(ISBLANK(C35)),IF(ISNUMBER(ItemSize),F35/C35,"Enter Item Size"),"")</f>
        <v/>
      </c>
      <c r="F35" s="5" t="str">
        <f>IF(ISBLANK(B35),"",COUNTIF(DevAuthorInitials,B35))</f>
        <v/>
      </c>
      <c r="G35" s="5" t="str">
        <f t="shared" si="5"/>
        <v/>
      </c>
      <c r="H35" s="5" t="str">
        <f t="shared" si="5"/>
        <v/>
      </c>
      <c r="I35" s="5" t="str">
        <f t="shared" si="5"/>
        <v/>
      </c>
      <c r="J35" s="5" t="str">
        <f t="shared" si="5"/>
        <v/>
      </c>
      <c r="K35" s="5" t="str">
        <f>IF(ISBLANK(B35),"",IF(F35=G35+H35+I35+J35,CheckOK,CheckErr))</f>
        <v/>
      </c>
    </row>
    <row r="36" spans="1:11" outlineLevel="2">
      <c r="A36" s="75"/>
      <c r="B36" s="75"/>
      <c r="C36" s="75"/>
      <c r="D36" s="8" t="e">
        <f>IF(OR(COUNTA(A36:C36)=0,COUNTA(A36:C36)=COUNTA(A$13:C$13)),CheckOK,CheckErr)</f>
        <v>#REF!</v>
      </c>
      <c r="E36" s="7" t="str">
        <f>IF(NOT(ISBLANK(C36)),IF(ISNUMBER(ItemSize),F36/C36,"Enter Item Size"),"")</f>
        <v/>
      </c>
      <c r="F36" s="5" t="str">
        <f>IF(ISBLANK(B36),"",COUNTIF(DevAuthorInitials,B36))</f>
        <v/>
      </c>
      <c r="G36" s="5" t="str">
        <f t="shared" si="5"/>
        <v/>
      </c>
      <c r="H36" s="5" t="str">
        <f t="shared" si="5"/>
        <v/>
      </c>
      <c r="I36" s="5" t="str">
        <f t="shared" si="5"/>
        <v/>
      </c>
      <c r="J36" s="5" t="str">
        <f t="shared" si="5"/>
        <v/>
      </c>
      <c r="K36" s="5" t="str">
        <f>IF(ISBLANK(B36),"",IF(F36=G36+H36+I36+J36,CheckOK,CheckErr))</f>
        <v/>
      </c>
    </row>
    <row r="37" spans="1:11" outlineLevel="2">
      <c r="A37" s="132" t="s">
        <v>15</v>
      </c>
      <c r="B37" s="132"/>
      <c r="C37" s="62">
        <f>TotalEffortToFix</f>
        <v>0</v>
      </c>
      <c r="D37" s="63"/>
      <c r="E37" s="6" t="str">
        <f>IF(NOT(ISNUMBER(ItemSize)),"Enter Item Size",IF(C37&gt;0,ItemSize/C37,"-"))</f>
        <v>Enter Item Size</v>
      </c>
      <c r="F37" s="64">
        <f>SUM(F32:F36)</f>
        <v>0</v>
      </c>
      <c r="G37" s="64">
        <f>SUM(G32:G36)</f>
        <v>0</v>
      </c>
      <c r="H37" s="64">
        <f>SUM(H32:H36)</f>
        <v>0</v>
      </c>
      <c r="I37" s="64">
        <f>SUM(I32:I36)</f>
        <v>0</v>
      </c>
      <c r="J37" s="64">
        <f>SUM(J32:J36)</f>
        <v>0</v>
      </c>
      <c r="K37" s="5" t="e">
        <f>IF(F37=G37+H37+I37+J37,CheckOK,CheckErr)</f>
        <v>#REF!</v>
      </c>
    </row>
    <row r="38" spans="1:11" outlineLevel="2">
      <c r="A38" s="133" t="s">
        <v>14</v>
      </c>
      <c r="B38" s="133"/>
      <c r="C38" s="61"/>
      <c r="D38" s="65"/>
      <c r="E38" s="66"/>
      <c r="F38" s="67">
        <f>COUNTA(DevCommentInitials)</f>
        <v>127</v>
      </c>
      <c r="G38" s="67">
        <f>COUNTIF(DevCommentStatuses,G$12)</f>
        <v>91</v>
      </c>
      <c r="H38" s="67">
        <f>COUNTIF(DevCommentStatuses,H$12)</f>
        <v>22</v>
      </c>
      <c r="I38" s="67">
        <f>COUNTIF(DevCommentStatuses,I$12)</f>
        <v>0</v>
      </c>
      <c r="J38" s="67">
        <f>COUNTIF(DevCommentStatuses,J$12)</f>
        <v>15</v>
      </c>
      <c r="K38" s="5" t="e">
        <f>IF(AND(F38=G38+H38+I38+J38,F37=F38,G37=G38,H37=H38,I37=I38,J37=J38),CheckOK,CheckErr)</f>
        <v>#REF!</v>
      </c>
    </row>
    <row r="40" spans="1:11" ht="21">
      <c r="A40" s="44" t="s">
        <v>73</v>
      </c>
    </row>
    <row r="42" spans="1:11">
      <c r="A42" s="134" t="str">
        <f>A40</f>
        <v>Time Spent Moderating</v>
      </c>
      <c r="B42" s="135"/>
      <c r="C42" s="4">
        <f>SUM(C46:C50)</f>
        <v>0</v>
      </c>
    </row>
    <row r="43" spans="1:11">
      <c r="A43" s="130" t="s">
        <v>25</v>
      </c>
      <c r="B43" s="131"/>
      <c r="C43" s="10" t="str">
        <f>CONCATENATE(INT(C42/60)," hour(s) and ", MOD(C42,60), " minutes")</f>
        <v>0 hour(s) and 0 minutes</v>
      </c>
    </row>
    <row r="44" spans="1:11">
      <c r="G44" s="53" t="s">
        <v>12</v>
      </c>
      <c r="H44" s="53" t="s">
        <v>11</v>
      </c>
      <c r="I44" s="53" t="s">
        <v>47</v>
      </c>
      <c r="J44" s="53" t="s">
        <v>10</v>
      </c>
    </row>
    <row r="45" spans="1:11" ht="45" customHeight="1" outlineLevel="2">
      <c r="A45" s="72" t="s">
        <v>81</v>
      </c>
      <c r="B45" s="73" t="s">
        <v>80</v>
      </c>
      <c r="C45" s="74" t="s">
        <v>45</v>
      </c>
      <c r="D45" s="57" t="s">
        <v>16</v>
      </c>
      <c r="E45" s="58" t="s">
        <v>77</v>
      </c>
      <c r="F45" s="59" t="s">
        <v>78</v>
      </c>
      <c r="G45" s="59" t="s">
        <v>19</v>
      </c>
      <c r="H45" s="59" t="s">
        <v>18</v>
      </c>
      <c r="I45" s="59" t="s">
        <v>46</v>
      </c>
      <c r="J45" s="59" t="s">
        <v>17</v>
      </c>
      <c r="K45" s="60" t="s">
        <v>16</v>
      </c>
    </row>
    <row r="46" spans="1:11" outlineLevel="2">
      <c r="A46" s="75"/>
      <c r="B46" s="75"/>
      <c r="C46" s="75"/>
      <c r="D46" s="8" t="e">
        <f>IF(OR(COUNTA(A46:C46)=0,COUNTA(A46:C46)=COUNTA(A$13:C$13)),CheckOK,CheckErr)</f>
        <v>#REF!</v>
      </c>
      <c r="E46" s="7" t="str">
        <f>IF(NOT(ISBLANK(C46)),IF(ISNUMBER(ItemSize),F46/C46,"Enter Item Size"),"")</f>
        <v/>
      </c>
      <c r="F46" s="5" t="str">
        <f>IF(ISBLANK(B46),"",COUNTIF(DevModeratorInitials,B46))</f>
        <v/>
      </c>
      <c r="G46" s="5" t="str">
        <f t="shared" ref="G46:J50" si="6">IF(ISBLANK($B46),"",COUNTIFS(DevModeratorInitials,$B46,DevCommentStatuses,G$12))</f>
        <v/>
      </c>
      <c r="H46" s="5" t="str">
        <f t="shared" si="6"/>
        <v/>
      </c>
      <c r="I46" s="5" t="str">
        <f t="shared" si="6"/>
        <v/>
      </c>
      <c r="J46" s="5" t="str">
        <f t="shared" si="6"/>
        <v/>
      </c>
      <c r="K46" s="5" t="str">
        <f>IF(ISBLANK(B46),"",IF(F46=G46+H46+I46+J46,CheckOK,CheckErr))</f>
        <v/>
      </c>
    </row>
    <row r="47" spans="1:11" outlineLevel="2">
      <c r="A47" s="75"/>
      <c r="B47" s="75"/>
      <c r="C47" s="75"/>
      <c r="D47" s="8" t="e">
        <f>IF(OR(COUNTA(A47:C47)=0,COUNTA(A47:C47)=COUNTA(A$13:C$13)),CheckOK,CheckErr)</f>
        <v>#REF!</v>
      </c>
      <c r="E47" s="7" t="str">
        <f>IF(NOT(ISBLANK(C47)),IF(ISNUMBER(ItemSize),F47/C47,"Enter Item Size"),"")</f>
        <v/>
      </c>
      <c r="F47" s="5" t="str">
        <f>IF(ISBLANK(B47),"",COUNTIF(DevModeratorInitials,B47))</f>
        <v/>
      </c>
      <c r="G47" s="5" t="str">
        <f t="shared" si="6"/>
        <v/>
      </c>
      <c r="H47" s="5" t="str">
        <f t="shared" si="6"/>
        <v/>
      </c>
      <c r="I47" s="5" t="str">
        <f t="shared" si="6"/>
        <v/>
      </c>
      <c r="J47" s="5" t="str">
        <f t="shared" si="6"/>
        <v/>
      </c>
      <c r="K47" s="5" t="str">
        <f>IF(ISBLANK(B47),"",IF(F47=G47+H47+I47+J47,CheckOK,CheckErr))</f>
        <v/>
      </c>
    </row>
    <row r="48" spans="1:11" outlineLevel="2">
      <c r="A48" s="75"/>
      <c r="B48" s="75"/>
      <c r="C48" s="75"/>
      <c r="D48" s="8" t="e">
        <f>IF(OR(COUNTA(A48:C48)=0,COUNTA(A48:C48)=COUNTA(A$13:C$13)),CheckOK,CheckErr)</f>
        <v>#REF!</v>
      </c>
      <c r="E48" s="7" t="str">
        <f>IF(NOT(ISBLANK(C48)),IF(ISNUMBER(ItemSize),F48/C48,"Enter Item Size"),"")</f>
        <v/>
      </c>
      <c r="F48" s="5" t="str">
        <f>IF(ISBLANK(B48),"",COUNTIF(DevModeratorInitials,B48))</f>
        <v/>
      </c>
      <c r="G48" s="5" t="str">
        <f t="shared" si="6"/>
        <v/>
      </c>
      <c r="H48" s="5" t="str">
        <f t="shared" si="6"/>
        <v/>
      </c>
      <c r="I48" s="5" t="str">
        <f t="shared" si="6"/>
        <v/>
      </c>
      <c r="J48" s="5" t="str">
        <f t="shared" si="6"/>
        <v/>
      </c>
      <c r="K48" s="5" t="str">
        <f>IF(ISBLANK(B48),"",IF(F48=G48+H48+I48+J48,CheckOK,CheckErr))</f>
        <v/>
      </c>
    </row>
    <row r="49" spans="1:11" outlineLevel="2">
      <c r="A49" s="75"/>
      <c r="B49" s="75"/>
      <c r="C49" s="75"/>
      <c r="D49" s="8" t="e">
        <f>IF(OR(COUNTA(A49:C49)=0,COUNTA(A49:C49)=COUNTA(A$13:C$13)),CheckOK,CheckErr)</f>
        <v>#REF!</v>
      </c>
      <c r="E49" s="7" t="str">
        <f>IF(NOT(ISBLANK(C49)),IF(ISNUMBER(ItemSize),F49/C49,"Enter Item Size"),"")</f>
        <v/>
      </c>
      <c r="F49" s="5" t="str">
        <f>IF(ISBLANK(B49),"",COUNTIF(DevModeratorInitials,B49))</f>
        <v/>
      </c>
      <c r="G49" s="5" t="str">
        <f t="shared" si="6"/>
        <v/>
      </c>
      <c r="H49" s="5" t="str">
        <f t="shared" si="6"/>
        <v/>
      </c>
      <c r="I49" s="5" t="str">
        <f t="shared" si="6"/>
        <v/>
      </c>
      <c r="J49" s="5" t="str">
        <f t="shared" si="6"/>
        <v/>
      </c>
      <c r="K49" s="5" t="str">
        <f>IF(ISBLANK(B49),"",IF(F49=G49+H49+I49+J49,CheckOK,CheckErr))</f>
        <v/>
      </c>
    </row>
    <row r="50" spans="1:11" outlineLevel="2">
      <c r="A50" s="75"/>
      <c r="B50" s="75"/>
      <c r="C50" s="75"/>
      <c r="D50" s="8" t="e">
        <f>IF(OR(COUNTA(A50:C50)=0,COUNTA(A50:C50)=COUNTA(A$13:C$13)),CheckOK,CheckErr)</f>
        <v>#REF!</v>
      </c>
      <c r="E50" s="7" t="str">
        <f>IF(NOT(ISBLANK(C50)),IF(ISNUMBER(ItemSize),F50/C50,"Enter Item Size"),"")</f>
        <v/>
      </c>
      <c r="F50" s="5" t="str">
        <f>IF(ISBLANK(B50),"",COUNTIF(DevModeratorInitials,B50))</f>
        <v/>
      </c>
      <c r="G50" s="5" t="str">
        <f t="shared" si="6"/>
        <v/>
      </c>
      <c r="H50" s="5" t="str">
        <f t="shared" si="6"/>
        <v/>
      </c>
      <c r="I50" s="5" t="str">
        <f t="shared" si="6"/>
        <v/>
      </c>
      <c r="J50" s="5" t="str">
        <f t="shared" si="6"/>
        <v/>
      </c>
      <c r="K50" s="5" t="str">
        <f>IF(ISBLANK(B50),"",IF(F50=G50+H50+I50+J50,CheckOK,CheckErr))</f>
        <v/>
      </c>
    </row>
    <row r="51" spans="1:11" outlineLevel="2">
      <c r="A51" s="132" t="s">
        <v>15</v>
      </c>
      <c r="B51" s="132"/>
      <c r="C51" s="62">
        <f>TotalTimeModerating</f>
        <v>0</v>
      </c>
      <c r="D51" s="63"/>
      <c r="E51" s="6" t="str">
        <f>IF(NOT(ISNUMBER(ItemSize)),"Enter Item Size",IF(C51&gt;0,ItemSize/C51,"-"))</f>
        <v>Enter Item Size</v>
      </c>
      <c r="F51" s="64">
        <f>SUM(F46:F50)</f>
        <v>0</v>
      </c>
      <c r="G51" s="64">
        <f>SUM(G46:G50)</f>
        <v>0</v>
      </c>
      <c r="H51" s="64">
        <f>SUM(H46:H50)</f>
        <v>0</v>
      </c>
      <c r="I51" s="64">
        <f>SUM(I46:I50)</f>
        <v>0</v>
      </c>
      <c r="J51" s="64">
        <f>SUM(J46:J50)</f>
        <v>0</v>
      </c>
      <c r="K51" s="5" t="e">
        <f>IF(F51=G51+H51+I51+J51,CheckOK,CheckErr)</f>
        <v>#REF!</v>
      </c>
    </row>
    <row r="52" spans="1:11" outlineLevel="2">
      <c r="A52" s="133" t="s">
        <v>14</v>
      </c>
      <c r="B52" s="133"/>
      <c r="C52" s="61"/>
      <c r="D52" s="65"/>
      <c r="E52" s="66"/>
      <c r="F52" s="67">
        <f>COUNTA(DevCommentInitials)</f>
        <v>127</v>
      </c>
      <c r="G52" s="67">
        <f>COUNTIF(DevCommentStatuses,G$12)</f>
        <v>91</v>
      </c>
      <c r="H52" s="67">
        <f>COUNTIF(DevCommentStatuses,H$12)</f>
        <v>22</v>
      </c>
      <c r="I52" s="67">
        <f>COUNTIF(DevCommentStatuses,I$12)</f>
        <v>0</v>
      </c>
      <c r="J52" s="67">
        <f>COUNTIF(DevCommentStatuses,J$12)</f>
        <v>15</v>
      </c>
      <c r="K52" s="5" t="e">
        <f>IF(AND(F52=G52+H52+I52+J52,F51=F52,G51=G52,H51=H52,I51=I52,J51=J52),CheckOK,CheckErr)</f>
        <v>#REF!</v>
      </c>
    </row>
  </sheetData>
  <sheetProtection insertRows="0"/>
  <mergeCells count="17">
    <mergeCell ref="B2:C2"/>
    <mergeCell ref="B3:C3"/>
    <mergeCell ref="B4:C4"/>
    <mergeCell ref="B5:C5"/>
    <mergeCell ref="B6:C6"/>
    <mergeCell ref="A28:B28"/>
    <mergeCell ref="A29:B29"/>
    <mergeCell ref="A42:B42"/>
    <mergeCell ref="A10:B10"/>
    <mergeCell ref="A11:B11"/>
    <mergeCell ref="A25:B25"/>
    <mergeCell ref="A24:B24"/>
    <mergeCell ref="A43:B43"/>
    <mergeCell ref="A51:B51"/>
    <mergeCell ref="A52:B52"/>
    <mergeCell ref="A37:B37"/>
    <mergeCell ref="A38:B38"/>
  </mergeCells>
  <conditionalFormatting sqref="D1:D1048576">
    <cfRule type="cellIs" dxfId="24" priority="46" stopIfTrue="1" operator="equal">
      <formula>CheckErr</formula>
    </cfRule>
  </conditionalFormatting>
  <conditionalFormatting sqref="K1:K1048576">
    <cfRule type="expression" dxfId="23" priority="45" stopIfTrue="1">
      <formula>K1=CheckErr</formula>
    </cfRule>
  </conditionalFormatting>
  <conditionalFormatting sqref="A14:C23">
    <cfRule type="expression" dxfId="22" priority="6" stopIfTrue="1">
      <formula>$D14=CheckErr</formula>
    </cfRule>
  </conditionalFormatting>
  <conditionalFormatting sqref="C24:C25">
    <cfRule type="expression" dxfId="21" priority="5" stopIfTrue="1">
      <formula>$D24=CheckErr</formula>
    </cfRule>
  </conditionalFormatting>
  <conditionalFormatting sqref="A32:C36">
    <cfRule type="expression" dxfId="20" priority="4" stopIfTrue="1">
      <formula>$D32=CheckErr</formula>
    </cfRule>
  </conditionalFormatting>
  <conditionalFormatting sqref="C37:C38">
    <cfRule type="expression" dxfId="19" priority="3" stopIfTrue="1">
      <formula>$D37=CheckErr</formula>
    </cfRule>
  </conditionalFormatting>
  <conditionalFormatting sqref="A46:C50">
    <cfRule type="expression" dxfId="18" priority="2" stopIfTrue="1">
      <formula>$D46=CheckErr</formula>
    </cfRule>
  </conditionalFormatting>
  <conditionalFormatting sqref="C51:C52">
    <cfRule type="expression" dxfId="17"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4.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 customFormat="1">
      <c r="A1" s="2" t="s">
        <v>2</v>
      </c>
      <c r="B1" s="2" t="s">
        <v>3</v>
      </c>
    </row>
    <row r="2" spans="1:2">
      <c r="A2" s="1" t="s">
        <v>0</v>
      </c>
      <c r="B2" t="e">
        <f>DocSet</f>
        <v>#REF!</v>
      </c>
    </row>
    <row r="3" spans="1:2">
      <c r="A3" s="1" t="s">
        <v>1</v>
      </c>
      <c r="B3" t="e">
        <f>DocTitle</f>
        <v>#REF!</v>
      </c>
    </row>
    <row r="4" spans="1:2">
      <c r="A4" s="1" t="s">
        <v>4</v>
      </c>
      <c r="B4" t="e">
        <f>DocRef</f>
        <v>#REF!</v>
      </c>
    </row>
    <row r="5" spans="1:2">
      <c r="A5" s="1" t="s">
        <v>5</v>
      </c>
      <c r="B5" t="e">
        <f>DocIssue</f>
        <v>#REF!</v>
      </c>
    </row>
    <row r="6" spans="1:2">
      <c r="A6" s="1" t="s">
        <v>6</v>
      </c>
      <c r="B6" s="40" t="e">
        <f>DocDate</f>
        <v>#REF!</v>
      </c>
    </row>
    <row r="7" spans="1:2">
      <c r="A7" s="1" t="s">
        <v>8</v>
      </c>
      <c r="B7" s="1" t="e">
        <f>DocAuthor</f>
        <v>#REF!</v>
      </c>
    </row>
    <row r="8" spans="1:2">
      <c r="A8" s="1" t="s">
        <v>7</v>
      </c>
      <c r="B8" t="e">
        <f>DocApprover</f>
        <v>#REF!</v>
      </c>
    </row>
    <row r="9" spans="1:2">
      <c r="A9" s="36" t="e">
        <f>SUBSTITUTE("RRR_"&amp;#REF!," ","_")</f>
        <v>#REF!</v>
      </c>
      <c r="B9" t="e">
        <f>#REF!</f>
        <v>#REF!</v>
      </c>
    </row>
    <row r="10" spans="1:2">
      <c r="A10" s="36" t="e">
        <f>SUBSTITUTE("RRR_"&amp;#REF!," ","_")</f>
        <v>#REF!</v>
      </c>
      <c r="B10" t="e">
        <f>#REF!</f>
        <v>#REF!</v>
      </c>
    </row>
    <row r="11" spans="1:2">
      <c r="A11" s="36" t="e">
        <f>SUBSTITUTE("RRR_"&amp;#REF!," ","_")</f>
        <v>#REF!</v>
      </c>
      <c r="B11" t="e">
        <f>#REF!</f>
        <v>#REF!</v>
      </c>
    </row>
    <row r="12" spans="1:2">
      <c r="A12" s="36" t="e">
        <f>SUBSTITUTE("RRR_"&amp;#REF!," ","_")</f>
        <v>#REF!</v>
      </c>
      <c r="B12" t="e">
        <f>#REF!</f>
        <v>#REF!</v>
      </c>
    </row>
    <row r="13" spans="1:2">
      <c r="A13" s="36" t="e">
        <f>SUBSTITUTE("RRR_"&amp;#REF!," ","_")</f>
        <v>#REF!</v>
      </c>
      <c r="B13" t="e">
        <f>#REF!</f>
        <v>#REF!</v>
      </c>
    </row>
    <row r="14" spans="1:2">
      <c r="A14" s="36" t="e">
        <f>SUBSTITUTE("RRR_"&amp;#REF!," ","_")</f>
        <v>#REF!</v>
      </c>
      <c r="B14" t="e">
        <f>#REF!</f>
        <v>#REF!</v>
      </c>
    </row>
    <row r="15" spans="1:2">
      <c r="A15" s="36" t="e">
        <f>SUBSTITUTE("RRR_"&amp;#REF!," ","_")</f>
        <v>#REF!</v>
      </c>
      <c r="B15" t="e">
        <f>#REF!</f>
        <v>#REF!</v>
      </c>
    </row>
    <row r="16" spans="1:2">
      <c r="A16" s="36" t="e">
        <f>SUBSTITUTE("RRR_"&amp;#REF!," ","_")</f>
        <v>#REF!</v>
      </c>
      <c r="B16" t="e">
        <f>#REF!</f>
        <v>#REF!</v>
      </c>
    </row>
    <row r="17" spans="1:2">
      <c r="A17" s="36" t="e">
        <f>SUBSTITUTE("RRR_"&amp;#REF!," ","_")</f>
        <v>#REF!</v>
      </c>
      <c r="B17" t="e">
        <f>#REF!</f>
        <v>#REF!</v>
      </c>
    </row>
    <row r="18" spans="1:2">
      <c r="A18" s="36" t="e">
        <f>SUBSTITUTE("RRR_"&amp;#REF!," ","_")</f>
        <v>#REF!</v>
      </c>
      <c r="B18" t="e">
        <f>#REF!</f>
        <v>#REF!</v>
      </c>
    </row>
    <row r="19" spans="1:2">
      <c r="A19" s="36" t="e">
        <f>SUBSTITUTE("RRR_"&amp;#REF!," ","_")</f>
        <v>#REF!</v>
      </c>
      <c r="B19" t="e">
        <f>#REF!</f>
        <v>#REF!</v>
      </c>
    </row>
    <row r="20" spans="1:2">
      <c r="A20" s="36" t="e">
        <f>SUBSTITUTE("RRR_"&amp;#REF!," ","_")</f>
        <v>#REF!</v>
      </c>
      <c r="B20" t="e">
        <f>#REF!</f>
        <v>#REF!</v>
      </c>
    </row>
    <row r="21" spans="1:2">
      <c r="A21" s="36" t="e">
        <f>SUBSTITUTE("RRR_"&amp;#REF!," ","_")</f>
        <v>#REF!</v>
      </c>
      <c r="B21" t="e">
        <f>#REF!</f>
        <v>#REF!</v>
      </c>
    </row>
    <row r="22" spans="1:2">
      <c r="A22" s="36" t="e">
        <f>SUBSTITUTE("RRR_"&amp;#REF!," ","_")</f>
        <v>#REF!</v>
      </c>
      <c r="B22" t="e">
        <f>#REF!</f>
        <v>#REF!</v>
      </c>
    </row>
    <row r="23" spans="1:2">
      <c r="A23" s="36" t="e">
        <f>SUBSTITUTE("RRR_"&amp;#REF!," ","_")</f>
        <v>#REF!</v>
      </c>
      <c r="B23" t="e">
        <f>#REF!</f>
        <v>#REF!</v>
      </c>
    </row>
    <row r="24" spans="1:2">
      <c r="A24" s="36" t="e">
        <f>SUBSTITUTE("RRR_"&amp;#REF!," ","_")</f>
        <v>#REF!</v>
      </c>
      <c r="B24" t="e">
        <f>#REF!</f>
        <v>#REF!</v>
      </c>
    </row>
    <row r="25" spans="1:2">
      <c r="A25" s="36" t="s">
        <v>82</v>
      </c>
      <c r="B25" t="e">
        <f>#REF!</f>
        <v>#REF!</v>
      </c>
    </row>
    <row r="26" spans="1:2">
      <c r="A26" s="36" t="s">
        <v>83</v>
      </c>
      <c r="B26" t="e">
        <f>#REF!</f>
        <v>#REF!</v>
      </c>
    </row>
    <row r="27" spans="1:2">
      <c r="A27" s="36" t="s">
        <v>84</v>
      </c>
      <c r="B27" t="e">
        <f>#REF!</f>
        <v>#REF!</v>
      </c>
    </row>
    <row r="28" spans="1:2">
      <c r="A28" s="36" t="s">
        <v>85</v>
      </c>
      <c r="B28" t="e">
        <f>#REF!</f>
        <v>#REF!</v>
      </c>
    </row>
    <row r="29" spans="1:2">
      <c r="A29" s="36" t="s">
        <v>86</v>
      </c>
      <c r="B29" t="e">
        <f>#REF!</f>
        <v>#REF!</v>
      </c>
    </row>
    <row r="30" spans="1:2">
      <c r="A30" s="36" t="s">
        <v>87</v>
      </c>
      <c r="B30" t="e">
        <f>#REF!</f>
        <v>#REF!</v>
      </c>
    </row>
    <row r="31" spans="1:2">
      <c r="A31" s="36" t="s">
        <v>88</v>
      </c>
      <c r="B31" t="e">
        <f>StandardNo1</f>
        <v>#REF!</v>
      </c>
    </row>
    <row r="32" spans="1:2">
      <c r="A32" s="36" t="s">
        <v>89</v>
      </c>
      <c r="B32" t="e">
        <f>StandardNo2</f>
        <v>#REF!</v>
      </c>
    </row>
    <row r="33" spans="1:2">
      <c r="A33" s="36" t="s">
        <v>248</v>
      </c>
      <c r="B33" t="e">
        <f>StandardNo3</f>
        <v>#REF!</v>
      </c>
    </row>
    <row r="34" spans="1:2">
      <c r="A34" s="36" t="s">
        <v>249</v>
      </c>
      <c r="B34" t="e">
        <f>StandardNo4</f>
        <v>#REF!</v>
      </c>
    </row>
    <row r="35" spans="1:2">
      <c r="A35" s="36" t="s">
        <v>250</v>
      </c>
      <c r="B35" t="e">
        <f>StandardNo5</f>
        <v>#REF!</v>
      </c>
    </row>
    <row r="36" spans="1:2">
      <c r="A36" s="36" t="s">
        <v>251</v>
      </c>
      <c r="B36" t="e">
        <f>StandardNo6</f>
        <v>#REF!</v>
      </c>
    </row>
    <row r="37" spans="1:2">
      <c r="A37" s="36" t="s">
        <v>252</v>
      </c>
      <c r="B37" t="e">
        <f>StandardNo7</f>
        <v>#REF!</v>
      </c>
    </row>
    <row r="38" spans="1:2">
      <c r="A38" s="36" t="s">
        <v>253</v>
      </c>
      <c r="B38" t="e">
        <f>StandardNo8</f>
        <v>#REF!</v>
      </c>
    </row>
    <row r="39" spans="1:2">
      <c r="A39" s="36" t="s">
        <v>254</v>
      </c>
      <c r="B39" t="e">
        <f>StandardNo9</f>
        <v>#REF!</v>
      </c>
    </row>
    <row r="40" spans="1:2">
      <c r="A40" s="36" t="s">
        <v>268</v>
      </c>
      <c r="B40" t="e">
        <f>Checklist_Total</f>
        <v>#REF!</v>
      </c>
    </row>
    <row r="41" spans="1:2">
      <c r="A41" s="36" t="s">
        <v>90</v>
      </c>
      <c r="B41" t="e">
        <f>Checklist_ToGo</f>
        <v>#REF!</v>
      </c>
    </row>
    <row r="42" spans="1:2">
      <c r="A42" s="36" t="s">
        <v>267</v>
      </c>
      <c r="B42" t="e">
        <f>Checklist_ToSign</f>
        <v>#REF!</v>
      </c>
    </row>
    <row r="43" spans="1:2">
      <c r="A43" s="36" t="s">
        <v>269</v>
      </c>
      <c r="B43" t="e">
        <f ca="1">INDIRECT(MID(A43,5,100))</f>
        <v>#REF!</v>
      </c>
    </row>
    <row r="44" spans="1:2">
      <c r="A44" s="36" t="s">
        <v>270</v>
      </c>
      <c r="B44" t="e">
        <f ca="1">INDIRECT(MID(A44,5,100))</f>
        <v>#REF!</v>
      </c>
    </row>
    <row r="45" spans="1:2">
      <c r="A45" s="36" t="s">
        <v>271</v>
      </c>
      <c r="B45" t="e">
        <f ca="1">INDIRECT(MID(A45,5,100))</f>
        <v>#REF!</v>
      </c>
    </row>
    <row r="46" spans="1:2">
      <c r="A46" s="36" t="s">
        <v>272</v>
      </c>
      <c r="B46" t="e">
        <f ca="1">INDIRECT(MID(A46,5,100))</f>
        <v>#REF!</v>
      </c>
    </row>
    <row r="47" spans="1:2">
      <c r="A47" s="36" t="s">
        <v>273</v>
      </c>
      <c r="B47" t="e">
        <f ca="1">INDIRECT(MID(A47,5,100))</f>
        <v>#REF!</v>
      </c>
    </row>
    <row r="48" spans="1:2">
      <c r="A48" s="36" t="s">
        <v>91</v>
      </c>
      <c r="B48">
        <f>TotalTimeSpentReviewing</f>
        <v>0</v>
      </c>
    </row>
    <row r="49" spans="1:2">
      <c r="A49" s="36" t="s">
        <v>92</v>
      </c>
      <c r="B49">
        <f>TotalEffortToFix</f>
        <v>0</v>
      </c>
    </row>
    <row r="50" spans="1:2">
      <c r="A50" s="36" t="s">
        <v>93</v>
      </c>
      <c r="B50">
        <f>TotalTimeModerating</f>
        <v>0</v>
      </c>
    </row>
    <row r="51" spans="1:2">
      <c r="A51" s="36" t="e">
        <f>"RRR_Total_"&amp;#REF!</f>
        <v>#REF!</v>
      </c>
      <c r="B51" t="e">
        <f>#REF!</f>
        <v>#REF!</v>
      </c>
    </row>
    <row r="52" spans="1:2">
      <c r="A52" s="36" t="e">
        <f>"RRR_Total_"&amp;#REF!</f>
        <v>#REF!</v>
      </c>
      <c r="B52" t="e">
        <f>#REF!</f>
        <v>#REF!</v>
      </c>
    </row>
    <row r="53" spans="1:2">
      <c r="A53" s="36" t="e">
        <f>"RRR_Total_"&amp;#REF!</f>
        <v>#REF!</v>
      </c>
      <c r="B53" t="e">
        <f>#REF!</f>
        <v>#REF!</v>
      </c>
    </row>
    <row r="54" spans="1:2">
      <c r="A54" s="36" t="e">
        <f>"RRR_Total_"&amp;#REF!</f>
        <v>#REF!</v>
      </c>
      <c r="B54" t="e">
        <f>#REF!</f>
        <v>#REF!</v>
      </c>
    </row>
    <row r="55" spans="1:2">
      <c r="A55" s="36" t="s">
        <v>94</v>
      </c>
      <c r="B55" t="e">
        <f>#REF!</f>
        <v>#REF!</v>
      </c>
    </row>
    <row r="56" spans="1:2">
      <c r="A56" s="36" t="s">
        <v>95</v>
      </c>
      <c r="B56" t="e">
        <f>#REF!</f>
        <v>#REF!</v>
      </c>
    </row>
    <row r="57" spans="1:2">
      <c r="A57" s="36" t="s">
        <v>96</v>
      </c>
      <c r="B57" t="e">
        <f>#REF!</f>
        <v>#REF!</v>
      </c>
    </row>
    <row r="58" spans="1:2">
      <c r="A58" s="36" t="s">
        <v>276</v>
      </c>
      <c r="B58" t="e">
        <f>#REF!</f>
        <v>#REF!</v>
      </c>
    </row>
    <row r="59" spans="1:2">
      <c r="A59" s="36" t="s">
        <v>277</v>
      </c>
      <c r="B59" t="e">
        <f>#REF!</f>
        <v>#REF!</v>
      </c>
    </row>
    <row r="60" spans="1:2">
      <c r="A60" s="36" t="s">
        <v>278</v>
      </c>
      <c r="B60" t="e">
        <f>#REF!</f>
        <v>#REF!</v>
      </c>
    </row>
    <row r="61" spans="1:2">
      <c r="A61" s="36" t="s">
        <v>279</v>
      </c>
      <c r="B61" t="e">
        <f>#REF!</f>
        <v>#REF!</v>
      </c>
    </row>
    <row r="62" spans="1:2">
      <c r="A62" s="36" t="s">
        <v>280</v>
      </c>
      <c r="B62" t="e">
        <f>COUNTIF(#REF!,"Inconsistent")</f>
        <v>#REF!</v>
      </c>
    </row>
    <row r="63" spans="1:2">
      <c r="A63" s="36" t="s">
        <v>281</v>
      </c>
      <c r="B63">
        <f>COUNTA(#REF!)</f>
        <v>1</v>
      </c>
    </row>
    <row r="64" spans="1:2">
      <c r="A64" s="36" t="s">
        <v>98</v>
      </c>
      <c r="B64">
        <f>CommentsRaised</f>
        <v>128</v>
      </c>
    </row>
    <row r="65" spans="1:3">
      <c r="A65" s="36" t="s">
        <v>99</v>
      </c>
      <c r="B65" t="e">
        <f>CommentsToAction</f>
        <v>#REF!</v>
      </c>
    </row>
    <row r="66" spans="1:3">
      <c r="A66" s="36" t="s">
        <v>100</v>
      </c>
      <c r="B66" t="e">
        <f>CommentsToSignOff</f>
        <v>#REF!</v>
      </c>
    </row>
    <row r="67" spans="1:3">
      <c r="A67" s="36" t="s">
        <v>101</v>
      </c>
      <c r="B67" t="e">
        <f>Final_Revision</f>
        <v>#REF!</v>
      </c>
    </row>
    <row r="68" spans="1:3">
      <c r="A68" s="36" t="str">
        <f>"RRR_Total_"&amp;C68&amp;"_Op"</f>
        <v>RRR_Total_Accepted_Op</v>
      </c>
      <c r="B68" t="e">
        <f>COUNTIFS(DevCommentStatuses,C68,DevCommentCategory, "01 - Mandatory (Op)")</f>
        <v>#REF!</v>
      </c>
      <c r="C68" t="s">
        <v>12</v>
      </c>
    </row>
    <row r="69" spans="1:3">
      <c r="A69" s="36" t="str">
        <f>"RRR_Total_"&amp;C69&amp;"_Op"</f>
        <v>RRR_Total_Rejected_Op</v>
      </c>
      <c r="B69" t="e">
        <f>COUNTIFS(DevCommentStatuses,C69,DevCommentCategory, "01 - Mandatory (Op)")</f>
        <v>#REF!</v>
      </c>
      <c r="C69" t="s">
        <v>11</v>
      </c>
    </row>
    <row r="70" spans="1:3">
      <c r="A70" s="36" t="str">
        <f>"RRR_Total_"&amp;C70&amp;"_Op"</f>
        <v>RRR_Total_Duplicated_Op</v>
      </c>
      <c r="B70" t="e">
        <f>COUNTIFS(DevCommentStatuses,C70,DevCommentCategory, "01 - Mandatory (Op)")</f>
        <v>#REF!</v>
      </c>
      <c r="C70" t="s">
        <v>214</v>
      </c>
    </row>
    <row r="71" spans="1:3">
      <c r="A71" s="36" t="str">
        <f>"RRR_Total_"&amp;C71&amp;"_Op"</f>
        <v>RRR_Total_Noted_Op</v>
      </c>
      <c r="B71" t="e">
        <f>COUNTIFS(DevCommentStatuses,C71,DevCommentCategory, "01 - Mandatory (Op)")</f>
        <v>#REF!</v>
      </c>
      <c r="C71" t="s">
        <v>10</v>
      </c>
    </row>
    <row r="72" spans="1:3">
      <c r="A72" s="36"/>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19</vt:i4>
      </vt:variant>
    </vt:vector>
  </HeadingPairs>
  <TitlesOfParts>
    <vt:vector size="23" baseType="lpstr">
      <vt:lpstr>Comments</vt:lpstr>
      <vt:lpstr>Checklists</vt:lpstr>
      <vt:lpstr>Metrics</vt:lpstr>
      <vt:lpstr>CustomProperties</vt:lpstr>
      <vt:lpstr>CommentsRaised</vt:lpstr>
      <vt:lpstr>CommentsToAction</vt:lpstr>
      <vt:lpstr>CommentsToSignOff</vt:lpstr>
      <vt:lpstr>DevAuthorInitials</vt:lpstr>
      <vt:lpstr>DevCommentEffortToFix</vt:lpstr>
      <vt:lpstr>DevCommentInitials</vt:lpstr>
      <vt:lpstr>DevCommentStatuses</vt:lpstr>
      <vt:lpstr>DevModeratorInitials</vt:lpstr>
      <vt:lpstr>ItemSize</vt:lpstr>
      <vt:lpstr>Comments!Print_Titles</vt:lpstr>
      <vt:lpstr>RRR_DevAuthorInitials</vt:lpstr>
      <vt:lpstr>RRR_DevCommentCategory</vt:lpstr>
      <vt:lpstr>RRR_DevCommentInitials</vt:lpstr>
      <vt:lpstr>RRR_DevCommentStatuses</vt:lpstr>
      <vt:lpstr>RRR_DevModeratorInitials</vt:lpstr>
      <vt:lpstr>Standards</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andrew.hawthorn</cp:lastModifiedBy>
  <cp:lastPrinted>2013-02-21T10:07:59Z</cp:lastPrinted>
  <dcterms:created xsi:type="dcterms:W3CDTF">2006-01-10T12:16:43Z</dcterms:created>
  <dcterms:modified xsi:type="dcterms:W3CDTF">2013-02-22T14:00:10Z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#REF!</vt:lpwstr>
  </property>
  <property fmtid="{D5CDD505-2E9C-101B-9397-08002B2CF9AE}" pid="3" name="DocTitle">
    <vt:lpwstr>#REF!</vt:lpwstr>
  </property>
  <property fmtid="{D5CDD505-2E9C-101B-9397-08002B2CF9AE}" pid="4" name="DocRef">
    <vt:lpwstr>#REF!</vt:lpwstr>
  </property>
  <property fmtid="{D5CDD505-2E9C-101B-9397-08002B2CF9AE}" pid="5" name="DocIssue">
    <vt:lpwstr>#REF!</vt:lpwstr>
  </property>
  <property fmtid="{D5CDD505-2E9C-101B-9397-08002B2CF9AE}" pid="6" name="DocDate">
    <vt:lpwstr>#REF!</vt:lpwstr>
  </property>
  <property fmtid="{D5CDD505-2E9C-101B-9397-08002B2CF9AE}" pid="7" name="DocAuthor">
    <vt:lpwstr>#REF!</vt:lpwstr>
  </property>
  <property fmtid="{D5CDD505-2E9C-101B-9397-08002B2CF9AE}" pid="8" name="DocApprover">
    <vt:lpwstr>#REF!</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#REF!</vt:lpwstr>
  </property>
  <property fmtid="{D5CDD505-2E9C-101B-9397-08002B2CF9AE}" pid="26" name="RRR_Reviewer2">
    <vt:lpwstr>#REF!</vt:lpwstr>
  </property>
  <property fmtid="{D5CDD505-2E9C-101B-9397-08002B2CF9AE}" pid="27" name="RRR_Reviewer3">
    <vt:lpwstr>#REF!</vt:lpwstr>
  </property>
  <property fmtid="{D5CDD505-2E9C-101B-9397-08002B2CF9AE}" pid="28" name="RRR_Reviewer4">
    <vt:lpwstr>#REF!</vt:lpwstr>
  </property>
  <property fmtid="{D5CDD505-2E9C-101B-9397-08002B2CF9AE}" pid="29" name="RRR_Reviewer5">
    <vt:lpwstr>#REF!</vt:lpwstr>
  </property>
  <property fmtid="{D5CDD505-2E9C-101B-9397-08002B2CF9AE}" pid="30" name="RRR_Reviewer6">
    <vt:lpwstr>#REF!</vt:lpwstr>
  </property>
  <property fmtid="{D5CDD505-2E9C-101B-9397-08002B2CF9AE}" pid="31" name="RRR_StandardNo1">
    <vt:lpwstr>#REF!</vt:lpwstr>
  </property>
  <property fmtid="{D5CDD505-2E9C-101B-9397-08002B2CF9AE}" pid="32" name="RRR_StandardNo2">
    <vt:lpwstr>#REF!</vt:lpwstr>
  </property>
  <property fmtid="{D5CDD505-2E9C-101B-9397-08002B2CF9AE}" pid="33" name="RRR_Checklist_Count">
    <vt:lpwstr>0</vt:lpwstr>
  </property>
  <property fmtid="{D5CDD505-2E9C-101B-9397-08002B2CF9AE}" pid="34" name="RRR_Checklist_ToGo">
    <vt:lpwstr>#REF!</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23</vt:lpwstr>
  </property>
  <property fmtid="{D5CDD505-2E9C-101B-9397-08002B2CF9AE}" pid="40" name="RRR_Total_Duplicate">
    <vt:lpwstr>0</vt:lpwstr>
  </property>
  <property fmtid="{D5CDD505-2E9C-101B-9397-08002B2CF9AE}" pid="41" name="RRR_Total_Noted">
    <vt:lpwstr>15</vt:lpwstr>
  </property>
  <property fmtid="{D5CDD505-2E9C-101B-9397-08002B2CF9AE}" pid="42" name="RRR_Rvw_Outcome">
    <vt:lpwstr>#REF!</vt:lpwstr>
  </property>
  <property fmtid="{D5CDD505-2E9C-101B-9397-08002B2CF9AE}" pid="43" name="RRR_ApprovedBy">
    <vt:lpwstr>#REF!</vt:lpwstr>
  </property>
  <property fmtid="{D5CDD505-2E9C-101B-9397-08002B2CF9AE}" pid="44" name="RRR_ApprovedOn">
    <vt:lpwstr>#REF!</vt:lpwstr>
  </property>
  <property fmtid="{D5CDD505-2E9C-101B-9397-08002B2CF9AE}" pid="45" name="RRR_Item_Issue/Revision">
    <vt:lpwstr>&lt;Issue n.n&gt; or &lt;CM System revision number&gt;</vt:lpwstr>
  </property>
  <property fmtid="{D5CDD505-2E9C-101B-9397-08002B2CF9AE}" pid="46" name="RRR_CommentsRaised">
    <vt:lpwstr>128</vt:lpwstr>
  </property>
  <property fmtid="{D5CDD505-2E9C-101B-9397-08002B2CF9AE}" pid="47" name="RRR_CommentsToAction">
    <vt:lpwstr>#REF!</vt:lpwstr>
  </property>
  <property fmtid="{D5CDD505-2E9C-101B-9397-08002B2CF9AE}" pid="48" name="RRR_CommentsToSignOff">
    <vt:lpwstr>#REF!</vt:lpwstr>
  </property>
  <property fmtid="{D5CDD505-2E9C-101B-9397-08002B2CF9AE}" pid="49" name="RRR_Item_Rev_After_Moderation">
    <vt:lpwstr>#REF!</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#REF!</vt:lpwstr>
  </property>
  <property fmtid="{D5CDD505-2E9C-101B-9397-08002B2CF9AE}" pid="61" name="RRR_Total_Rejected_Op">
    <vt:lpwstr>#REF!</vt:lpwstr>
  </property>
  <property fmtid="{D5CDD505-2E9C-101B-9397-08002B2CF9AE}" pid="62" name="RRR_Total_Duplicated_Op">
    <vt:lpwstr>#REF!</vt:lpwstr>
  </property>
  <property fmtid="{D5CDD505-2E9C-101B-9397-08002B2CF9AE}" pid="63" name="RRR_Total_Noted_Op">
    <vt:lpwstr>#REF!</vt:lpwstr>
  </property>
  <property fmtid="{D5CDD505-2E9C-101B-9397-08002B2CF9AE}" pid="64" name="RRR_Total_Accepted (Mandatory Op)">
    <vt:lpwstr>0</vt:lpwstr>
  </property>
  <property fmtid="{D5CDD505-2E9C-101B-9397-08002B2CF9AE}" pid="65" name="RRR_StandardNo3">
    <vt:lpwstr>#REF!</vt:lpwstr>
  </property>
  <property fmtid="{D5CDD505-2E9C-101B-9397-08002B2CF9AE}" pid="66" name="RRR_StandardNo4">
    <vt:lpwstr>#REF!</vt:lpwstr>
  </property>
  <property fmtid="{D5CDD505-2E9C-101B-9397-08002B2CF9AE}" pid="67" name="RRR_StandardNo5">
    <vt:lpwstr>#REF!</vt:lpwstr>
  </property>
  <property fmtid="{D5CDD505-2E9C-101B-9397-08002B2CF9AE}" pid="68" name="RRR_StandardNo6">
    <vt:lpwstr>#REF!</vt:lpwstr>
  </property>
  <property fmtid="{D5CDD505-2E9C-101B-9397-08002B2CF9AE}" pid="69" name="RRR_StandardNo7">
    <vt:lpwstr>#REF!</vt:lpwstr>
  </property>
  <property fmtid="{D5CDD505-2E9C-101B-9397-08002B2CF9AE}" pid="70" name="RRR_StandardNo8">
    <vt:lpwstr>#REF!</vt:lpwstr>
  </property>
  <property fmtid="{D5CDD505-2E9C-101B-9397-08002B2CF9AE}" pid="71" name="RRR_StandardNo9">
    <vt:lpwstr>#REF!</vt:lpwstr>
  </property>
  <property fmtid="{D5CDD505-2E9C-101B-9397-08002B2CF9AE}" pid="72" name="RRR_Checklist_Total">
    <vt:lpwstr>#REF!</vt:lpwstr>
  </property>
  <property fmtid="{D5CDD505-2E9C-101B-9397-08002B2CF9AE}" pid="73" name="RRR_Checklist_ToSign">
    <vt:lpwstr>#REF!</vt:lpwstr>
  </property>
  <property fmtid="{D5CDD505-2E9C-101B-9397-08002B2CF9AE}" pid="74" name="RRR_Checklist_TotalPass">
    <vt:lpwstr>#REF!</vt:lpwstr>
  </property>
  <property fmtid="{D5CDD505-2E9C-101B-9397-08002B2CF9AE}" pid="75" name="RRR_Checklist_FailSafety">
    <vt:lpwstr>#REF!</vt:lpwstr>
  </property>
  <property fmtid="{D5CDD505-2E9C-101B-9397-08002B2CF9AE}" pid="76" name="RRR_Checklist_FailTechnical">
    <vt:lpwstr>#REF!</vt:lpwstr>
  </property>
  <property fmtid="{D5CDD505-2E9C-101B-9397-08002B2CF9AE}" pid="77" name="RRR_Checklist_FailStandards">
    <vt:lpwstr>#REF!</vt:lpwstr>
  </property>
  <property fmtid="{D5CDD505-2E9C-101B-9397-08002B2CF9AE}" pid="78" name="RRR_Checklist_FailRecommended">
    <vt:lpwstr>#REF!</vt:lpwstr>
  </property>
  <property fmtid="{D5CDD505-2E9C-101B-9397-08002B2CF9AE}" pid="79" name="RRR_SafetyApprovedBy">
    <vt:lpwstr>#REF!</vt:lpwstr>
  </property>
  <property fmtid="{D5CDD505-2E9C-101B-9397-08002B2CF9AE}" pid="80" name="RRR_SafetyApprovedOn">
    <vt:lpwstr>#REF!</vt:lpwstr>
  </property>
  <property fmtid="{D5CDD505-2E9C-101B-9397-08002B2CF9AE}" pid="81" name="RRR_TechnicalApprovedBy">
    <vt:lpwstr>#REF!</vt:lpwstr>
  </property>
  <property fmtid="{D5CDD505-2E9C-101B-9397-08002B2CF9AE}" pid="82" name="RRR_TechnicalApprovedOn">
    <vt:lpwstr>#REF!</vt:lpwstr>
  </property>
  <property fmtid="{D5CDD505-2E9C-101B-9397-08002B2CF9AE}" pid="83" name="RRR_Inconsistencies">
    <vt:lpwstr>#REF!</vt:lpwstr>
  </property>
  <property fmtid="{D5CDD505-2E9C-101B-9397-08002B2CF9AE}" pid="84" name="RRR_InconsistenciesJustified">
    <vt:lpwstr>1</vt:lpwstr>
  </property>
  <property fmtid="{D5CDD505-2E9C-101B-9397-08002B2CF9AE}" pid="85" name="RRR_Total_Accepted  (Op)">
    <vt:lpwstr>#REF!</vt:lpwstr>
  </property>
  <property fmtid="{D5CDD505-2E9C-101B-9397-08002B2CF9AE}" pid="86" name="#REF!">
    <vt:lpwstr>#REF!</vt:lpwstr>
  </property>
</Properties>
</file>