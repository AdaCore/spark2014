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bookViews>
    <workbookView xWindow="-15" yWindow="-15" windowWidth="13620" windowHeight="16095" tabRatio="648" firstSheet="2" activeTab="3"/>
  </bookViews>
  <sheets>
    <sheet name="Usage" sheetId="16" r:id="rId1"/>
    <sheet name="Calling Notice" sheetId="17" r:id="rId2"/>
    <sheet name="File List" sheetId="22" r:id="rId3"/>
    <sheet name="Comments" sheetId="23" r:id="rId4"/>
    <sheet name="Checklists" sheetId="25" r:id="rId5"/>
    <sheet name="Metrics" sheetId="20" r:id="rId6"/>
    <sheet name="Summary and Sign Off" sheetId="19" r:id="rId7"/>
    <sheet name="CustomProperties" sheetId="15" state="hidden" r:id="rId8"/>
  </sheets>
  <definedNames>
    <definedName name="_xlnm._FilterDatabase" localSheetId="3" hidden="1">Comments!$A$13:$P$239</definedName>
    <definedName name="Blanks">'Summary and Sign Off'!$A$72:$C$74</definedName>
    <definedName name="CaptureEffortData">'Summary and Sign Off'!$B$76</definedName>
    <definedName name="CaptureSizeMetrics">'Summary and Sign Off'!$B$77</definedName>
    <definedName name="CheckErr">'Summary and Sign Off'!$F$65</definedName>
    <definedName name="Checklist_FailRecommended">#REF!</definedName>
    <definedName name="Checklist_FailSafety">#REF!</definedName>
    <definedName name="Checklist_FailStandards">#REF!</definedName>
    <definedName name="Checklist_FailTechnical">#REF!</definedName>
    <definedName name="Checklist_Items">#REF!</definedName>
    <definedName name="Checklist_ToGo">#REF!</definedName>
    <definedName name="Checklist_ToSign">#REF!</definedName>
    <definedName name="Checklist_Total">#REF!</definedName>
    <definedName name="Checklist_TotalPass">#REF!</definedName>
    <definedName name="ChecklistStart">#REF!</definedName>
    <definedName name="CheckOK">'Summary and Sign Off'!$F$63</definedName>
    <definedName name="CodeFileListUsed">'Calling Notice'!$B$13</definedName>
    <definedName name="CommentsRaised">Comments!$F$12</definedName>
    <definedName name="CommentsToAction">Comments!$K$12</definedName>
    <definedName name="CommentsToSignOff">Comments!$M$12</definedName>
    <definedName name="DevAuthorInitials">Comments!$H$14:$H$239</definedName>
    <definedName name="DevCommentCategory">Comments!#REF!</definedName>
    <definedName name="DevCommentEffortToFix">Comments!A1</definedName>
    <definedName name="DevCommentEffortToModerate">Comments!#REF!</definedName>
    <definedName name="DevCommentInitials">Comments!$B$14:$B$239</definedName>
    <definedName name="DevCommentStatuses">Comments!$J$14:$J$239</definedName>
    <definedName name="DevModeratorInitials">Comments!$L$14:$L$239</definedName>
    <definedName name="DocApprover">#REF!</definedName>
    <definedName name="DocAuthor">#REF!</definedName>
    <definedName name="DocConfidentiality">#REF!</definedName>
    <definedName name="DocDate">#REF!</definedName>
    <definedName name="DocIssue">#REF!</definedName>
    <definedName name="DocRef">#REF!</definedName>
    <definedName name="DocSet">#REF!</definedName>
    <definedName name="DocStatus">#REF!</definedName>
    <definedName name="DocTitle">#REF!</definedName>
    <definedName name="Final_Revision">'Summary and Sign Off'!$B$28</definedName>
    <definedName name="ItemSize">Metrics!$B$6</definedName>
    <definedName name="_xlnm.Print_Area" localSheetId="1">'Calling Notice'!$A$1:$B$52</definedName>
    <definedName name="_xlnm.Print_Area" localSheetId="6">'Summary and Sign Off'!$A$1:$D$38</definedName>
    <definedName name="_xlnm.Print_Titles" localSheetId="3">Comments!$13:$13</definedName>
    <definedName name="RRR_DevAuthorInitials">CustomProperties!$B$70</definedName>
    <definedName name="RRR_DevCommentCategory">CustomProperties!$B$69</definedName>
    <definedName name="RRR_DevCommentInitials">CustomProperties!$B$68</definedName>
    <definedName name="RRR_DevCommentStatuses">CustomProperties!$B$71</definedName>
    <definedName name="RRR_DevModeratorInitials">CustomProperties!$B$72</definedName>
    <definedName name="StandardNo1">'Calling Notice'!$B$34</definedName>
    <definedName name="StandardNo2">'Calling Notice'!$B$35</definedName>
    <definedName name="StandardNo3">'Calling Notice'!$B$36</definedName>
    <definedName name="StandardNo4">'Calling Notice'!$B$37</definedName>
    <definedName name="StandardNo5">'Calling Notice'!$B$38</definedName>
    <definedName name="StandardNo6">'Calling Notice'!$B$39</definedName>
    <definedName name="StandardNo7">'Calling Notice'!$B$40</definedName>
    <definedName name="StandardNo8">'Calling Notice'!$B$41</definedName>
    <definedName name="StandardNo9">'Calling Notice'!$B$42</definedName>
    <definedName name="Standards">Checklists!$B$1:$Q$1</definedName>
    <definedName name="StatusConsistent">'Summary and Sign Off'!$B$57</definedName>
    <definedName name="StatusInconsistent">'Summary and Sign Off'!$B$58</definedName>
    <definedName name="TotalEffortToFix">Metrics!$C$28</definedName>
    <definedName name="TotalTimeModerating">Metrics!$C$42</definedName>
    <definedName name="TotalTimeSpentReviewing">Metrics!$C$10</definedName>
    <definedName name="Z_745ADDF4_F7DF_4086_807E_540752E7B485_.wvu.Cols" localSheetId="3" hidden="1">Comments!$G:$G,Comments!#REF!</definedName>
    <definedName name="Z_745ADDF4_F7DF_4086_807E_540752E7B485_.wvu.PrintTitles" localSheetId="3" hidden="1">Comments!$13:$13</definedName>
    <definedName name="Z_BE287C18_2555_4F9D_9444_78E80943430A_.wvu.Cols" localSheetId="3" hidden="1">Comments!$G:$G,Comments!#REF!</definedName>
    <definedName name="Z_BE287C18_2555_4F9D_9444_78E80943430A_.wvu.PrintTitles" localSheetId="3" hidden="1">Comments!$13:$13</definedName>
  </definedNames>
  <calcPr calcId="125725"/>
  <customWorkbookViews>
    <customWorkbookView name="c - Personal View" guid="{BE287C18-2555-4F9D-9444-78E80943430A}" mergeInterval="0" personalView="1" maximized="1" xWindow="1" yWindow="1" windowWidth="1020" windowHeight="547" tabRatio="906" activeSheetId="1"/>
    <customWorkbookView name="thomas.wilson - Personal View" guid="{745ADDF4-F7DF-4086-807E-540752E7B485}" mergeInterval="0" personalView="1" maximized="1" xWindow="1" yWindow="1" windowWidth="1020" windowHeight="547" tabRatio="906" activeSheetId="1"/>
  </customWorkbookViews>
</workbook>
</file>

<file path=xl/calcChain.xml><?xml version="1.0" encoding="utf-8"?>
<calcChain xmlns="http://schemas.openxmlformats.org/spreadsheetml/2006/main">
  <c r="C50" i="17"/>
  <c r="B63" i="15"/>
  <c r="B61"/>
  <c r="B60"/>
  <c r="B59"/>
  <c r="B58"/>
  <c r="B38"/>
  <c r="B37"/>
  <c r="B36"/>
  <c r="B35"/>
  <c r="B34"/>
  <c r="B33"/>
  <c r="B39"/>
  <c r="B6" i="19"/>
  <c r="B7" s="1"/>
  <c r="C21" i="17"/>
  <c r="C22"/>
  <c r="A69" i="15"/>
  <c r="A70"/>
  <c r="A71"/>
  <c r="A68"/>
  <c r="B69"/>
  <c r="B70"/>
  <c r="B71"/>
  <c r="B68"/>
  <c r="B67"/>
  <c r="B2"/>
  <c r="B3"/>
  <c r="B4"/>
  <c r="B5"/>
  <c r="B6"/>
  <c r="B7"/>
  <c r="B8"/>
  <c r="A9"/>
  <c r="B9"/>
  <c r="A10"/>
  <c r="B10"/>
  <c r="A11"/>
  <c r="B11"/>
  <c r="A12"/>
  <c r="B12"/>
  <c r="A13"/>
  <c r="B13"/>
  <c r="A14"/>
  <c r="B14"/>
  <c r="A15"/>
  <c r="B15"/>
  <c r="A16"/>
  <c r="B16"/>
  <c r="A17"/>
  <c r="B17"/>
  <c r="A18"/>
  <c r="B18"/>
  <c r="A19"/>
  <c r="B19"/>
  <c r="A20"/>
  <c r="B20"/>
  <c r="A21"/>
  <c r="B21"/>
  <c r="B22"/>
  <c r="A23"/>
  <c r="B23"/>
  <c r="A24"/>
  <c r="B24"/>
  <c r="B25"/>
  <c r="B26"/>
  <c r="B27"/>
  <c r="B28"/>
  <c r="B29"/>
  <c r="B30"/>
  <c r="B31"/>
  <c r="B32"/>
  <c r="A51"/>
  <c r="A52"/>
  <c r="A53"/>
  <c r="A54"/>
  <c r="B55"/>
  <c r="B56"/>
  <c r="B57"/>
  <c r="B3" i="19"/>
  <c r="B5"/>
  <c r="C7" s="1"/>
  <c r="B8"/>
  <c r="B52" i="15" s="1"/>
  <c r="B9" i="19"/>
  <c r="B53" i="15" s="1"/>
  <c r="B10" i="19"/>
  <c r="B54" i="15" s="1"/>
  <c r="E25" i="19"/>
  <c r="E26"/>
  <c r="E28"/>
  <c r="E29"/>
  <c r="E30"/>
  <c r="F63"/>
  <c r="N163" i="23" s="1"/>
  <c r="C11" i="17"/>
  <c r="A2" i="20"/>
  <c r="B2"/>
  <c r="A3"/>
  <c r="B3"/>
  <c r="E3"/>
  <c r="A4"/>
  <c r="B4"/>
  <c r="B6"/>
  <c r="A5"/>
  <c r="B5"/>
  <c r="C10"/>
  <c r="B48" i="15"/>
  <c r="C11" i="20"/>
  <c r="B16" i="19"/>
  <c r="E14" i="20"/>
  <c r="F14"/>
  <c r="G14"/>
  <c r="H14"/>
  <c r="I14"/>
  <c r="J14"/>
  <c r="K14"/>
  <c r="E15"/>
  <c r="F15"/>
  <c r="G15"/>
  <c r="H15"/>
  <c r="I15"/>
  <c r="J15"/>
  <c r="K15"/>
  <c r="E16"/>
  <c r="F16"/>
  <c r="G16"/>
  <c r="H16"/>
  <c r="I16"/>
  <c r="J16"/>
  <c r="K16"/>
  <c r="E17"/>
  <c r="F17"/>
  <c r="G17"/>
  <c r="H17"/>
  <c r="I17"/>
  <c r="J17"/>
  <c r="K17"/>
  <c r="E18"/>
  <c r="F18"/>
  <c r="G18"/>
  <c r="H18"/>
  <c r="I18"/>
  <c r="J18"/>
  <c r="K18"/>
  <c r="E19"/>
  <c r="F19"/>
  <c r="G19"/>
  <c r="H19"/>
  <c r="I19"/>
  <c r="J19"/>
  <c r="K19"/>
  <c r="E20"/>
  <c r="F20"/>
  <c r="G20"/>
  <c r="H20"/>
  <c r="I20"/>
  <c r="J20"/>
  <c r="K20"/>
  <c r="E21"/>
  <c r="F21"/>
  <c r="G21"/>
  <c r="H21"/>
  <c r="I21"/>
  <c r="J21"/>
  <c r="K21"/>
  <c r="E22"/>
  <c r="F22"/>
  <c r="G22"/>
  <c r="H22"/>
  <c r="I22"/>
  <c r="J22"/>
  <c r="K22"/>
  <c r="E23"/>
  <c r="F23"/>
  <c r="G23"/>
  <c r="H23"/>
  <c r="I23"/>
  <c r="J23"/>
  <c r="K23"/>
  <c r="C24"/>
  <c r="F25"/>
  <c r="G25"/>
  <c r="H25"/>
  <c r="I25"/>
  <c r="J25"/>
  <c r="A28"/>
  <c r="C28"/>
  <c r="C29" s="1"/>
  <c r="B17" i="19" s="1"/>
  <c r="D32" i="20"/>
  <c r="E32"/>
  <c r="F32"/>
  <c r="G32"/>
  <c r="H32"/>
  <c r="I32"/>
  <c r="J32"/>
  <c r="K32"/>
  <c r="D33"/>
  <c r="E33"/>
  <c r="F33"/>
  <c r="G33"/>
  <c r="H33"/>
  <c r="I33"/>
  <c r="J33"/>
  <c r="K33"/>
  <c r="D34"/>
  <c r="E34"/>
  <c r="F34"/>
  <c r="G34"/>
  <c r="H34"/>
  <c r="I34"/>
  <c r="J34"/>
  <c r="K34"/>
  <c r="D35"/>
  <c r="E35"/>
  <c r="F35"/>
  <c r="G35"/>
  <c r="H35"/>
  <c r="I35"/>
  <c r="J35"/>
  <c r="K35"/>
  <c r="D36"/>
  <c r="E36"/>
  <c r="F36"/>
  <c r="G36"/>
  <c r="H36"/>
  <c r="I36"/>
  <c r="J36"/>
  <c r="K36"/>
  <c r="F38"/>
  <c r="G38"/>
  <c r="H38"/>
  <c r="I38"/>
  <c r="J38"/>
  <c r="A42"/>
  <c r="C42"/>
  <c r="B50" i="15"/>
  <c r="D46" i="20"/>
  <c r="E46"/>
  <c r="F46"/>
  <c r="G46"/>
  <c r="H46"/>
  <c r="I46"/>
  <c r="J46"/>
  <c r="K46"/>
  <c r="D47"/>
  <c r="E47"/>
  <c r="F47"/>
  <c r="G47"/>
  <c r="H47"/>
  <c r="I47"/>
  <c r="J47"/>
  <c r="K47"/>
  <c r="D48"/>
  <c r="E48"/>
  <c r="F48"/>
  <c r="G48"/>
  <c r="H48"/>
  <c r="I48"/>
  <c r="J48"/>
  <c r="K48"/>
  <c r="D49"/>
  <c r="E49"/>
  <c r="F49"/>
  <c r="G49"/>
  <c r="H49"/>
  <c r="I49"/>
  <c r="J49"/>
  <c r="K49"/>
  <c r="D50"/>
  <c r="E50"/>
  <c r="F50"/>
  <c r="G50"/>
  <c r="H50"/>
  <c r="I50"/>
  <c r="J50"/>
  <c r="K50"/>
  <c r="F52"/>
  <c r="G52"/>
  <c r="H52"/>
  <c r="I52"/>
  <c r="J52"/>
  <c r="N4" i="23"/>
  <c r="N5"/>
  <c r="F12"/>
  <c r="B64" i="15" s="1"/>
  <c r="O14" i="23"/>
  <c r="P14"/>
  <c r="A15"/>
  <c r="A16" s="1"/>
  <c r="A17" s="1"/>
  <c r="A18" s="1"/>
  <c r="A19" s="1"/>
  <c r="A20" s="1"/>
  <c r="A21" s="1"/>
  <c r="A22" s="1"/>
  <c r="A23" s="1"/>
  <c r="A24" s="1"/>
  <c r="A25" s="1"/>
  <c r="A26" s="1"/>
  <c r="A27" s="1"/>
  <c r="A28" s="1"/>
  <c r="A29" s="1"/>
  <c r="A30" s="1"/>
  <c r="A31" s="1"/>
  <c r="A32" s="1"/>
  <c r="A33" s="1"/>
  <c r="A34" s="1"/>
  <c r="A35" s="1"/>
  <c r="A36" s="1"/>
  <c r="A37" s="1"/>
  <c r="A38" s="1"/>
  <c r="A39" s="1"/>
  <c r="A40" s="1"/>
  <c r="A41" s="1"/>
  <c r="A42" s="1"/>
  <c r="A43" s="1"/>
  <c r="A44" s="1"/>
  <c r="A45" s="1"/>
  <c r="A46" s="1"/>
  <c r="A47" s="1"/>
  <c r="A48" s="1"/>
  <c r="A49" s="1"/>
  <c r="A50" s="1"/>
  <c r="A51" s="1"/>
  <c r="A52" s="1"/>
  <c r="A53" s="1"/>
  <c r="A54" s="1"/>
  <c r="A55" s="1"/>
  <c r="A56" s="1"/>
  <c r="A57" s="1"/>
  <c r="A58" s="1"/>
  <c r="A59" s="1"/>
  <c r="A60" s="1"/>
  <c r="A61" s="1"/>
  <c r="A62" s="1"/>
  <c r="A63" s="1"/>
  <c r="A64" s="1"/>
  <c r="A65" s="1"/>
  <c r="A66" s="1"/>
  <c r="A67" s="1"/>
  <c r="A68" s="1"/>
  <c r="A69" s="1"/>
  <c r="A70" s="1"/>
  <c r="A71" s="1"/>
  <c r="A72" s="1"/>
  <c r="A73" s="1"/>
  <c r="A74" s="1"/>
  <c r="A75" s="1"/>
  <c r="A76" s="1"/>
  <c r="A77" s="1"/>
  <c r="A78" s="1"/>
  <c r="A79" s="1"/>
  <c r="A80" s="1"/>
  <c r="A81" s="1"/>
  <c r="A82" s="1"/>
  <c r="A83" s="1"/>
  <c r="A84" s="1"/>
  <c r="A85" s="1"/>
  <c r="A86" s="1"/>
  <c r="A87" s="1"/>
  <c r="A88" s="1"/>
  <c r="A89" s="1"/>
  <c r="A90" s="1"/>
  <c r="A91" s="1"/>
  <c r="A92" s="1"/>
  <c r="A93" s="1"/>
  <c r="A94" s="1"/>
  <c r="A95" s="1"/>
  <c r="A96" s="1"/>
  <c r="A97" s="1"/>
  <c r="A98" s="1"/>
  <c r="A99" s="1"/>
  <c r="A100" s="1"/>
  <c r="A101" s="1"/>
  <c r="A102" s="1"/>
  <c r="A103" s="1"/>
  <c r="A104" s="1"/>
  <c r="A105" s="1"/>
  <c r="A106" s="1"/>
  <c r="A107" s="1"/>
  <c r="A108" s="1"/>
  <c r="A109" s="1"/>
  <c r="A110" s="1"/>
  <c r="A111" s="1"/>
  <c r="A112" s="1"/>
  <c r="A113" s="1"/>
  <c r="A114" s="1"/>
  <c r="A115" s="1"/>
  <c r="A116" s="1"/>
  <c r="A117" s="1"/>
  <c r="A118" s="1"/>
  <c r="A119" s="1"/>
  <c r="A120" s="1"/>
  <c r="A121" s="1"/>
  <c r="A122" s="1"/>
  <c r="A123" s="1"/>
  <c r="A124" s="1"/>
  <c r="A125" s="1"/>
  <c r="A126" s="1"/>
  <c r="A127" s="1"/>
  <c r="A128" s="1"/>
  <c r="A129" s="1"/>
  <c r="A130" s="1"/>
  <c r="A131" s="1"/>
  <c r="A132" s="1"/>
  <c r="A133" s="1"/>
  <c r="A134" s="1"/>
  <c r="A135" s="1"/>
  <c r="A136" s="1"/>
  <c r="A137" s="1"/>
  <c r="A138" s="1"/>
  <c r="A139" s="1"/>
  <c r="A140" s="1"/>
  <c r="A141" s="1"/>
  <c r="A142" s="1"/>
  <c r="A143" s="1"/>
  <c r="A144" s="1"/>
  <c r="A145" s="1"/>
  <c r="A146" s="1"/>
  <c r="A147" s="1"/>
  <c r="A148" s="1"/>
  <c r="A149" s="1"/>
  <c r="A150" s="1"/>
  <c r="A151" s="1"/>
  <c r="A152" s="1"/>
  <c r="A153" s="1"/>
  <c r="A154" s="1"/>
  <c r="A155" s="1"/>
  <c r="A156" s="1"/>
  <c r="A157" s="1"/>
  <c r="A158" s="1"/>
  <c r="A159" s="1"/>
  <c r="A160" s="1"/>
  <c r="A161" s="1"/>
  <c r="A162" s="1"/>
  <c r="A163" s="1"/>
  <c r="A164" s="1"/>
  <c r="A165" s="1"/>
  <c r="A166" s="1"/>
  <c r="A167" s="1"/>
  <c r="A168" s="1"/>
  <c r="A169" s="1"/>
  <c r="A170" s="1"/>
  <c r="A171" s="1"/>
  <c r="A172" s="1"/>
  <c r="A173" s="1"/>
  <c r="A174" s="1"/>
  <c r="A175" s="1"/>
  <c r="A176" s="1"/>
  <c r="A177" s="1"/>
  <c r="A178" s="1"/>
  <c r="A179" s="1"/>
  <c r="A180" s="1"/>
  <c r="A181" s="1"/>
  <c r="A182" s="1"/>
  <c r="A183" s="1"/>
  <c r="A184" s="1"/>
  <c r="A185" s="1"/>
  <c r="A186" s="1"/>
  <c r="A187" s="1"/>
  <c r="A188" s="1"/>
  <c r="A189" s="1"/>
  <c r="A190" s="1"/>
  <c r="A191" s="1"/>
  <c r="A192" s="1"/>
  <c r="A193" s="1"/>
  <c r="A194" s="1"/>
  <c r="A195" s="1"/>
  <c r="A196" s="1"/>
  <c r="A197" s="1"/>
  <c r="A198" s="1"/>
  <c r="A199" s="1"/>
  <c r="A200" s="1"/>
  <c r="A201" s="1"/>
  <c r="A202" s="1"/>
  <c r="A203" s="1"/>
  <c r="A204" s="1"/>
  <c r="A205" s="1"/>
  <c r="A206" s="1"/>
  <c r="A207" s="1"/>
  <c r="A208" s="1"/>
  <c r="A209" s="1"/>
  <c r="A210" s="1"/>
  <c r="A211" s="1"/>
  <c r="A212" s="1"/>
  <c r="A213" s="1"/>
  <c r="A214" s="1"/>
  <c r="A215" s="1"/>
  <c r="A216" s="1"/>
  <c r="A217" s="1"/>
  <c r="A218" s="1"/>
  <c r="A219" s="1"/>
  <c r="A220" s="1"/>
  <c r="A221" s="1"/>
  <c r="A222" s="1"/>
  <c r="A223" s="1"/>
  <c r="A224" s="1"/>
  <c r="A225" s="1"/>
  <c r="A226" s="1"/>
  <c r="A227" s="1"/>
  <c r="A228" s="1"/>
  <c r="A229" s="1"/>
  <c r="A230" s="1"/>
  <c r="A231" s="1"/>
  <c r="A232" s="1"/>
  <c r="A233" s="1"/>
  <c r="A234" s="1"/>
  <c r="A235" s="1"/>
  <c r="A236" s="1"/>
  <c r="A237" s="1"/>
  <c r="A238" s="1"/>
  <c r="O15"/>
  <c r="P15"/>
  <c r="O16"/>
  <c r="P16"/>
  <c r="O17"/>
  <c r="P17"/>
  <c r="O18"/>
  <c r="P18"/>
  <c r="O19"/>
  <c r="P19"/>
  <c r="O20"/>
  <c r="P20"/>
  <c r="O21"/>
  <c r="P21"/>
  <c r="O22"/>
  <c r="P22"/>
  <c r="O23"/>
  <c r="P23"/>
  <c r="O24"/>
  <c r="P24"/>
  <c r="O25"/>
  <c r="P25"/>
  <c r="O26"/>
  <c r="P26"/>
  <c r="O27"/>
  <c r="P27"/>
  <c r="O28"/>
  <c r="P28"/>
  <c r="O29"/>
  <c r="P29"/>
  <c r="O30"/>
  <c r="P30"/>
  <c r="O31"/>
  <c r="P31"/>
  <c r="O32"/>
  <c r="P32"/>
  <c r="O33"/>
  <c r="P33"/>
  <c r="O34"/>
  <c r="P34"/>
  <c r="O35"/>
  <c r="P35"/>
  <c r="O36"/>
  <c r="P36"/>
  <c r="O37"/>
  <c r="P37"/>
  <c r="O38"/>
  <c r="P38"/>
  <c r="O39"/>
  <c r="P39"/>
  <c r="O40"/>
  <c r="P40"/>
  <c r="O41"/>
  <c r="P41"/>
  <c r="O42"/>
  <c r="P42"/>
  <c r="O43"/>
  <c r="P43"/>
  <c r="O44"/>
  <c r="P44"/>
  <c r="O45"/>
  <c r="P45"/>
  <c r="O46"/>
  <c r="P46"/>
  <c r="O47"/>
  <c r="P47"/>
  <c r="O48"/>
  <c r="P48"/>
  <c r="O49"/>
  <c r="P49"/>
  <c r="O50"/>
  <c r="P50"/>
  <c r="O51"/>
  <c r="P51"/>
  <c r="O52"/>
  <c r="P52"/>
  <c r="O53"/>
  <c r="P53"/>
  <c r="O54"/>
  <c r="P54"/>
  <c r="O55"/>
  <c r="P55"/>
  <c r="O56"/>
  <c r="P56"/>
  <c r="O57"/>
  <c r="P57"/>
  <c r="O58"/>
  <c r="P58"/>
  <c r="O59"/>
  <c r="P59"/>
  <c r="O60"/>
  <c r="P60"/>
  <c r="O61"/>
  <c r="P61"/>
  <c r="O62"/>
  <c r="P62"/>
  <c r="O63"/>
  <c r="P63"/>
  <c r="O64"/>
  <c r="P64"/>
  <c r="O65"/>
  <c r="P65"/>
  <c r="O66"/>
  <c r="P66"/>
  <c r="O67"/>
  <c r="P67"/>
  <c r="O68"/>
  <c r="P68"/>
  <c r="O69"/>
  <c r="P69"/>
  <c r="O70"/>
  <c r="P70"/>
  <c r="O71"/>
  <c r="P71"/>
  <c r="O72"/>
  <c r="P72"/>
  <c r="O73"/>
  <c r="P73"/>
  <c r="O74"/>
  <c r="P74"/>
  <c r="O75"/>
  <c r="P75"/>
  <c r="O76"/>
  <c r="P76"/>
  <c r="O77"/>
  <c r="P77"/>
  <c r="O78"/>
  <c r="P78"/>
  <c r="O79"/>
  <c r="P79"/>
  <c r="O80"/>
  <c r="P80"/>
  <c r="O81"/>
  <c r="P81"/>
  <c r="O82"/>
  <c r="P82"/>
  <c r="O83"/>
  <c r="P83"/>
  <c r="O84"/>
  <c r="P84"/>
  <c r="O85"/>
  <c r="P85"/>
  <c r="O86"/>
  <c r="P86"/>
  <c r="O87"/>
  <c r="P87"/>
  <c r="O88"/>
  <c r="P88"/>
  <c r="O89"/>
  <c r="P89"/>
  <c r="O90"/>
  <c r="P90"/>
  <c r="O91"/>
  <c r="P91"/>
  <c r="O92"/>
  <c r="P92"/>
  <c r="O93"/>
  <c r="P93"/>
  <c r="O94"/>
  <c r="P94"/>
  <c r="O95"/>
  <c r="P95"/>
  <c r="O96"/>
  <c r="P96"/>
  <c r="O97"/>
  <c r="P97"/>
  <c r="O98"/>
  <c r="P98"/>
  <c r="O99"/>
  <c r="P99"/>
  <c r="O100"/>
  <c r="P100"/>
  <c r="O101"/>
  <c r="P101"/>
  <c r="O102"/>
  <c r="P102"/>
  <c r="O103"/>
  <c r="P103"/>
  <c r="O104"/>
  <c r="P104"/>
  <c r="O105"/>
  <c r="P105"/>
  <c r="O106"/>
  <c r="P106"/>
  <c r="O107"/>
  <c r="P107"/>
  <c r="O108"/>
  <c r="P108"/>
  <c r="O109"/>
  <c r="P109"/>
  <c r="O110"/>
  <c r="P110"/>
  <c r="O111"/>
  <c r="P111"/>
  <c r="O112"/>
  <c r="P112"/>
  <c r="O113"/>
  <c r="P113"/>
  <c r="O114"/>
  <c r="P114"/>
  <c r="O115"/>
  <c r="P115"/>
  <c r="O116"/>
  <c r="P116"/>
  <c r="O117"/>
  <c r="P117"/>
  <c r="O118"/>
  <c r="P118"/>
  <c r="O119"/>
  <c r="P119"/>
  <c r="O120"/>
  <c r="P120"/>
  <c r="O121"/>
  <c r="P121"/>
  <c r="O122"/>
  <c r="P122"/>
  <c r="O123"/>
  <c r="P123"/>
  <c r="O124"/>
  <c r="P124"/>
  <c r="O125"/>
  <c r="P125"/>
  <c r="O126"/>
  <c r="P126"/>
  <c r="O127"/>
  <c r="P127"/>
  <c r="O128"/>
  <c r="P128"/>
  <c r="O129"/>
  <c r="P129"/>
  <c r="O130"/>
  <c r="P130"/>
  <c r="O131"/>
  <c r="P131"/>
  <c r="O132"/>
  <c r="P132"/>
  <c r="O133"/>
  <c r="P133"/>
  <c r="O134"/>
  <c r="P134"/>
  <c r="O135"/>
  <c r="P135"/>
  <c r="O136"/>
  <c r="P136"/>
  <c r="O137"/>
  <c r="P137"/>
  <c r="O138"/>
  <c r="P138"/>
  <c r="O139"/>
  <c r="P139"/>
  <c r="O140"/>
  <c r="P140"/>
  <c r="O141"/>
  <c r="P141"/>
  <c r="O142"/>
  <c r="P142"/>
  <c r="O143"/>
  <c r="P143"/>
  <c r="O144"/>
  <c r="P144"/>
  <c r="O145"/>
  <c r="P145"/>
  <c r="O146"/>
  <c r="P146"/>
  <c r="O147"/>
  <c r="P147"/>
  <c r="O148"/>
  <c r="P148"/>
  <c r="O149"/>
  <c r="P149"/>
  <c r="O150"/>
  <c r="P150"/>
  <c r="O151"/>
  <c r="P151"/>
  <c r="O152"/>
  <c r="P152"/>
  <c r="O153"/>
  <c r="P153"/>
  <c r="O154"/>
  <c r="P154"/>
  <c r="O155"/>
  <c r="P155"/>
  <c r="O156"/>
  <c r="P156"/>
  <c r="O157"/>
  <c r="P157"/>
  <c r="O158"/>
  <c r="P158"/>
  <c r="O159"/>
  <c r="P159"/>
  <c r="O160"/>
  <c r="P160"/>
  <c r="O161"/>
  <c r="P161"/>
  <c r="O162"/>
  <c r="P162"/>
  <c r="D4" i="22"/>
  <c r="E4"/>
  <c r="D5"/>
  <c r="E5"/>
  <c r="D6"/>
  <c r="E6"/>
  <c r="D7"/>
  <c r="E7"/>
  <c r="D8"/>
  <c r="E8"/>
  <c r="D9"/>
  <c r="E9"/>
  <c r="D10"/>
  <c r="E10"/>
  <c r="D11"/>
  <c r="E11"/>
  <c r="D12"/>
  <c r="E12"/>
  <c r="D13"/>
  <c r="E13"/>
  <c r="D14"/>
  <c r="E14"/>
  <c r="D15"/>
  <c r="E15"/>
  <c r="D16"/>
  <c r="E16"/>
  <c r="D17"/>
  <c r="E17"/>
  <c r="D18"/>
  <c r="E18"/>
  <c r="D19"/>
  <c r="E19"/>
  <c r="D20"/>
  <c r="E20"/>
  <c r="D21"/>
  <c r="E21"/>
  <c r="D22"/>
  <c r="E22"/>
  <c r="D23"/>
  <c r="E23"/>
  <c r="D24"/>
  <c r="E24"/>
  <c r="D25"/>
  <c r="E25"/>
  <c r="D26"/>
  <c r="E26"/>
  <c r="D27"/>
  <c r="E27"/>
  <c r="D28"/>
  <c r="E28"/>
  <c r="D29"/>
  <c r="E29"/>
  <c r="D30"/>
  <c r="E30"/>
  <c r="D31"/>
  <c r="E31"/>
  <c r="D32"/>
  <c r="E32"/>
  <c r="D33"/>
  <c r="E33"/>
  <c r="D34"/>
  <c r="E34"/>
  <c r="D35"/>
  <c r="E35"/>
  <c r="D36"/>
  <c r="E36"/>
  <c r="D37"/>
  <c r="E37"/>
  <c r="D38"/>
  <c r="E38"/>
  <c r="D39"/>
  <c r="E39"/>
  <c r="D40"/>
  <c r="E40"/>
  <c r="D41"/>
  <c r="E41"/>
  <c r="D42"/>
  <c r="E42"/>
  <c r="D43"/>
  <c r="E43"/>
  <c r="D44"/>
  <c r="E44"/>
  <c r="D45"/>
  <c r="E45"/>
  <c r="C3" i="17"/>
  <c r="C4"/>
  <c r="C5"/>
  <c r="C6"/>
  <c r="C7"/>
  <c r="C8"/>
  <c r="C17"/>
  <c r="A19"/>
  <c r="A22" i="15"/>
  <c r="C19" i="17"/>
  <c r="C20"/>
  <c r="C23"/>
  <c r="C24"/>
  <c r="C25"/>
  <c r="C26"/>
  <c r="C27"/>
  <c r="C28"/>
  <c r="C29"/>
  <c r="C30"/>
  <c r="C34"/>
  <c r="C44"/>
  <c r="C45"/>
  <c r="C47"/>
  <c r="C48"/>
  <c r="C43" i="20"/>
  <c r="B18" i="19" s="1"/>
  <c r="B49" i="15"/>
  <c r="C9" i="19"/>
  <c r="C10" i="17"/>
  <c r="C12"/>
  <c r="C9"/>
  <c r="N161" i="23"/>
  <c r="N159"/>
  <c r="N157"/>
  <c r="N155"/>
  <c r="N153"/>
  <c r="N151"/>
  <c r="N149"/>
  <c r="N147"/>
  <c r="N145"/>
  <c r="N143"/>
  <c r="N141"/>
  <c r="N139"/>
  <c r="N137"/>
  <c r="N135"/>
  <c r="N133"/>
  <c r="N131"/>
  <c r="N129"/>
  <c r="N127"/>
  <c r="N125"/>
  <c r="N123"/>
  <c r="N121"/>
  <c r="N119"/>
  <c r="N117"/>
  <c r="N115"/>
  <c r="N113"/>
  <c r="N111"/>
  <c r="N109"/>
  <c r="N107"/>
  <c r="N105"/>
  <c r="N103"/>
  <c r="N101"/>
  <c r="N99"/>
  <c r="N97"/>
  <c r="N95"/>
  <c r="N93"/>
  <c r="N91"/>
  <c r="N89"/>
  <c r="N87"/>
  <c r="N85"/>
  <c r="N83"/>
  <c r="N81"/>
  <c r="N79"/>
  <c r="N77"/>
  <c r="N75"/>
  <c r="N73"/>
  <c r="N71"/>
  <c r="N69"/>
  <c r="N67"/>
  <c r="N65"/>
  <c r="N63"/>
  <c r="N61"/>
  <c r="N59"/>
  <c r="N57"/>
  <c r="N55"/>
  <c r="N53"/>
  <c r="N51"/>
  <c r="N49"/>
  <c r="N47"/>
  <c r="N45"/>
  <c r="N43"/>
  <c r="N41"/>
  <c r="N39"/>
  <c r="N37"/>
  <c r="N35"/>
  <c r="N33"/>
  <c r="N31"/>
  <c r="N29"/>
  <c r="N27"/>
  <c r="N25"/>
  <c r="N23"/>
  <c r="N21"/>
  <c r="N19"/>
  <c r="N17"/>
  <c r="N15"/>
  <c r="N14"/>
  <c r="N162"/>
  <c r="N160"/>
  <c r="N158"/>
  <c r="N156"/>
  <c r="N154"/>
  <c r="N152"/>
  <c r="N150"/>
  <c r="N148"/>
  <c r="N146"/>
  <c r="N144"/>
  <c r="N142"/>
  <c r="N140"/>
  <c r="N138"/>
  <c r="N136"/>
  <c r="N134"/>
  <c r="N132"/>
  <c r="N130"/>
  <c r="N128"/>
  <c r="N126"/>
  <c r="N124"/>
  <c r="N122"/>
  <c r="N120"/>
  <c r="N118"/>
  <c r="N116"/>
  <c r="N114"/>
  <c r="N112"/>
  <c r="N110"/>
  <c r="N108"/>
  <c r="N106"/>
  <c r="N104"/>
  <c r="N102"/>
  <c r="N100"/>
  <c r="N98"/>
  <c r="N96"/>
  <c r="N94"/>
  <c r="N92"/>
  <c r="N90"/>
  <c r="N88"/>
  <c r="N86"/>
  <c r="N84"/>
  <c r="N82"/>
  <c r="N80"/>
  <c r="N78"/>
  <c r="N76"/>
  <c r="N74"/>
  <c r="N72"/>
  <c r="N70"/>
  <c r="N68"/>
  <c r="N66"/>
  <c r="N64"/>
  <c r="N62"/>
  <c r="N60"/>
  <c r="N58"/>
  <c r="N56"/>
  <c r="N54"/>
  <c r="N52"/>
  <c r="N50"/>
  <c r="N48"/>
  <c r="N46"/>
  <c r="N44"/>
  <c r="N42"/>
  <c r="N40"/>
  <c r="N38"/>
  <c r="N36"/>
  <c r="N34"/>
  <c r="N32"/>
  <c r="N30"/>
  <c r="N28"/>
  <c r="N26"/>
  <c r="N24"/>
  <c r="N22"/>
  <c r="N20"/>
  <c r="N18"/>
  <c r="P238"/>
  <c r="N238"/>
  <c r="O237"/>
  <c r="P236"/>
  <c r="N236"/>
  <c r="O235"/>
  <c r="P234"/>
  <c r="N234"/>
  <c r="O233"/>
  <c r="P232"/>
  <c r="N232"/>
  <c r="O231"/>
  <c r="P230"/>
  <c r="N230"/>
  <c r="O229"/>
  <c r="P228"/>
  <c r="N228"/>
  <c r="O227"/>
  <c r="P226"/>
  <c r="N226"/>
  <c r="O225"/>
  <c r="P224"/>
  <c r="N224"/>
  <c r="O223"/>
  <c r="P222"/>
  <c r="N222"/>
  <c r="O221"/>
  <c r="P220"/>
  <c r="N220"/>
  <c r="O219"/>
  <c r="P218"/>
  <c r="N218"/>
  <c r="O217"/>
  <c r="P216"/>
  <c r="N216"/>
  <c r="O215"/>
  <c r="P214"/>
  <c r="N214"/>
  <c r="O213"/>
  <c r="P212"/>
  <c r="N212"/>
  <c r="O211"/>
  <c r="P210"/>
  <c r="N210"/>
  <c r="O209"/>
  <c r="P208"/>
  <c r="N208"/>
  <c r="O207"/>
  <c r="P206"/>
  <c r="N206"/>
  <c r="O205"/>
  <c r="P204"/>
  <c r="N204"/>
  <c r="O203"/>
  <c r="P202"/>
  <c r="N202"/>
  <c r="O201"/>
  <c r="P200"/>
  <c r="N200"/>
  <c r="O199"/>
  <c r="P198"/>
  <c r="N198"/>
  <c r="O197"/>
  <c r="P196"/>
  <c r="N196"/>
  <c r="O195"/>
  <c r="P194"/>
  <c r="N194"/>
  <c r="O193"/>
  <c r="P192"/>
  <c r="N192"/>
  <c r="O191"/>
  <c r="P190"/>
  <c r="N190"/>
  <c r="O189"/>
  <c r="P188"/>
  <c r="N188"/>
  <c r="O187"/>
  <c r="P186"/>
  <c r="N186"/>
  <c r="O185"/>
  <c r="P184"/>
  <c r="N184"/>
  <c r="O183"/>
  <c r="P182"/>
  <c r="N182"/>
  <c r="O181"/>
  <c r="P180"/>
  <c r="N180"/>
  <c r="O179"/>
  <c r="P178"/>
  <c r="N178"/>
  <c r="O177"/>
  <c r="P176"/>
  <c r="N176"/>
  <c r="O175"/>
  <c r="P174"/>
  <c r="N174"/>
  <c r="O173"/>
  <c r="P172"/>
  <c r="N172"/>
  <c r="O171"/>
  <c r="P170"/>
  <c r="N170"/>
  <c r="O169"/>
  <c r="P168"/>
  <c r="N168"/>
  <c r="O167"/>
  <c r="P166"/>
  <c r="N166"/>
  <c r="O165"/>
  <c r="P164"/>
  <c r="N164"/>
  <c r="O163"/>
  <c r="D15" i="20"/>
  <c r="D14"/>
  <c r="N16" i="23"/>
  <c r="O238"/>
  <c r="P237"/>
  <c r="N237"/>
  <c r="O236"/>
  <c r="P235"/>
  <c r="N235"/>
  <c r="O234"/>
  <c r="P233"/>
  <c r="N233"/>
  <c r="O232"/>
  <c r="P231"/>
  <c r="N231"/>
  <c r="O230"/>
  <c r="P229"/>
  <c r="N229"/>
  <c r="O228"/>
  <c r="P227"/>
  <c r="N227"/>
  <c r="O226"/>
  <c r="P225"/>
  <c r="N225"/>
  <c r="O224"/>
  <c r="P223"/>
  <c r="N223"/>
  <c r="O222"/>
  <c r="P221"/>
  <c r="N221"/>
  <c r="O220"/>
  <c r="P219"/>
  <c r="N219"/>
  <c r="O218"/>
  <c r="P217"/>
  <c r="N217"/>
  <c r="O216"/>
  <c r="P215"/>
  <c r="N215"/>
  <c r="O214"/>
  <c r="P213"/>
  <c r="N213"/>
  <c r="O212"/>
  <c r="P211"/>
  <c r="N211"/>
  <c r="O210"/>
  <c r="P209"/>
  <c r="N209"/>
  <c r="O208"/>
  <c r="P207"/>
  <c r="N207"/>
  <c r="O206"/>
  <c r="P205"/>
  <c r="N205"/>
  <c r="O204"/>
  <c r="P203"/>
  <c r="N203"/>
  <c r="O202"/>
  <c r="P201"/>
  <c r="N201"/>
  <c r="O200"/>
  <c r="P199"/>
  <c r="N199"/>
  <c r="O198"/>
  <c r="P197"/>
  <c r="N197"/>
  <c r="O196"/>
  <c r="P195"/>
  <c r="N195"/>
  <c r="O194"/>
  <c r="P193"/>
  <c r="N193"/>
  <c r="O192"/>
  <c r="P191"/>
  <c r="N191"/>
  <c r="O190"/>
  <c r="P189"/>
  <c r="N189"/>
  <c r="O188"/>
  <c r="P187"/>
  <c r="N187"/>
  <c r="O186"/>
  <c r="P185"/>
  <c r="N185"/>
  <c r="O184"/>
  <c r="P183"/>
  <c r="N183"/>
  <c r="O182"/>
  <c r="P181"/>
  <c r="N181"/>
  <c r="O180"/>
  <c r="P179"/>
  <c r="N179"/>
  <c r="O178"/>
  <c r="P177"/>
  <c r="N177"/>
  <c r="O176"/>
  <c r="P175"/>
  <c r="N175"/>
  <c r="O174"/>
  <c r="P173"/>
  <c r="N173"/>
  <c r="O172"/>
  <c r="P171"/>
  <c r="N171"/>
  <c r="O170"/>
  <c r="P169"/>
  <c r="N169"/>
  <c r="O168"/>
  <c r="P167"/>
  <c r="N167"/>
  <c r="O166"/>
  <c r="P165"/>
  <c r="N165"/>
  <c r="O164"/>
  <c r="P163"/>
  <c r="B51" i="15"/>
  <c r="E51" i="20"/>
  <c r="E37"/>
  <c r="E24"/>
  <c r="C51"/>
  <c r="C37"/>
  <c r="E35" i="19"/>
  <c r="E36"/>
  <c r="E33"/>
  <c r="E32"/>
  <c r="B41" i="15"/>
  <c r="D23" i="20"/>
  <c r="D22"/>
  <c r="D21"/>
  <c r="D20"/>
  <c r="D19"/>
  <c r="D18"/>
  <c r="D17"/>
  <c r="D16"/>
  <c r="B42" i="15"/>
  <c r="B45"/>
  <c r="B43"/>
  <c r="D47" i="19"/>
  <c r="D53"/>
  <c r="D48"/>
  <c r="B46" i="15"/>
  <c r="D51" i="19"/>
  <c r="B44" i="15"/>
  <c r="D45" i="19"/>
  <c r="D49"/>
  <c r="D44"/>
  <c r="D52"/>
  <c r="H24" i="20" l="1"/>
  <c r="I37"/>
  <c r="G51"/>
  <c r="I24"/>
  <c r="H51"/>
  <c r="F51"/>
  <c r="J51"/>
  <c r="H37"/>
  <c r="F37"/>
  <c r="F24"/>
  <c r="C8" i="19"/>
  <c r="C10"/>
  <c r="J37" i="20"/>
  <c r="I51"/>
  <c r="G24"/>
  <c r="J24"/>
  <c r="G37"/>
  <c r="C6" i="19"/>
  <c r="C11" s="1"/>
  <c r="E11" s="1"/>
  <c r="M12" i="23"/>
  <c r="B66" i="15" s="1"/>
  <c r="K12" i="23"/>
  <c r="F11" s="1"/>
  <c r="B11" i="19"/>
  <c r="B40" i="15"/>
  <c r="B14" i="19"/>
  <c r="D46"/>
  <c r="B47" i="15"/>
  <c r="K51" i="20" l="1"/>
  <c r="K52"/>
  <c r="K37"/>
  <c r="K24"/>
  <c r="K25"/>
  <c r="K38"/>
  <c r="B65" i="15"/>
  <c r="H11" i="23"/>
  <c r="D14" i="19"/>
  <c r="C14"/>
  <c r="E14" s="1"/>
  <c r="D50"/>
  <c r="D54"/>
  <c r="B62" i="15" l="1"/>
</calcChain>
</file>

<file path=xl/comments1.xml><?xml version="1.0" encoding="utf-8"?>
<comments xmlns="http://schemas.openxmlformats.org/spreadsheetml/2006/main">
  <authors>
    <author>c</author>
  </authors>
  <commentList>
    <comment ref="B3" authorId="0">
      <text>
        <r>
          <rPr>
            <b/>
            <sz val="8"/>
            <color indexed="81"/>
            <rFont val="Tahoma"/>
            <family val="2"/>
          </rPr>
          <t>thomas.wilson:</t>
        </r>
        <r>
          <rPr>
            <sz val="8"/>
            <color indexed="81"/>
            <rFont val="Tahoma"/>
            <family val="2"/>
          </rPr>
          <t xml:space="preserve">
This identifies the revision numbers of files that are the input for the review.</t>
        </r>
      </text>
    </comment>
    <comment ref="C3" authorId="0">
      <text>
        <r>
          <rPr>
            <b/>
            <sz val="8"/>
            <color indexed="81"/>
            <rFont val="Tahoma"/>
            <family val="2"/>
          </rPr>
          <t>thomas.wilson:</t>
        </r>
        <r>
          <rPr>
            <sz val="8"/>
            <color indexed="81"/>
            <rFont val="Tahoma"/>
            <family val="2"/>
          </rPr>
          <t xml:space="preserve">
This should be the revision number of the files after rework has been performed. This should identify the final, reviewed changes to this CI.</t>
        </r>
      </text>
    </comment>
  </commentList>
</comments>
</file>

<file path=xl/comments2.xml><?xml version="1.0" encoding="utf-8"?>
<comments xmlns="http://schemas.openxmlformats.org/spreadsheetml/2006/main">
  <authors>
    <author>Chris Martin</author>
  </authors>
  <commentList>
    <comment ref="F13" authorId="0">
      <text>
        <r>
          <rPr>
            <b/>
            <sz val="8"/>
            <color indexed="81"/>
            <rFont val="Tahoma"/>
            <family val="2"/>
          </rPr>
          <t>Chris Martin:</t>
        </r>
        <r>
          <rPr>
            <sz val="8"/>
            <color indexed="81"/>
            <rFont val="Tahoma"/>
            <family val="2"/>
          </rPr>
          <t xml:space="preserve">
(Unhide column to right via "+" at top for additional information column)</t>
        </r>
      </text>
    </comment>
    <comment ref="K13" authorId="0">
      <text>
        <r>
          <rPr>
            <b/>
            <sz val="8"/>
            <color indexed="81"/>
            <rFont val="Tahoma"/>
            <family val="2"/>
          </rPr>
          <t>Chris Martin:</t>
        </r>
        <r>
          <rPr>
            <sz val="8"/>
            <color indexed="81"/>
            <rFont val="Tahoma"/>
            <family val="2"/>
          </rPr>
          <t xml:space="preserve">
As each update is implemented, the Implementer (Author) changes the ‘Carried out?’ field from '-' to ‘Y’ as a means of tracking their own progress.
If no change is required (e.g. the comment is rejected, leave this field as '-')</t>
        </r>
      </text>
    </comment>
  </commentList>
</comments>
</file>

<file path=xl/comments3.xml><?xml version="1.0" encoding="utf-8"?>
<comments xmlns="http://schemas.openxmlformats.org/spreadsheetml/2006/main">
  <authors>
    <author>thomas.wilson</author>
  </authors>
  <commentList>
    <comment ref="B13"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13"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25"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31"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31"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38"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 ref="B45" authorId="0">
      <text>
        <r>
          <rPr>
            <b/>
            <sz val="8"/>
            <color indexed="81"/>
            <rFont val="Tahoma"/>
            <family val="2"/>
          </rPr>
          <t>thomas.wilson:</t>
        </r>
        <r>
          <rPr>
            <sz val="8"/>
            <color indexed="81"/>
            <rFont val="Tahoma"/>
            <family val="2"/>
          </rPr>
          <t xml:space="preserve">
Enter 'N/A' for initials to record moderation time. This avoids double-counting when the moderator was also a reviewer.</t>
        </r>
      </text>
    </comment>
    <comment ref="K45" authorId="0">
      <text>
        <r>
          <rPr>
            <b/>
            <sz val="8"/>
            <color indexed="81"/>
            <rFont val="Tahoma"/>
            <family val="2"/>
          </rPr>
          <t>thomas.wilson:</t>
        </r>
        <r>
          <rPr>
            <sz val="8"/>
            <color indexed="81"/>
            <rFont val="Tahoma"/>
            <family val="2"/>
          </rPr>
          <t xml:space="preserve">
This column checks that all comments have been addressed and all reviewers have metrics.</t>
        </r>
      </text>
    </comment>
    <comment ref="A52" authorId="0">
      <text>
        <r>
          <rPr>
            <b/>
            <sz val="8"/>
            <color indexed="81"/>
            <rFont val="Tahoma"/>
            <family val="2"/>
          </rPr>
          <t>thomas.wilson:</t>
        </r>
        <r>
          <rPr>
            <sz val="8"/>
            <color indexed="81"/>
            <rFont val="Tahoma"/>
            <family val="2"/>
          </rPr>
          <t xml:space="preserve">
This will show up a discrepancy if you don't have review times for all reviewers who raised comments.</t>
        </r>
      </text>
    </comment>
  </commentList>
</comments>
</file>

<file path=xl/comments4.xml><?xml version="1.0" encoding="utf-8"?>
<comments xmlns="http://schemas.openxmlformats.org/spreadsheetml/2006/main">
  <authors>
    <author>thomas.wilson</author>
  </authors>
  <commentList>
    <comment ref="C43" authorId="0">
      <text>
        <r>
          <rPr>
            <b/>
            <sz val="8"/>
            <color indexed="81"/>
            <rFont val="Tahoma"/>
            <family val="2"/>
          </rPr>
          <t>thomas.wilson:</t>
        </r>
        <r>
          <rPr>
            <sz val="8"/>
            <color indexed="81"/>
            <rFont val="Tahoma"/>
            <family val="2"/>
          </rPr>
          <t xml:space="preserve">
This column identifies what entries require further work.</t>
        </r>
      </text>
    </comment>
    <comment ref="D43" authorId="0">
      <text>
        <r>
          <rPr>
            <b/>
            <sz val="8"/>
            <color indexed="81"/>
            <rFont val="Tahoma"/>
            <family val="2"/>
          </rPr>
          <t>thomas.wilson:</t>
        </r>
        <r>
          <rPr>
            <sz val="8"/>
            <color indexed="81"/>
            <rFont val="Tahoma"/>
            <family val="2"/>
          </rPr>
          <t xml:space="preserve">
Indicates whether all the data required on the worksheet for the indicated phase has been provided in a consistent form.</t>
        </r>
      </text>
    </comment>
    <comment ref="E43" authorId="0">
      <text>
        <r>
          <rPr>
            <b/>
            <sz val="8"/>
            <color indexed="81"/>
            <rFont val="Tahoma"/>
            <family val="2"/>
          </rPr>
          <t>thomas.wilson:</t>
        </r>
        <r>
          <rPr>
            <sz val="8"/>
            <color indexed="81"/>
            <rFont val="Tahoma"/>
            <family val="2"/>
          </rPr>
          <t xml:space="preserve">
Any inconsistencies should be justified. Why does the inconsistency not indicate a real problem?</t>
        </r>
      </text>
    </comment>
  </commentList>
</comments>
</file>

<file path=xl/sharedStrings.xml><?xml version="1.0" encoding="utf-8"?>
<sst xmlns="http://schemas.openxmlformats.org/spreadsheetml/2006/main" count="2051" uniqueCount="1056">
  <si>
    <t>DocSet</t>
  </si>
  <si>
    <t>DocTitle</t>
  </si>
  <si>
    <t>Custom Property Name</t>
  </si>
  <si>
    <t>Custom Property Value</t>
  </si>
  <si>
    <t>DocRef</t>
  </si>
  <si>
    <t>DocIssue</t>
  </si>
  <si>
    <t>DocDate</t>
  </si>
  <si>
    <t>DocApprover</t>
  </si>
  <si>
    <t>DocAuthor</t>
  </si>
  <si>
    <t>This template has two features that you might like to hide from the user if it is used to create another template:</t>
  </si>
  <si>
    <t>1) Front Sheet - for RRR templates the Front Sheet is replace by the "Calling Notice" but the information on the front sheet needs to be fixed and put into the headers. Complete the front sheet, use the button to update the headers and footers and then hide this sheet.</t>
  </si>
  <si>
    <t>2) CustomProperties - there is a hidden tab "CustomProperties" that allows you to set up templates that export specific data (using Custom Properties). For example, this generic template exports the front sheet data. In order to export more data, simply add more custom properties to the end of the current list.</t>
  </si>
  <si>
    <t>Please do not turn off macros in this worksheet as the Custom Properties will not work without them.</t>
  </si>
  <si>
    <t>Other Notes/Remarks for Reviewers</t>
  </si>
  <si>
    <t>&lt;Other Document of Interest&gt;</t>
  </si>
  <si>
    <t>Other Documents of Interest</t>
  </si>
  <si>
    <t>&lt;Related Document&gt;</t>
  </si>
  <si>
    <t>Related Documents</t>
  </si>
  <si>
    <t>Standards/Checklists</t>
  </si>
  <si>
    <t>Input for the Review</t>
  </si>
  <si>
    <r>
      <t xml:space="preserve">&lt;Item Approver(s) - </t>
    </r>
    <r>
      <rPr>
        <i/>
        <sz val="8"/>
        <rFont val="Franklin Gothic Book"/>
        <family val="2"/>
      </rPr>
      <t>should always be invited to review even if the Moderator role is delegated</t>
    </r>
    <r>
      <rPr>
        <sz val="10"/>
        <rFont val="Franklin Gothic Book"/>
        <family val="2"/>
      </rPr>
      <t>&gt;</t>
    </r>
  </si>
  <si>
    <t>List of Other Reviewers</t>
  </si>
  <si>
    <t>&lt;Name of Moderator&gt;</t>
  </si>
  <si>
    <t>Moderator</t>
  </si>
  <si>
    <t>Book Review Time To WBS</t>
  </si>
  <si>
    <t>Offline Review (by Individual Reviewers)</t>
  </si>
  <si>
    <t>Type of Review</t>
  </si>
  <si>
    <t>dd MMMM yyyy</t>
  </si>
  <si>
    <t>Date Review Issued</t>
  </si>
  <si>
    <t>Details of Review</t>
  </si>
  <si>
    <t>NO</t>
  </si>
  <si>
    <t>&lt;Item Size Units&gt;</t>
  </si>
  <si>
    <t>Item Size Units</t>
  </si>
  <si>
    <t>&lt;Item Size&gt;</t>
  </si>
  <si>
    <t>&lt;Author&gt;</t>
  </si>
  <si>
    <t>Item Author</t>
  </si>
  <si>
    <t>Item Date</t>
  </si>
  <si>
    <t>&lt;Status&gt;</t>
  </si>
  <si>
    <t>Item Status</t>
  </si>
  <si>
    <t>&lt;S.Pnnnn.nn.n&gt; or &lt;CM System path&gt;</t>
  </si>
  <si>
    <t>Item Reference</t>
  </si>
  <si>
    <t>&lt;Title&gt;</t>
  </si>
  <si>
    <t>Item Title</t>
  </si>
  <si>
    <t>Details of Review Item</t>
  </si>
  <si>
    <t>Insert blank values above this line</t>
  </si>
  <si>
    <t>Date and time</t>
  </si>
  <si>
    <t>Date</t>
  </si>
  <si>
    <t>Blank value</t>
  </si>
  <si>
    <t>Type</t>
  </si>
  <si>
    <t>The following values indicate blank entries that must be completed:</t>
  </si>
  <si>
    <t>Inconsistent data is highlighted with:</t>
  </si>
  <si>
    <t>!</t>
  </si>
  <si>
    <t>Inconsistencies are flagged with the following symbol in the TODO Column:</t>
  </si>
  <si>
    <t>Consistent entries will be flagged with:</t>
  </si>
  <si>
    <r>
      <t xml:space="preserve">This means the work for on a worksheet for a particular phase has </t>
    </r>
    <r>
      <rPr>
        <u/>
        <sz val="10"/>
        <rFont val="Franklin Gothic Book"/>
        <family val="2"/>
      </rPr>
      <t>not</t>
    </r>
    <r>
      <rPr>
        <sz val="10"/>
        <rFont val="Franklin Gothic Book"/>
        <family val="2"/>
      </rPr>
      <t xml:space="preserve"> been consistently completed. You must either complete the form properly or justify the inconsistency. If the cause of the inconsistency is an error in the RRR template then a fault report should be raised on it.</t>
    </r>
  </si>
  <si>
    <t>Inconsistent</t>
  </si>
  <si>
    <t>This means the work for on a worksheet for a particular phase has been consistently completed. This does not necessarily mean that it is complete. For example, you may have entered 2 comments correctly but the RRR cannot tell if there are other comments that you have not entered yet.</t>
  </si>
  <si>
    <t>Consistent</t>
  </si>
  <si>
    <t>Possible statuses are:</t>
  </si>
  <si>
    <t>E</t>
  </si>
  <si>
    <t>Summary and Sign Off</t>
  </si>
  <si>
    <t>Approval</t>
  </si>
  <si>
    <t>Comments</t>
  </si>
  <si>
    <t>Metrics</t>
  </si>
  <si>
    <t>Rework</t>
  </si>
  <si>
    <t>D</t>
  </si>
  <si>
    <t>Review</t>
  </si>
  <si>
    <t>C</t>
  </si>
  <si>
    <t>Calling Notice</t>
  </si>
  <si>
    <t>Issue for review</t>
  </si>
  <si>
    <t>Justification of inconsistencies</t>
  </si>
  <si>
    <t>Status</t>
  </si>
  <si>
    <t>TODO Column</t>
  </si>
  <si>
    <t>Worksheet</t>
  </si>
  <si>
    <t>Phase</t>
  </si>
  <si>
    <t>Completion Status</t>
  </si>
  <si>
    <t>Review Approved On</t>
  </si>
  <si>
    <t>&lt;Name of Approver&gt;</t>
  </si>
  <si>
    <t>Review Approved By</t>
  </si>
  <si>
    <t>Date Rework Required By</t>
  </si>
  <si>
    <t>Review Outcome</t>
  </si>
  <si>
    <t>Sign Off</t>
  </si>
  <si>
    <t>Total effort to fix (if appropriate)</t>
  </si>
  <si>
    <t>Total Time Spent Reviewing</t>
  </si>
  <si>
    <t>TOTAL Comments Dealt With</t>
  </si>
  <si>
    <t>Noted</t>
  </si>
  <si>
    <t>Rejected</t>
  </si>
  <si>
    <t>Accepted</t>
  </si>
  <si>
    <t>Total Comments Received</t>
  </si>
  <si>
    <t>Review Item</t>
  </si>
  <si>
    <t>Summary of Review</t>
  </si>
  <si>
    <t>Totals from comment sheets</t>
  </si>
  <si>
    <t>Totals from this sheet</t>
  </si>
  <si>
    <t>Rework TODO?</t>
  </si>
  <si>
    <t>Comments Noted</t>
  </si>
  <si>
    <t>Comments Rejected</t>
  </si>
  <si>
    <t>Comments Accepted</t>
  </si>
  <si>
    <t>Comments Raised</t>
  </si>
  <si>
    <t>Review Rate (size/time)</t>
  </si>
  <si>
    <t>Time Spent Reviewing (mins)</t>
  </si>
  <si>
    <t>Reviewer Initials</t>
  </si>
  <si>
    <t>Reviewer Name, or Reference to Review Meeting</t>
  </si>
  <si>
    <t>i.e.</t>
  </si>
  <si>
    <t>Total Time Spent Reviewing (mins)</t>
  </si>
  <si>
    <t>Time Spent Reviewing</t>
  </si>
  <si>
    <t>Insert rows above this line so that formulae are not broken.</t>
  </si>
  <si>
    <t>-</t>
  </si>
  <si>
    <t>Approval TODO?</t>
  </si>
  <si>
    <t>Moderator response
(if appropriate)</t>
  </si>
  <si>
    <t>Carried out?</t>
  </si>
  <si>
    <t>Comment Status</t>
  </si>
  <si>
    <t>Author's Response</t>
  </si>
  <si>
    <t>Review TODO?</t>
  </si>
  <si>
    <t>Comment No</t>
  </si>
  <si>
    <t>Review Comments</t>
  </si>
  <si>
    <t>Review Date</t>
  </si>
  <si>
    <t>&lt;CM revision number&gt;</t>
  </si>
  <si>
    <t>&lt;Name&gt;</t>
  </si>
  <si>
    <t>Revision After Review</t>
  </si>
  <si>
    <t>Revision Into Review</t>
  </si>
  <si>
    <t>List of Files for Review (Code)</t>
  </si>
  <si>
    <t>Sign-off by "Checker" (initials)</t>
  </si>
  <si>
    <t>Author's initials</t>
  </si>
  <si>
    <t>Additional information (e.g. data allowing the reviewer to group comments by category)</t>
  </si>
  <si>
    <t xml:space="preserve">Reviewer's Comment </t>
  </si>
  <si>
    <t>Section Reference or Line Number(s)</t>
  </si>
  <si>
    <t>Notes on Use of this form:</t>
  </si>
  <si>
    <t>Reviewer Name(s)</t>
  </si>
  <si>
    <t>Time Spent Reworking (mins)</t>
  </si>
  <si>
    <t>Time Spent Moderating (mins)</t>
  </si>
  <si>
    <t>File Name (URL)</t>
  </si>
  <si>
    <t>Comments Duplicated</t>
  </si>
  <si>
    <t>Duplicate</t>
  </si>
  <si>
    <t>Comment No.</t>
  </si>
  <si>
    <t>Rev's Initials</t>
  </si>
  <si>
    <t>This section reports on the status of completion of this RRR. Self consistency checks are distributed throughout the worksheets. This worksheet presents a summary of the overall status.</t>
  </si>
  <si>
    <t>Is the document under configuration control?</t>
  </si>
  <si>
    <t>Is the configuration information within the headers and footers correct as per the title page?</t>
  </si>
  <si>
    <t>Is the right template used?</t>
  </si>
  <si>
    <t>Standard Name</t>
  </si>
  <si>
    <t>Standard Ref</t>
  </si>
  <si>
    <t>Standard Issue</t>
  </si>
  <si>
    <t>Do we understand the requirements on verification?</t>
  </si>
  <si>
    <t xml:space="preserve">Verify systems process </t>
  </si>
  <si>
    <t>Issue 1.0</t>
  </si>
  <si>
    <t>Have we proposed a verification strategy that meets the requirements?</t>
  </si>
  <si>
    <t>Does the strategy support the Altran-Praxis technical philosophy?</t>
  </si>
  <si>
    <t>This is about ensuring that we understand what resources are needed to implement the strategy, we can plan the implementation and monitor progress and quality.</t>
  </si>
  <si>
    <t>Can we estimate, plan and monitor this strategy?</t>
  </si>
  <si>
    <t>This is about ensuring that the strategy is robust and practically deliverable with the available resources.</t>
  </si>
  <si>
    <t>Eg developers should be involved in fault-fixing and analysing code coverage.</t>
  </si>
  <si>
    <t>Have we considered the following:</t>
  </si>
  <si>
    <t>Can we implement this strategy?</t>
  </si>
  <si>
    <t>Is the verification environment properly understood?</t>
  </si>
  <si>
    <t>Is the strategy complete?</t>
  </si>
  <si>
    <t>Is the front page completed correctly?</t>
  </si>
  <si>
    <t>Item Size (Added)</t>
  </si>
  <si>
    <t>Item Size (Modified)</t>
  </si>
  <si>
    <t>Item Size (Deleted)</t>
  </si>
  <si>
    <t>Checklist</t>
  </si>
  <si>
    <t>Item Size</t>
  </si>
  <si>
    <t>Total Size</t>
  </si>
  <si>
    <t>Time Spent Reworking</t>
  </si>
  <si>
    <t>Time Spent Moderating</t>
  </si>
  <si>
    <t>Author Name</t>
  </si>
  <si>
    <t>Author Initials</t>
  </si>
  <si>
    <t>Fix Rate (no. comments/time)</t>
  </si>
  <si>
    <t>Moderation Rate (no. comments/time)</t>
  </si>
  <si>
    <t>Comments Moderated</t>
  </si>
  <si>
    <t>Comments Actioned</t>
  </si>
  <si>
    <t>Moderator Initials</t>
  </si>
  <si>
    <t>Moderator Name</t>
  </si>
  <si>
    <t>RRR_Reviewer1</t>
  </si>
  <si>
    <t>RRR_Reviewer2</t>
  </si>
  <si>
    <t>RRR_Reviewer3</t>
  </si>
  <si>
    <t>RRR_Reviewer4</t>
  </si>
  <si>
    <t>RRR_Reviewer5</t>
  </si>
  <si>
    <t>RRR_Reviewer6</t>
  </si>
  <si>
    <t>RRR_StandardNo1</t>
  </si>
  <si>
    <t>RRR_StandardNo2</t>
  </si>
  <si>
    <t>RRR_Checklist_ToGo</t>
  </si>
  <si>
    <t>RRR_Review_Effort</t>
  </si>
  <si>
    <t>RRR_Rework_Effort</t>
  </si>
  <si>
    <t>RRR_Moderation_Effort</t>
  </si>
  <si>
    <t>RRR_Rvw_Outcome</t>
  </si>
  <si>
    <t>RRR_ApprovedBy</t>
  </si>
  <si>
    <t>RRR_ApprovedOn</t>
  </si>
  <si>
    <t>R</t>
  </si>
  <si>
    <t>Checklist Items</t>
  </si>
  <si>
    <t>Total</t>
  </si>
  <si>
    <t>Colour codes: Blue =&gt; fields completed by author, Yellow =&gt; fields completed by reviewer, Green =&gt; fields completed by moderator, Grey =&gt; Automatic</t>
  </si>
  <si>
    <t>Item Issue/Revision</t>
  </si>
  <si>
    <t>&lt;Issue n.n&gt; or &lt;CM System revision number&gt;</t>
  </si>
  <si>
    <t>&lt;--- Always add standards inbetween the current standards OR update the "Standards" name definition to include the full range.</t>
  </si>
  <si>
    <t>RRR_CommentsRaised</t>
  </si>
  <si>
    <t>RRR_CommentsToAction</t>
  </si>
  <si>
    <t>RRR_CommentsToSignOff</t>
  </si>
  <si>
    <t xml:space="preserve">&lt;Other Note/Remark&gt;
</t>
  </si>
  <si>
    <t>&lt;nnnn&gt;</t>
  </si>
  <si>
    <t>Change Control Reference</t>
  </si>
  <si>
    <t xml:space="preserve">Capture Effort Data </t>
  </si>
  <si>
    <t>File List</t>
  </si>
  <si>
    <t>RRR_Item_Rev_After_Moderation</t>
  </si>
  <si>
    <t>dd MMMM yyyy hh:mm</t>
  </si>
  <si>
    <t>K</t>
  </si>
  <si>
    <r>
      <t>·</t>
    </r>
    <r>
      <rPr>
        <sz val="7"/>
        <rFont val="Franklin Gothic Book"/>
        <family val="2"/>
      </rPr>
      <t xml:space="preserve">         </t>
    </r>
    <r>
      <rPr>
        <sz val="10"/>
        <rFont val="Franklin Gothic Book"/>
        <family val="2"/>
      </rPr>
      <t>Customer’s needs (including their need to see early functional versions),</t>
    </r>
  </si>
  <si>
    <r>
      <t>·</t>
    </r>
    <r>
      <rPr>
        <sz val="7"/>
        <rFont val="Franklin Gothic Book"/>
        <family val="2"/>
      </rPr>
      <t xml:space="preserve">         </t>
    </r>
    <r>
      <rPr>
        <sz val="10"/>
        <rFont val="Franklin Gothic Book"/>
        <family val="2"/>
      </rPr>
      <t>Customer constraints on verification (tools, reports, models, client V&amp;V strategy),</t>
    </r>
  </si>
  <si>
    <r>
      <t>·</t>
    </r>
    <r>
      <rPr>
        <sz val="7"/>
        <rFont val="Franklin Gothic Book"/>
        <family val="2"/>
      </rPr>
      <t xml:space="preserve">         </t>
    </r>
    <r>
      <rPr>
        <sz val="10"/>
        <rFont val="Franklin Gothic Book"/>
        <family val="2"/>
      </rPr>
      <t>Project’s needs to manage risk and identify errors as early as possible,</t>
    </r>
  </si>
  <si>
    <r>
      <t>·</t>
    </r>
    <r>
      <rPr>
        <sz val="7"/>
        <rFont val="Franklin Gothic Book"/>
        <family val="2"/>
      </rPr>
      <t xml:space="preserve">         </t>
    </r>
    <r>
      <rPr>
        <sz val="10"/>
        <rFont val="Franklin Gothic Book"/>
        <family val="2"/>
      </rPr>
      <t>Fault-fixing/ debugging requirements,</t>
    </r>
  </si>
  <si>
    <r>
      <t>·</t>
    </r>
    <r>
      <rPr>
        <sz val="7"/>
        <rFont val="Franklin Gothic Book"/>
        <family val="2"/>
      </rPr>
      <t xml:space="preserve">         </t>
    </r>
    <r>
      <rPr>
        <sz val="10"/>
        <rFont val="Franklin Gothic Book"/>
        <family val="2"/>
      </rPr>
      <t>Governance (safety argument and security argument),</t>
    </r>
  </si>
  <si>
    <r>
      <t>·</t>
    </r>
    <r>
      <rPr>
        <sz val="7"/>
        <rFont val="Franklin Gothic Book"/>
        <family val="2"/>
      </rPr>
      <t xml:space="preserve">         </t>
    </r>
    <r>
      <rPr>
        <sz val="10"/>
        <rFont val="Franklin Gothic Book"/>
        <family val="2"/>
      </rPr>
      <t>Standards:</t>
    </r>
  </si>
  <si>
    <r>
      <t>o</t>
    </r>
    <r>
      <rPr>
        <sz val="7"/>
        <rFont val="Franklin Gothic Book"/>
        <family val="2"/>
      </rPr>
      <t xml:space="preserve">    </t>
    </r>
    <r>
      <rPr>
        <sz val="10"/>
        <rFont val="Franklin Gothic Book"/>
        <family val="2"/>
      </rPr>
      <t>Coverage,</t>
    </r>
  </si>
  <si>
    <r>
      <t>o</t>
    </r>
    <r>
      <rPr>
        <sz val="7"/>
        <rFont val="Franklin Gothic Book"/>
        <family val="2"/>
      </rPr>
      <t xml:space="preserve">    </t>
    </r>
    <r>
      <rPr>
        <sz val="10"/>
        <rFont val="Franklin Gothic Book"/>
        <family val="2"/>
      </rPr>
      <t>Independence,</t>
    </r>
  </si>
  <si>
    <r>
      <t>o</t>
    </r>
    <r>
      <rPr>
        <sz val="7"/>
        <rFont val="Franklin Gothic Book"/>
        <family val="2"/>
      </rPr>
      <t xml:space="preserve">    </t>
    </r>
    <r>
      <rPr>
        <sz val="10"/>
        <rFont val="Franklin Gothic Book"/>
        <family val="2"/>
      </rPr>
      <t>Tool qualification,</t>
    </r>
  </si>
  <si>
    <r>
      <t>o</t>
    </r>
    <r>
      <rPr>
        <sz val="7"/>
        <rFont val="Franklin Gothic Book"/>
        <family val="2"/>
      </rPr>
      <t xml:space="preserve">    </t>
    </r>
    <r>
      <rPr>
        <sz val="10"/>
        <rFont val="Franklin Gothic Book"/>
        <family val="2"/>
      </rPr>
      <t>Verification activities,</t>
    </r>
  </si>
  <si>
    <r>
      <t>·</t>
    </r>
    <r>
      <rPr>
        <sz val="7"/>
        <rFont val="Franklin Gothic Book"/>
        <family val="2"/>
      </rPr>
      <t xml:space="preserve">         </t>
    </r>
    <r>
      <rPr>
        <sz val="10"/>
        <rFont val="Franklin Gothic Book"/>
        <family val="2"/>
      </rPr>
      <t>Reporting and monitoring,</t>
    </r>
  </si>
  <si>
    <r>
      <t>·</t>
    </r>
    <r>
      <rPr>
        <sz val="7"/>
        <rFont val="Franklin Gothic Book"/>
        <family val="2"/>
      </rPr>
      <t xml:space="preserve">         </t>
    </r>
    <r>
      <rPr>
        <sz val="10"/>
        <rFont val="Franklin Gothic Book"/>
        <family val="2"/>
      </rPr>
      <t>Schedule,</t>
    </r>
  </si>
  <si>
    <r>
      <t>·</t>
    </r>
    <r>
      <rPr>
        <sz val="7"/>
        <rFont val="Franklin Gothic Book"/>
        <family val="2"/>
      </rPr>
      <t xml:space="preserve">         </t>
    </r>
    <r>
      <rPr>
        <sz val="10"/>
        <rFont val="Franklin Gothic Book"/>
        <family val="2"/>
      </rPr>
      <t>Certification, delivery and acceptance,</t>
    </r>
  </si>
  <si>
    <r>
      <t>·</t>
    </r>
    <r>
      <rPr>
        <sz val="7"/>
        <rFont val="Franklin Gothic Book"/>
        <family val="2"/>
      </rPr>
      <t xml:space="preserve">         </t>
    </r>
    <r>
      <rPr>
        <sz val="10"/>
        <rFont val="Franklin Gothic Book"/>
        <family val="2"/>
      </rPr>
      <t>Budget and schedule,</t>
    </r>
  </si>
  <si>
    <r>
      <t>·</t>
    </r>
    <r>
      <rPr>
        <sz val="7"/>
        <rFont val="Franklin Gothic Book"/>
        <family val="2"/>
      </rPr>
      <t xml:space="preserve">         </t>
    </r>
    <r>
      <rPr>
        <sz val="10"/>
        <rFont val="Franklin Gothic Book"/>
        <family val="2"/>
      </rPr>
      <t>Is the scope of verification clear and correct?</t>
    </r>
  </si>
  <si>
    <r>
      <t>o</t>
    </r>
    <r>
      <rPr>
        <sz val="7"/>
        <rFont val="Franklin Gothic Book"/>
        <family val="2"/>
      </rPr>
      <t xml:space="preserve">    </t>
    </r>
    <r>
      <rPr>
        <sz val="10"/>
        <rFont val="Franklin Gothic Book"/>
        <family val="2"/>
      </rPr>
      <t>Have we identified all verification activities?</t>
    </r>
  </si>
  <si>
    <r>
      <t>·</t>
    </r>
    <r>
      <rPr>
        <sz val="7"/>
        <rFont val="Franklin Gothic Book"/>
        <family val="2"/>
      </rPr>
      <t xml:space="preserve">         </t>
    </r>
    <r>
      <rPr>
        <sz val="10"/>
        <rFont val="Franklin Gothic Book"/>
        <family val="2"/>
      </rPr>
      <t>Do we know what we are responsible for?</t>
    </r>
  </si>
  <si>
    <r>
      <t>·</t>
    </r>
    <r>
      <rPr>
        <sz val="7"/>
        <rFont val="Franklin Gothic Book"/>
        <family val="2"/>
      </rPr>
      <t xml:space="preserve">         </t>
    </r>
    <r>
      <rPr>
        <sz val="10"/>
        <rFont val="Franklin Gothic Book"/>
        <family val="2"/>
      </rPr>
      <t>Tool qualification,</t>
    </r>
  </si>
  <si>
    <r>
      <t>·</t>
    </r>
    <r>
      <rPr>
        <sz val="7"/>
        <rFont val="Franklin Gothic Book"/>
        <family val="2"/>
      </rPr>
      <t xml:space="preserve">         </t>
    </r>
    <r>
      <rPr>
        <sz val="10"/>
        <rFont val="Franklin Gothic Book"/>
        <family val="2"/>
      </rPr>
      <t>Independence,</t>
    </r>
  </si>
  <si>
    <r>
      <t>·</t>
    </r>
    <r>
      <rPr>
        <sz val="7"/>
        <rFont val="Franklin Gothic Book"/>
        <family val="2"/>
      </rPr>
      <t xml:space="preserve">         </t>
    </r>
    <r>
      <rPr>
        <sz val="10"/>
        <rFont val="Franklin Gothic Book"/>
        <family val="2"/>
      </rPr>
      <t>Meets customer needs,</t>
    </r>
  </si>
  <si>
    <r>
      <t>·</t>
    </r>
    <r>
      <rPr>
        <sz val="7"/>
        <rFont val="Franklin Gothic Book"/>
        <family val="2"/>
      </rPr>
      <t xml:space="preserve">         </t>
    </r>
    <r>
      <rPr>
        <sz val="10"/>
        <rFont val="Franklin Gothic Book"/>
        <family val="2"/>
      </rPr>
      <t>Meets governance requirements,</t>
    </r>
  </si>
  <si>
    <r>
      <t>·</t>
    </r>
    <r>
      <rPr>
        <sz val="7"/>
        <rFont val="Franklin Gothic Book"/>
        <family val="2"/>
      </rPr>
      <t xml:space="preserve">         </t>
    </r>
    <r>
      <rPr>
        <sz val="10"/>
        <rFont val="Franklin Gothic Book"/>
        <family val="2"/>
      </rPr>
      <t>Deliverable to budget and schedule,</t>
    </r>
  </si>
  <si>
    <r>
      <t>·</t>
    </r>
    <r>
      <rPr>
        <sz val="7"/>
        <rFont val="Franklin Gothic Book"/>
        <family val="2"/>
      </rPr>
      <t xml:space="preserve">         </t>
    </r>
    <r>
      <rPr>
        <sz val="10"/>
        <rFont val="Franklin Gothic Book"/>
        <family val="2"/>
      </rPr>
      <t>Amount of risk and required risk reduction achieved by verification,</t>
    </r>
  </si>
  <si>
    <r>
      <t>·</t>
    </r>
    <r>
      <rPr>
        <sz val="7"/>
        <rFont val="Franklin Gothic Book"/>
        <family val="2"/>
      </rPr>
      <t xml:space="preserve">         </t>
    </r>
    <r>
      <rPr>
        <sz val="10"/>
        <rFont val="Franklin Gothic Book"/>
        <family val="2"/>
      </rPr>
      <t>Does the strategy deliver the correct evidence?</t>
    </r>
  </si>
  <si>
    <r>
      <t>o</t>
    </r>
    <r>
      <rPr>
        <sz val="7"/>
        <rFont val="Franklin Gothic Book"/>
        <family val="2"/>
      </rPr>
      <t xml:space="preserve">    </t>
    </r>
    <r>
      <rPr>
        <sz val="10"/>
        <rFont val="Franklin Gothic Book"/>
        <family val="2"/>
      </rPr>
      <t>Customer,</t>
    </r>
  </si>
  <si>
    <r>
      <t>o</t>
    </r>
    <r>
      <rPr>
        <sz val="7"/>
        <rFont val="Franklin Gothic Book"/>
        <family val="2"/>
      </rPr>
      <t xml:space="preserve">    </t>
    </r>
    <r>
      <rPr>
        <sz val="10"/>
        <rFont val="Franklin Gothic Book"/>
        <family val="2"/>
      </rPr>
      <t>Governance ( eg safety and security),</t>
    </r>
  </si>
  <si>
    <r>
      <t>o</t>
    </r>
    <r>
      <rPr>
        <sz val="7"/>
        <rFont val="Franklin Gothic Book"/>
        <family val="2"/>
      </rPr>
      <t xml:space="preserve">    </t>
    </r>
    <r>
      <rPr>
        <sz val="10"/>
        <rFont val="Franklin Gothic Book"/>
        <family val="2"/>
      </rPr>
      <t>Standards,</t>
    </r>
  </si>
  <si>
    <r>
      <t>·</t>
    </r>
    <r>
      <rPr>
        <sz val="7"/>
        <rFont val="Franklin Gothic Book"/>
        <family val="2"/>
      </rPr>
      <t xml:space="preserve">         </t>
    </r>
    <r>
      <rPr>
        <sz val="10"/>
        <rFont val="Franklin Gothic Book"/>
        <family val="2"/>
      </rPr>
      <t>Release and acceptance strategy,</t>
    </r>
  </si>
  <si>
    <r>
      <t>·</t>
    </r>
    <r>
      <rPr>
        <sz val="7"/>
        <rFont val="Franklin Gothic Book"/>
        <family val="2"/>
      </rPr>
      <t xml:space="preserve">         </t>
    </r>
    <r>
      <rPr>
        <sz val="10"/>
        <rFont val="Franklin Gothic Book"/>
        <family val="2"/>
      </rPr>
      <t>Is the overall philosophy stated, are deviations from Praxis’ standard philosophy justified?</t>
    </r>
  </si>
  <si>
    <r>
      <t>·</t>
    </r>
    <r>
      <rPr>
        <sz val="7"/>
        <rFont val="Franklin Gothic Book"/>
        <family val="2"/>
      </rPr>
      <t xml:space="preserve">         </t>
    </r>
    <r>
      <rPr>
        <sz val="10"/>
        <rFont val="Franklin Gothic Book"/>
        <family val="2"/>
      </rPr>
      <t>Does the strategy discourage the introduction of defects and identify them early?</t>
    </r>
  </si>
  <si>
    <r>
      <t>·</t>
    </r>
    <r>
      <rPr>
        <sz val="7"/>
        <rFont val="Franklin Gothic Book"/>
        <family val="2"/>
      </rPr>
      <t xml:space="preserve">         </t>
    </r>
    <r>
      <rPr>
        <sz val="10"/>
        <rFont val="Franklin Gothic Book"/>
        <family val="2"/>
      </rPr>
      <t>Does the strategy reduce defects delivered to the customer to the desired level?</t>
    </r>
  </si>
  <si>
    <r>
      <t>·</t>
    </r>
    <r>
      <rPr>
        <sz val="7"/>
        <rFont val="Franklin Gothic Book"/>
        <family val="2"/>
      </rPr>
      <t xml:space="preserve">         </t>
    </r>
    <r>
      <rPr>
        <sz val="10"/>
        <rFont val="Franklin Gothic Book"/>
        <family val="2"/>
      </rPr>
      <t>Does the strategy make debugging verified products easy?</t>
    </r>
  </si>
  <si>
    <r>
      <t>·</t>
    </r>
    <r>
      <rPr>
        <sz val="7"/>
        <rFont val="Franklin Gothic Book"/>
        <family val="2"/>
      </rPr>
      <t xml:space="preserve">         </t>
    </r>
    <r>
      <rPr>
        <sz val="10"/>
        <rFont val="Franklin Gothic Book"/>
        <family val="2"/>
      </rPr>
      <t>Does the strategy produce the required verification evidence?</t>
    </r>
  </si>
  <si>
    <r>
      <t>·</t>
    </r>
    <r>
      <rPr>
        <sz val="7"/>
        <rFont val="Franklin Gothic Book"/>
        <family val="2"/>
      </rPr>
      <t xml:space="preserve">         </t>
    </r>
    <r>
      <rPr>
        <sz val="10"/>
        <rFont val="Franklin Gothic Book"/>
        <family val="2"/>
      </rPr>
      <t>Does the verification strategy support project strategy and schedule?</t>
    </r>
  </si>
  <si>
    <r>
      <t>·</t>
    </r>
    <r>
      <rPr>
        <sz val="7"/>
        <rFont val="Franklin Gothic Book"/>
        <family val="2"/>
      </rPr>
      <t xml:space="preserve">         </t>
    </r>
    <r>
      <rPr>
        <sz val="10"/>
        <rFont val="Franklin Gothic Book"/>
        <family val="2"/>
      </rPr>
      <t>Does the strategy address and manage risk?</t>
    </r>
  </si>
  <si>
    <r>
      <t>o</t>
    </r>
    <r>
      <rPr>
        <sz val="7"/>
        <rFont val="Franklin Gothic Book"/>
        <family val="2"/>
      </rPr>
      <t xml:space="preserve">    </t>
    </r>
    <r>
      <rPr>
        <sz val="10"/>
        <rFont val="Franklin Gothic Book"/>
        <family val="2"/>
      </rPr>
      <t xml:space="preserve">    No surprises such as late breaking work (eg code coverage),</t>
    </r>
  </si>
  <si>
    <r>
      <t>·</t>
    </r>
    <r>
      <rPr>
        <sz val="7"/>
        <rFont val="Franklin Gothic Book"/>
        <family val="2"/>
      </rPr>
      <t xml:space="preserve">         </t>
    </r>
    <r>
      <rPr>
        <sz val="10"/>
        <rFont val="Franklin Gothic Book"/>
        <family val="2"/>
      </rPr>
      <t>Do we know what desired value we’re looking for and do all activities contribute value?</t>
    </r>
  </si>
  <si>
    <r>
      <t>·</t>
    </r>
    <r>
      <rPr>
        <sz val="7"/>
        <rFont val="Franklin Gothic Book"/>
        <family val="2"/>
      </rPr>
      <t xml:space="preserve">         </t>
    </r>
    <r>
      <rPr>
        <sz val="10"/>
        <rFont val="Franklin Gothic Book"/>
        <family val="2"/>
      </rPr>
      <t>Are we building evidence and assurance as we go?</t>
    </r>
  </si>
  <si>
    <r>
      <t>·</t>
    </r>
    <r>
      <rPr>
        <sz val="7"/>
        <rFont val="Franklin Gothic Book"/>
        <family val="2"/>
      </rPr>
      <t xml:space="preserve">         </t>
    </r>
    <r>
      <rPr>
        <sz val="10"/>
        <rFont val="Franklin Gothic Book"/>
        <family val="2"/>
      </rPr>
      <t>Do we use the most suitable method and person for each verification activity?</t>
    </r>
  </si>
  <si>
    <r>
      <t>·</t>
    </r>
    <r>
      <rPr>
        <sz val="7"/>
        <rFont val="Franklin Gothic Book"/>
        <family val="2"/>
      </rPr>
      <t xml:space="preserve">         </t>
    </r>
    <r>
      <rPr>
        <sz val="10"/>
        <rFont val="Franklin Gothic Book"/>
        <family val="2"/>
      </rPr>
      <t>Do activities duplicate other project or programme activities?</t>
    </r>
  </si>
  <si>
    <r>
      <t>·</t>
    </r>
    <r>
      <rPr>
        <sz val="7"/>
        <rFont val="Franklin Gothic Book"/>
        <family val="2"/>
      </rPr>
      <t xml:space="preserve">         </t>
    </r>
    <r>
      <rPr>
        <sz val="10"/>
        <rFont val="Franklin Gothic Book"/>
        <family val="2"/>
      </rPr>
      <t>Does the verification strategy identify difficult areas (hard to test, likely to contain more defects, expensive to correct if they’re not right first time) and does the schedule allow these to be debugged and verified?</t>
    </r>
  </si>
  <si>
    <r>
      <t>·</t>
    </r>
    <r>
      <rPr>
        <sz val="7"/>
        <rFont val="Franklin Gothic Book"/>
        <family val="2"/>
      </rPr>
      <t xml:space="preserve">         </t>
    </r>
    <r>
      <rPr>
        <sz val="10"/>
        <rFont val="Franklin Gothic Book"/>
        <family val="2"/>
      </rPr>
      <t>Does the verification strategy identify areas that are likely to change, and take this into account?</t>
    </r>
  </si>
  <si>
    <r>
      <t>·</t>
    </r>
    <r>
      <rPr>
        <sz val="7"/>
        <rFont val="Franklin Gothic Book"/>
        <family val="2"/>
      </rPr>
      <t xml:space="preserve">         </t>
    </r>
    <r>
      <rPr>
        <sz val="10"/>
        <rFont val="Franklin Gothic Book"/>
        <family val="2"/>
      </rPr>
      <t>Does it allow us to understand and accommodate change?</t>
    </r>
  </si>
  <si>
    <r>
      <t>·</t>
    </r>
    <r>
      <rPr>
        <sz val="7"/>
        <rFont val="Franklin Gothic Book"/>
        <family val="2"/>
      </rPr>
      <t xml:space="preserve">         </t>
    </r>
    <r>
      <rPr>
        <sz val="10"/>
        <rFont val="Franklin Gothic Book"/>
        <family val="2"/>
      </rPr>
      <t>Does it take into account risks and strengths introduced by other technical decisions?</t>
    </r>
  </si>
  <si>
    <r>
      <t>o</t>
    </r>
    <r>
      <rPr>
        <sz val="7"/>
        <rFont val="Franklin Gothic Book"/>
        <family val="2"/>
      </rPr>
      <t xml:space="preserve">    </t>
    </r>
    <r>
      <rPr>
        <sz val="10"/>
        <rFont val="Franklin Gothic Book"/>
        <family val="2"/>
      </rPr>
      <t xml:space="preserve">     Specification and design,</t>
    </r>
  </si>
  <si>
    <r>
      <t>o</t>
    </r>
    <r>
      <rPr>
        <sz val="7"/>
        <rFont val="Franklin Gothic Book"/>
        <family val="2"/>
      </rPr>
      <t xml:space="preserve">    </t>
    </r>
    <r>
      <rPr>
        <sz val="10"/>
        <rFont val="Franklin Gothic Book"/>
        <family val="2"/>
      </rPr>
      <t xml:space="preserve">     Software language,</t>
    </r>
  </si>
  <si>
    <r>
      <t>o</t>
    </r>
    <r>
      <rPr>
        <sz val="7"/>
        <rFont val="Franklin Gothic Book"/>
        <family val="2"/>
      </rPr>
      <t xml:space="preserve">    </t>
    </r>
    <r>
      <rPr>
        <sz val="10"/>
        <rFont val="Franklin Gothic Book"/>
        <family val="2"/>
      </rPr>
      <t xml:space="preserve">     System architecture complexity,</t>
    </r>
  </si>
  <si>
    <r>
      <t>·</t>
    </r>
    <r>
      <rPr>
        <sz val="7"/>
        <rFont val="Franklin Gothic Book"/>
        <family val="2"/>
      </rPr>
      <t xml:space="preserve">         </t>
    </r>
    <r>
      <rPr>
        <sz val="10"/>
        <rFont val="Franklin Gothic Book"/>
        <family val="2"/>
      </rPr>
      <t>Does the strategy allow us to focus verification where there is greater risk?</t>
    </r>
  </si>
  <si>
    <r>
      <t>·</t>
    </r>
    <r>
      <rPr>
        <sz val="7"/>
        <rFont val="Franklin Gothic Book"/>
        <family val="2"/>
      </rPr>
      <t xml:space="preserve">         </t>
    </r>
    <r>
      <rPr>
        <sz val="10"/>
        <rFont val="Franklin Gothic Book"/>
        <family val="2"/>
      </rPr>
      <t>Does the strategy supporting staff growth in a controlled environment?</t>
    </r>
  </si>
  <si>
    <r>
      <t>·</t>
    </r>
    <r>
      <rPr>
        <sz val="7"/>
        <rFont val="Franklin Gothic Book"/>
        <family val="2"/>
      </rPr>
      <t xml:space="preserve">         </t>
    </r>
    <r>
      <rPr>
        <sz val="10"/>
        <rFont val="Franklin Gothic Book"/>
        <family val="2"/>
      </rPr>
      <t>Is the strategy understood and understandable?</t>
    </r>
  </si>
  <si>
    <r>
      <t>·</t>
    </r>
    <r>
      <rPr>
        <sz val="7"/>
        <rFont val="Franklin Gothic Book"/>
        <family val="2"/>
      </rPr>
      <t xml:space="preserve">         </t>
    </r>
    <r>
      <rPr>
        <sz val="10"/>
        <rFont val="Franklin Gothic Book"/>
        <family val="2"/>
      </rPr>
      <t>Can we estimate it and can we verify our estimate? Is the estimate realistic and complete, based on observed measures, and a realistic assumed defect rate?</t>
    </r>
  </si>
  <si>
    <r>
      <t>·</t>
    </r>
    <r>
      <rPr>
        <sz val="7"/>
        <rFont val="Franklin Gothic Book"/>
        <family val="2"/>
      </rPr>
      <t xml:space="preserve">         </t>
    </r>
    <r>
      <rPr>
        <sz val="10"/>
        <rFont val="Franklin Gothic Book"/>
        <family val="2"/>
      </rPr>
      <t>Does the strategy build on our previous experience?</t>
    </r>
  </si>
  <si>
    <r>
      <t>·</t>
    </r>
    <r>
      <rPr>
        <sz val="7"/>
        <rFont val="Franklin Gothic Book"/>
        <family val="2"/>
      </rPr>
      <t xml:space="preserve">         </t>
    </r>
    <r>
      <rPr>
        <sz val="10"/>
        <rFont val="Franklin Gothic Book"/>
        <family val="2"/>
      </rPr>
      <t>Does the strategy allow us to monitor and report progress and quality effectively?</t>
    </r>
  </si>
  <si>
    <r>
      <t>o</t>
    </r>
    <r>
      <rPr>
        <sz val="7"/>
        <rFont val="Franklin Gothic Book"/>
        <family val="2"/>
      </rPr>
      <t xml:space="preserve">    </t>
    </r>
    <r>
      <rPr>
        <sz val="10"/>
        <rFont val="Franklin Gothic Book"/>
        <family val="2"/>
      </rPr>
      <t xml:space="preserve">    Will the measures flat-line?</t>
    </r>
  </si>
  <si>
    <r>
      <t>o</t>
    </r>
    <r>
      <rPr>
        <sz val="7"/>
        <rFont val="Franklin Gothic Book"/>
        <family val="2"/>
      </rPr>
      <t xml:space="preserve">    </t>
    </r>
    <r>
      <rPr>
        <sz val="10"/>
        <rFont val="Franklin Gothic Book"/>
        <family val="2"/>
      </rPr>
      <t xml:space="preserve">     Will the measures fluctuate and is this expected and this is accepted?</t>
    </r>
  </si>
  <si>
    <r>
      <t>o</t>
    </r>
    <r>
      <rPr>
        <sz val="7"/>
        <rFont val="Franklin Gothic Book"/>
        <family val="2"/>
      </rPr>
      <t xml:space="preserve">    </t>
    </r>
    <r>
      <rPr>
        <sz val="10"/>
        <rFont val="Franklin Gothic Book"/>
        <family val="2"/>
      </rPr>
      <t xml:space="preserve">     Do the measures inspire desired behaviour?</t>
    </r>
  </si>
  <si>
    <r>
      <t>o</t>
    </r>
    <r>
      <rPr>
        <sz val="7"/>
        <rFont val="Franklin Gothic Book"/>
        <family val="2"/>
      </rPr>
      <t xml:space="preserve">    </t>
    </r>
    <r>
      <rPr>
        <sz val="10"/>
        <rFont val="Franklin Gothic Book"/>
        <family val="2"/>
      </rPr>
      <t xml:space="preserve">     Do the measures report a realistic view of defect rate at all stages (requires low test coupling)?</t>
    </r>
  </si>
  <si>
    <r>
      <t>o</t>
    </r>
    <r>
      <rPr>
        <sz val="7"/>
        <rFont val="Franklin Gothic Book"/>
        <family val="2"/>
      </rPr>
      <t xml:space="preserve">    </t>
    </r>
    <r>
      <rPr>
        <sz val="10"/>
        <rFont val="Franklin Gothic Book"/>
        <family val="2"/>
      </rPr>
      <t xml:space="preserve">     Do the measures report realistic view of progress?</t>
    </r>
  </si>
  <si>
    <r>
      <t>·</t>
    </r>
    <r>
      <rPr>
        <sz val="7"/>
        <rFont val="Franklin Gothic Book"/>
        <family val="2"/>
      </rPr>
      <t xml:space="preserve">         </t>
    </r>
    <r>
      <rPr>
        <sz val="10"/>
        <rFont val="Franklin Gothic Book"/>
        <family val="2"/>
      </rPr>
      <t>Do we have agreed checkpoints and maturity gates?</t>
    </r>
  </si>
  <si>
    <r>
      <t>·</t>
    </r>
    <r>
      <rPr>
        <sz val="7"/>
        <rFont val="Franklin Gothic Book"/>
        <family val="2"/>
      </rPr>
      <t xml:space="preserve">         </t>
    </r>
    <r>
      <rPr>
        <sz val="10"/>
        <rFont val="Franklin Gothic Book"/>
        <family val="2"/>
      </rPr>
      <t>Does the estimate take account of training, learning curves and hand-overs?</t>
    </r>
  </si>
  <si>
    <r>
      <t>·</t>
    </r>
    <r>
      <rPr>
        <sz val="7"/>
        <rFont val="Franklin Gothic Book"/>
        <family val="2"/>
      </rPr>
      <t xml:space="preserve">         </t>
    </r>
    <r>
      <rPr>
        <sz val="10"/>
        <rFont val="Franklin Gothic Book"/>
        <family val="2"/>
      </rPr>
      <t>Are all resources taken into account (eg target environments, DOORs licenses)?</t>
    </r>
  </si>
  <si>
    <r>
      <t>·</t>
    </r>
    <r>
      <rPr>
        <sz val="7"/>
        <rFont val="Franklin Gothic Book"/>
        <family val="2"/>
      </rPr>
      <t xml:space="preserve">         </t>
    </r>
    <r>
      <rPr>
        <sz val="10"/>
        <rFont val="Franklin Gothic Book"/>
        <family val="2"/>
      </rPr>
      <t>Is the scope, quality and progress under control?</t>
    </r>
  </si>
  <si>
    <r>
      <t>·</t>
    </r>
    <r>
      <rPr>
        <sz val="7"/>
        <rFont val="Franklin Gothic Book"/>
        <family val="2"/>
      </rPr>
      <t xml:space="preserve">         </t>
    </r>
    <r>
      <rPr>
        <sz val="10"/>
        <rFont val="Franklin Gothic Book"/>
        <family val="2"/>
      </rPr>
      <t>Is the process auditable?</t>
    </r>
  </si>
  <si>
    <r>
      <t>o</t>
    </r>
    <r>
      <rPr>
        <sz val="7"/>
        <rFont val="Franklin Gothic Book"/>
        <family val="2"/>
      </rPr>
      <t xml:space="preserve">    </t>
    </r>
    <r>
      <rPr>
        <sz val="10"/>
        <rFont val="Franklin Gothic Book"/>
        <family val="2"/>
      </rPr>
      <t xml:space="preserve">     Can we ensure that we verified the right version of subject against object?</t>
    </r>
  </si>
  <si>
    <r>
      <t>o</t>
    </r>
    <r>
      <rPr>
        <sz val="7"/>
        <rFont val="Franklin Gothic Book"/>
        <family val="2"/>
      </rPr>
      <t xml:space="preserve">    </t>
    </r>
    <r>
      <rPr>
        <sz val="10"/>
        <rFont val="Franklin Gothic Book"/>
        <family val="2"/>
      </rPr>
      <t xml:space="preserve">     Can we track who changed what?</t>
    </r>
  </si>
  <si>
    <r>
      <t>o</t>
    </r>
    <r>
      <rPr>
        <sz val="7"/>
        <rFont val="Franklin Gothic Book"/>
        <family val="2"/>
      </rPr>
      <t xml:space="preserve">    </t>
    </r>
    <r>
      <rPr>
        <sz val="10"/>
        <rFont val="Franklin Gothic Book"/>
        <family val="2"/>
      </rPr>
      <t xml:space="preserve">     Can we view historic versions?</t>
    </r>
  </si>
  <si>
    <r>
      <t>·</t>
    </r>
    <r>
      <rPr>
        <sz val="7"/>
        <rFont val="Franklin Gothic Book"/>
        <family val="2"/>
      </rPr>
      <t xml:space="preserve">         </t>
    </r>
    <r>
      <rPr>
        <sz val="10"/>
        <rFont val="Franklin Gothic Book"/>
        <family val="2"/>
      </rPr>
      <t>Do we understand the full size of verification, or have planned actions to reduce the likelihood of unexpected work; no late breaking work or surprises?</t>
    </r>
  </si>
  <si>
    <r>
      <t>·</t>
    </r>
    <r>
      <rPr>
        <sz val="7"/>
        <rFont val="Franklin Gothic Book"/>
        <family val="2"/>
      </rPr>
      <t xml:space="preserve">         </t>
    </r>
    <r>
      <rPr>
        <sz val="10"/>
        <rFont val="Franklin Gothic Book"/>
        <family val="2"/>
      </rPr>
      <t>Are responsibilities, reporting structure, procedures and standards clear to all teams?</t>
    </r>
  </si>
  <si>
    <r>
      <t>·</t>
    </r>
    <r>
      <rPr>
        <sz val="7"/>
        <rFont val="Franklin Gothic Book"/>
        <family val="2"/>
      </rPr>
      <t xml:space="preserve">         </t>
    </r>
    <r>
      <rPr>
        <sz val="10"/>
        <rFont val="Franklin Gothic Book"/>
        <family val="2"/>
      </rPr>
      <t>Is the strategy implementable with the available team, do we have a plan to ensure that skills are available?</t>
    </r>
  </si>
  <si>
    <r>
      <t>·</t>
    </r>
    <r>
      <rPr>
        <sz val="7"/>
        <rFont val="Franklin Gothic Book"/>
        <family val="2"/>
      </rPr>
      <t xml:space="preserve">         </t>
    </r>
    <r>
      <rPr>
        <sz val="10"/>
        <rFont val="Franklin Gothic Book"/>
        <family val="2"/>
      </rPr>
      <t>Do we understand the most efficient way to manage skills, transitions and learning curves?</t>
    </r>
  </si>
  <si>
    <r>
      <t>o</t>
    </r>
    <r>
      <rPr>
        <sz val="7"/>
        <rFont val="Franklin Gothic Book"/>
        <family val="2"/>
      </rPr>
      <t xml:space="preserve">    </t>
    </r>
    <r>
      <rPr>
        <sz val="10"/>
        <rFont val="Franklin Gothic Book"/>
        <family val="2"/>
      </rPr>
      <t xml:space="preserve">     Lean approach [2]: multi-skilled engineers who complete all parts of the workflow; high learning curve spend, slow growth of expertise, low number of transitions.</t>
    </r>
  </si>
  <si>
    <r>
      <t>o</t>
    </r>
    <r>
      <rPr>
        <sz val="7"/>
        <rFont val="Franklin Gothic Book"/>
        <family val="2"/>
      </rPr>
      <t xml:space="preserve">    </t>
    </r>
    <r>
      <rPr>
        <sz val="10"/>
        <rFont val="Franklin Gothic Book"/>
        <family val="2"/>
      </rPr>
      <t xml:space="preserve">     By division of labour [3]: engineers specialise in a skill or area of domain knowledge and complete specialist tasks; low learning curve spend, rapid growth of expertise, high number of transitions.</t>
    </r>
  </si>
  <si>
    <r>
      <t>·</t>
    </r>
    <r>
      <rPr>
        <sz val="7"/>
        <rFont val="Franklin Gothic Book"/>
        <family val="2"/>
      </rPr>
      <t xml:space="preserve">         </t>
    </r>
    <r>
      <rPr>
        <sz val="10"/>
        <rFont val="Franklin Gothic Book"/>
        <family val="2"/>
      </rPr>
      <t>Are activities completed at the most efficient point and by the people with suitable knowledge?</t>
    </r>
  </si>
  <si>
    <r>
      <t>·</t>
    </r>
    <r>
      <rPr>
        <sz val="7"/>
        <rFont val="Franklin Gothic Book"/>
        <family val="2"/>
      </rPr>
      <t xml:space="preserve">         </t>
    </r>
    <r>
      <rPr>
        <sz val="10"/>
        <rFont val="Franklin Gothic Book"/>
        <family val="2"/>
      </rPr>
      <t>Does the strategy allow us to identify and understand changes and accommodate them efficiently?</t>
    </r>
  </si>
  <si>
    <r>
      <t>·</t>
    </r>
    <r>
      <rPr>
        <sz val="7"/>
        <rFont val="Franklin Gothic Book"/>
        <family val="2"/>
      </rPr>
      <t xml:space="preserve">         </t>
    </r>
    <r>
      <rPr>
        <sz val="10"/>
        <rFont val="Franklin Gothic Book"/>
        <family val="2"/>
      </rPr>
      <t>Have we taken account of stability or likely areas of instability (COTS products, areas such as HMI which are likely to continue to change, change coming from parallel workstreams)?</t>
    </r>
  </si>
  <si>
    <r>
      <t>·</t>
    </r>
    <r>
      <rPr>
        <sz val="7"/>
        <rFont val="Franklin Gothic Book"/>
        <family val="2"/>
      </rPr>
      <t xml:space="preserve">         </t>
    </r>
    <r>
      <rPr>
        <sz val="10"/>
        <rFont val="Franklin Gothic Book"/>
        <family val="2"/>
      </rPr>
      <t>Does the strategy allow verification to progress and give meaningful results even when the defect density is high?  Eg if a test fails due to one defect, does this block verification of other functionality?</t>
    </r>
  </si>
  <si>
    <r>
      <t>·</t>
    </r>
    <r>
      <rPr>
        <sz val="7"/>
        <rFont val="Franklin Gothic Book"/>
        <family val="2"/>
      </rPr>
      <t xml:space="preserve">         </t>
    </r>
    <r>
      <rPr>
        <sz val="10"/>
        <rFont val="Franklin Gothic Book"/>
        <family val="2"/>
      </rPr>
      <t>Does the strategy make pin-pointing, understanding and correcting defects “easy”?</t>
    </r>
  </si>
  <si>
    <r>
      <t>·</t>
    </r>
    <r>
      <rPr>
        <sz val="7"/>
        <rFont val="Franklin Gothic Book"/>
        <family val="2"/>
      </rPr>
      <t xml:space="preserve">         </t>
    </r>
    <r>
      <rPr>
        <sz val="10"/>
        <rFont val="Franklin Gothic Book"/>
        <family val="2"/>
      </rPr>
      <t>Can parts of verification be effectively delegated and controlled?</t>
    </r>
  </si>
  <si>
    <r>
      <t>·</t>
    </r>
    <r>
      <rPr>
        <sz val="7"/>
        <rFont val="Franklin Gothic Book"/>
        <family val="2"/>
      </rPr>
      <t xml:space="preserve">         </t>
    </r>
    <r>
      <rPr>
        <sz val="10"/>
        <rFont val="Franklin Gothic Book"/>
        <family val="2"/>
      </rPr>
      <t>Are bottle-necks in the process understood and necessary? (similar single points of failure).</t>
    </r>
  </si>
  <si>
    <r>
      <t>·</t>
    </r>
    <r>
      <rPr>
        <sz val="7"/>
        <rFont val="Franklin Gothic Book"/>
        <family val="2"/>
      </rPr>
      <t xml:space="preserve">         </t>
    </r>
    <r>
      <rPr>
        <sz val="10"/>
        <rFont val="Franklin Gothic Book"/>
        <family val="2"/>
      </rPr>
      <t>Have we organised teams working at different sites so there is?</t>
    </r>
  </si>
  <si>
    <r>
      <t>o</t>
    </r>
    <r>
      <rPr>
        <sz val="7"/>
        <rFont val="Franklin Gothic Book"/>
        <family val="2"/>
      </rPr>
      <t xml:space="preserve">    </t>
    </r>
    <r>
      <rPr>
        <sz val="10"/>
        <rFont val="Franklin Gothic Book"/>
        <family val="2"/>
      </rPr>
      <t xml:space="preserve">     Low coupling between remote teams (low dependency between remote teams),</t>
    </r>
  </si>
  <si>
    <r>
      <t>o</t>
    </r>
    <r>
      <rPr>
        <sz val="7"/>
        <rFont val="Franklin Gothic Book"/>
        <family val="2"/>
      </rPr>
      <t xml:space="preserve">    </t>
    </r>
    <r>
      <rPr>
        <sz val="10"/>
        <rFont val="Franklin Gothic Book"/>
        <family val="2"/>
      </rPr>
      <t xml:space="preserve">     High cohesion within remote teams (high self-sufficiency within remote teams).</t>
    </r>
  </si>
  <si>
    <r>
      <t>·</t>
    </r>
    <r>
      <rPr>
        <sz val="7"/>
        <rFont val="Franklin Gothic Book"/>
        <family val="2"/>
      </rPr>
      <t xml:space="preserve">         </t>
    </r>
    <r>
      <rPr>
        <sz val="10"/>
        <rFont val="Franklin Gothic Book"/>
        <family val="2"/>
      </rPr>
      <t>Do we have access to the necessary resources (target test environment, licenses)?</t>
    </r>
  </si>
  <si>
    <r>
      <t>·</t>
    </r>
    <r>
      <rPr>
        <sz val="7"/>
        <rFont val="Franklin Gothic Book"/>
        <family val="2"/>
      </rPr>
      <t xml:space="preserve">         </t>
    </r>
    <r>
      <rPr>
        <sz val="10"/>
        <rFont val="Franklin Gothic Book"/>
        <family val="2"/>
      </rPr>
      <t>Are the products we produce maintainable, do we have a plan for maintaining them and for minimising maintenance cost (eg low duplication, minimising the items to be maintained, planning maintenance with the change that incurs it)?</t>
    </r>
  </si>
  <si>
    <r>
      <t>o</t>
    </r>
    <r>
      <rPr>
        <sz val="7"/>
        <rFont val="Franklin Gothic Book"/>
        <family val="2"/>
      </rPr>
      <t xml:space="preserve">    </t>
    </r>
    <r>
      <rPr>
        <sz val="10"/>
        <rFont val="Franklin Gothic Book"/>
        <family val="2"/>
      </rPr>
      <t>What verification management system will be used?</t>
    </r>
  </si>
  <si>
    <r>
      <t>o</t>
    </r>
    <r>
      <rPr>
        <sz val="7"/>
        <rFont val="Franklin Gothic Book"/>
        <family val="2"/>
      </rPr>
      <t xml:space="preserve">    </t>
    </r>
    <r>
      <rPr>
        <sz val="10"/>
        <rFont val="Franklin Gothic Book"/>
        <family val="2"/>
      </rPr>
      <t>What environments are used to support testing, how are they developed and qualified?</t>
    </r>
  </si>
  <si>
    <r>
      <t>o</t>
    </r>
    <r>
      <rPr>
        <sz val="7"/>
        <rFont val="Franklin Gothic Book"/>
        <family val="2"/>
      </rPr>
      <t xml:space="preserve">    </t>
    </r>
    <r>
      <rPr>
        <sz val="10"/>
        <rFont val="Franklin Gothic Book"/>
        <family val="2"/>
      </rPr>
      <t>Does the proposed test environment support the proposed verification methods (especially test levels; unit, module, system)</t>
    </r>
  </si>
  <si>
    <r>
      <t>o</t>
    </r>
    <r>
      <rPr>
        <sz val="7"/>
        <rFont val="Franklin Gothic Book"/>
        <family val="2"/>
      </rPr>
      <t xml:space="preserve">    </t>
    </r>
    <r>
      <rPr>
        <sz val="10"/>
        <rFont val="Franklin Gothic Book"/>
        <family val="2"/>
      </rPr>
      <t>Do internal system state and messages need to be read or monitored during testing, does the code and the test environment support this?</t>
    </r>
  </si>
  <si>
    <r>
      <t>o</t>
    </r>
    <r>
      <rPr>
        <sz val="7"/>
        <rFont val="Franklin Gothic Book"/>
        <family val="2"/>
      </rPr>
      <t xml:space="preserve">    </t>
    </r>
    <r>
      <rPr>
        <sz val="10"/>
        <rFont val="Franklin Gothic Book"/>
        <family val="2"/>
      </rPr>
      <t>Is the interface between the test environment and the software understood and controlled?</t>
    </r>
  </si>
  <si>
    <r>
      <t>o</t>
    </r>
    <r>
      <rPr>
        <sz val="7"/>
        <rFont val="Franklin Gothic Book"/>
        <family val="2"/>
      </rPr>
      <t xml:space="preserve">    </t>
    </r>
    <r>
      <rPr>
        <sz val="10"/>
        <rFont val="Franklin Gothic Book"/>
        <family val="2"/>
      </rPr>
      <t>Is the interface between test harness and HW understood and controlled?</t>
    </r>
  </si>
  <si>
    <r>
      <t>o</t>
    </r>
    <r>
      <rPr>
        <sz val="7"/>
        <rFont val="Franklin Gothic Book"/>
        <family val="2"/>
      </rPr>
      <t xml:space="preserve">    </t>
    </r>
    <r>
      <rPr>
        <sz val="10"/>
        <rFont val="Franklin Gothic Book"/>
        <family val="2"/>
      </rPr>
      <t>Is the test environment suitably robust, eg is there unnecessary sensitivity to timing or sequence of software events</t>
    </r>
  </si>
  <si>
    <r>
      <t>o</t>
    </r>
    <r>
      <rPr>
        <sz val="7"/>
        <rFont val="Franklin Gothic Book"/>
        <family val="2"/>
      </rPr>
      <t xml:space="preserve">    </t>
    </r>
    <r>
      <rPr>
        <sz val="10"/>
        <rFont val="Franklin Gothic Book"/>
        <family val="2"/>
      </rPr>
      <t>Are independent models and reference systems identified and planned for?</t>
    </r>
  </si>
  <si>
    <r>
      <t>o</t>
    </r>
    <r>
      <rPr>
        <sz val="7"/>
        <rFont val="Franklin Gothic Book"/>
        <family val="2"/>
      </rPr>
      <t xml:space="preserve">    </t>
    </r>
    <r>
      <rPr>
        <sz val="10"/>
        <rFont val="Franklin Gothic Book"/>
        <family val="2"/>
      </rPr>
      <t>Is shared test material properly understood and managed? (shared between tests, users or teams)?</t>
    </r>
  </si>
  <si>
    <r>
      <t>·</t>
    </r>
    <r>
      <rPr>
        <sz val="7"/>
        <rFont val="Franklin Gothic Book"/>
        <family val="2"/>
      </rPr>
      <t xml:space="preserve">         </t>
    </r>
    <r>
      <rPr>
        <sz val="10"/>
        <rFont val="Franklin Gothic Book"/>
        <family val="2"/>
      </rPr>
      <t>Hardware:</t>
    </r>
  </si>
  <si>
    <r>
      <t>o</t>
    </r>
    <r>
      <rPr>
        <sz val="7"/>
        <rFont val="Franklin Gothic Book"/>
        <family val="2"/>
      </rPr>
      <t xml:space="preserve">    </t>
    </r>
    <r>
      <rPr>
        <sz val="10"/>
        <rFont val="Franklin Gothic Book"/>
        <family val="2"/>
      </rPr>
      <t>Is the hardware stable and managed? Will it be possible to complete lab audits on the hardware?</t>
    </r>
  </si>
  <si>
    <r>
      <t>o</t>
    </r>
    <r>
      <rPr>
        <sz val="7"/>
        <rFont val="Franklin Gothic Book"/>
        <family val="2"/>
      </rPr>
      <t xml:space="preserve">    </t>
    </r>
    <r>
      <rPr>
        <sz val="10"/>
        <rFont val="Franklin Gothic Book"/>
        <family val="2"/>
      </rPr>
      <t>Does the available hardware support the schedule and technical needs of the project?</t>
    </r>
  </si>
  <si>
    <r>
      <t>·</t>
    </r>
    <r>
      <rPr>
        <sz val="7"/>
        <rFont val="Franklin Gothic Book"/>
        <family val="2"/>
      </rPr>
      <t xml:space="preserve">         </t>
    </r>
    <r>
      <rPr>
        <sz val="10"/>
        <rFont val="Franklin Gothic Book"/>
        <family val="2"/>
      </rPr>
      <t>COTS Products:</t>
    </r>
  </si>
  <si>
    <r>
      <t>o</t>
    </r>
    <r>
      <rPr>
        <sz val="7"/>
        <rFont val="Franklin Gothic Book"/>
        <family val="2"/>
      </rPr>
      <t xml:space="preserve">    </t>
    </r>
    <r>
      <rPr>
        <sz val="10"/>
        <rFont val="Franklin Gothic Book"/>
        <family val="2"/>
      </rPr>
      <t>Are COTS products understood and qualifiable?</t>
    </r>
  </si>
  <si>
    <r>
      <t>o</t>
    </r>
    <r>
      <rPr>
        <sz val="7"/>
        <rFont val="Franklin Gothic Book"/>
        <family val="2"/>
      </rPr>
      <t xml:space="preserve">    </t>
    </r>
    <r>
      <rPr>
        <sz val="10"/>
        <rFont val="Franklin Gothic Book"/>
        <family val="2"/>
      </rPr>
      <t>Do they support the project needs?</t>
    </r>
  </si>
  <si>
    <r>
      <t>·</t>
    </r>
    <r>
      <rPr>
        <sz val="7"/>
        <rFont val="Franklin Gothic Book"/>
        <family val="2"/>
      </rPr>
      <t xml:space="preserve">         </t>
    </r>
    <r>
      <rPr>
        <sz val="10"/>
        <rFont val="Franklin Gothic Book"/>
        <family val="2"/>
      </rPr>
      <t>Is tool qualification understood and planned?</t>
    </r>
  </si>
  <si>
    <r>
      <t>o</t>
    </r>
    <r>
      <rPr>
        <sz val="7"/>
        <rFont val="Franklin Gothic Book"/>
        <family val="2"/>
      </rPr>
      <t xml:space="preserve">    </t>
    </r>
    <r>
      <rPr>
        <sz val="10"/>
        <rFont val="Franklin Gothic Book"/>
        <family val="2"/>
      </rPr>
      <t>Tool development,</t>
    </r>
  </si>
  <si>
    <r>
      <t>·</t>
    </r>
    <r>
      <rPr>
        <sz val="7"/>
        <rFont val="Franklin Gothic Book"/>
        <family val="2"/>
      </rPr>
      <t xml:space="preserve">         </t>
    </r>
    <r>
      <rPr>
        <sz val="10"/>
        <rFont val="Franklin Gothic Book"/>
        <family val="2"/>
      </rPr>
      <t>COTS products and their qualification,</t>
    </r>
  </si>
  <si>
    <r>
      <t>·</t>
    </r>
    <r>
      <rPr>
        <sz val="7"/>
        <rFont val="Franklin Gothic Book"/>
        <family val="2"/>
      </rPr>
      <t xml:space="preserve">         </t>
    </r>
    <r>
      <rPr>
        <sz val="10"/>
        <rFont val="Franklin Gothic Book"/>
        <family val="2"/>
      </rPr>
      <t>Maintenance of tests,</t>
    </r>
  </si>
  <si>
    <r>
      <t>·</t>
    </r>
    <r>
      <rPr>
        <sz val="7"/>
        <rFont val="Franklin Gothic Book"/>
        <family val="2"/>
      </rPr>
      <t xml:space="preserve">         </t>
    </r>
    <r>
      <rPr>
        <sz val="10"/>
        <rFont val="Franklin Gothic Book"/>
        <family val="2"/>
      </rPr>
      <t>Regression testing,</t>
    </r>
  </si>
  <si>
    <r>
      <t>·</t>
    </r>
    <r>
      <rPr>
        <sz val="7"/>
        <rFont val="Franklin Gothic Book"/>
        <family val="2"/>
      </rPr>
      <t xml:space="preserve">         </t>
    </r>
    <r>
      <rPr>
        <sz val="10"/>
        <rFont val="Franklin Gothic Book"/>
        <family val="2"/>
      </rPr>
      <t>Verification for formal evidence,</t>
    </r>
  </si>
  <si>
    <r>
      <t>·</t>
    </r>
    <r>
      <rPr>
        <sz val="7"/>
        <rFont val="Franklin Gothic Book"/>
        <family val="2"/>
      </rPr>
      <t xml:space="preserve">         </t>
    </r>
    <r>
      <rPr>
        <sz val="10"/>
        <rFont val="Franklin Gothic Book"/>
        <family val="2"/>
      </rPr>
      <t>Verification to reduce risk (find errors early),</t>
    </r>
  </si>
  <si>
    <r>
      <t>·</t>
    </r>
    <r>
      <rPr>
        <sz val="7"/>
        <rFont val="Franklin Gothic Book"/>
        <family val="2"/>
      </rPr>
      <t xml:space="preserve">         </t>
    </r>
    <r>
      <rPr>
        <sz val="10"/>
        <rFont val="Franklin Gothic Book"/>
        <family val="2"/>
      </rPr>
      <t>Verification to find defects and debug,</t>
    </r>
  </si>
  <si>
    <r>
      <t>·</t>
    </r>
    <r>
      <rPr>
        <sz val="7"/>
        <rFont val="Franklin Gothic Book"/>
        <family val="2"/>
      </rPr>
      <t xml:space="preserve">         </t>
    </r>
    <r>
      <rPr>
        <sz val="10"/>
        <rFont val="Franklin Gothic Book"/>
        <family val="2"/>
      </rPr>
      <t>Governance ( eg security and safety),</t>
    </r>
  </si>
  <si>
    <r>
      <t>·</t>
    </r>
    <r>
      <rPr>
        <sz val="7"/>
        <rFont val="Franklin Gothic Book"/>
        <family val="2"/>
      </rPr>
      <t xml:space="preserve">         </t>
    </r>
    <r>
      <rPr>
        <sz val="10"/>
        <rFont val="Franklin Gothic Book"/>
        <family val="2"/>
      </rPr>
      <t>Review,</t>
    </r>
  </si>
  <si>
    <r>
      <t>·</t>
    </r>
    <r>
      <rPr>
        <sz val="7"/>
        <rFont val="Franklin Gothic Book"/>
        <family val="2"/>
      </rPr>
      <t xml:space="preserve">         </t>
    </r>
    <r>
      <rPr>
        <sz val="10"/>
        <rFont val="Franklin Gothic Book"/>
        <family val="2"/>
      </rPr>
      <t>Verifying changes and fault-fixes,</t>
    </r>
  </si>
  <si>
    <r>
      <t>·</t>
    </r>
    <r>
      <rPr>
        <sz val="7"/>
        <rFont val="Franklin Gothic Book"/>
        <family val="2"/>
      </rPr>
      <t xml:space="preserve">         </t>
    </r>
    <r>
      <rPr>
        <sz val="10"/>
        <rFont val="Franklin Gothic Book"/>
        <family val="2"/>
      </rPr>
      <t>Robustness,</t>
    </r>
  </si>
  <si>
    <r>
      <t>·</t>
    </r>
    <r>
      <rPr>
        <sz val="7"/>
        <rFont val="Franklin Gothic Book"/>
        <family val="2"/>
      </rPr>
      <t xml:space="preserve">         </t>
    </r>
    <r>
      <rPr>
        <sz val="10"/>
        <rFont val="Franklin Gothic Book"/>
        <family val="2"/>
      </rPr>
      <t>Risk based testing.</t>
    </r>
  </si>
  <si>
    <t>File List Used</t>
  </si>
  <si>
    <t>Capture Size Metrics</t>
  </si>
  <si>
    <t>Duplicated</t>
  </si>
  <si>
    <t>Book Review Time To Project</t>
  </si>
  <si>
    <t>&lt;Rebus Project Ref&gt;</t>
  </si>
  <si>
    <t>&lt;WBS e.g. TnnnnR&gt;</t>
  </si>
  <si>
    <t>&lt;Name of Reviewer and Role&gt;</t>
  </si>
  <si>
    <t>Documentation of Standards, Processes and Procedures</t>
  </si>
  <si>
    <t>S.Q1000.4.1</t>
  </si>
  <si>
    <t>Issue 1.4</t>
  </si>
  <si>
    <t>Mandatory requirements of this standard</t>
  </si>
  <si>
    <t>The document must define the purpose, scope and applicability of the standard, process or procedure being defined.</t>
  </si>
  <si>
    <t>Standards must define the logical content of the item being standardised.</t>
  </si>
  <si>
    <t xml:space="preserve">Processes must identify their inputs and outputs, and the transformations involved in the operations of a particular business activity, along with references to the relevant standards to be applied. </t>
  </si>
  <si>
    <t>Procedures must be clearly described in a stepwise fashion, and identify their requirements for inputs and outputs, along with references to the relevant standards to be applied.</t>
  </si>
  <si>
    <t>Mandatory requirements of a standard, process or procedure must be clearly distinguished from non-mandatory requirements.</t>
  </si>
  <si>
    <t>Desirable requirements of this standard</t>
  </si>
  <si>
    <t>The document should conform to the Praxis standard document format [1] as amplified by section 4 of this standard unless another format is agreed in the project plans.</t>
  </si>
  <si>
    <t>The document structure should conform to the general shape given in section 2 of this document (Introduction, Definition, Detailed Guidance, Conformance Checklist, Review Guidelines).</t>
  </si>
  <si>
    <t>The document should contain a conformance checklist section.  This should highlight the mandatory requirements of the standard, process or procedure and also indicate the key desirable recommendations included in the text.</t>
  </si>
  <si>
    <t>The Introduction should identify the likely users and their needs (see section 4).</t>
  </si>
  <si>
    <t>The Introduction should contain enough information (directly or by reference) to explain the context of the document and its relationship to other standards and procedures.</t>
  </si>
  <si>
    <t>For standards the “Definition Section” should provide an indication of the preferred structure of the item being defined.</t>
  </si>
  <si>
    <t>For processes the “Definition Section” should contain a clear summary of the roles and responsibilities involved.</t>
  </si>
  <si>
    <t>For procedures the “Definition Section” should contain a clear description of the activities necessary to complete the procedure and any specific requirements on the output produced.</t>
  </si>
  <si>
    <t>A standard should not normally include procedure or process descriptions although it may require that defined procedure stages have been passed.</t>
  </si>
  <si>
    <t>Checklist entries should be short.  When expressed as a question, they should be phrased in such a way that the requirements of the standard are met by a ‘yes’ answer.</t>
  </si>
  <si>
    <t>Where choices or options are offered, the circumstances applicable to each option should be clear, also the default which applies if no explicit choice is made</t>
  </si>
  <si>
    <t>Where appropriate, a process or procedure description should identify a set of metrics to be used for monitoring its use and for identifying potential process improvements.</t>
  </si>
  <si>
    <t>Review Checklist</t>
  </si>
  <si>
    <t>Is it clear whether the requirements of the standard, process or procedure are mandatory, desirable or optional (expect “must” or “shall” for mandatory; “should” for desirable; “may” for optional)?</t>
  </si>
  <si>
    <t>Is each “Requirement”” distinguishable from the associated “Guidance”?</t>
  </si>
  <si>
    <t>Is each “Requirement” clear, concise, precise and unambiguous?</t>
  </si>
  <si>
    <t>Are all referenced documents accurately described (do they exist; are references accurate; are references pertinent)?</t>
  </si>
  <si>
    <t>Do any descriptions of roles and responsibilities tie in with the current organisation structures?</t>
  </si>
  <si>
    <t>Is description sufficiently intelligible to the intended users?</t>
  </si>
  <si>
    <t>Is description sufficiently brief and to the point to allow easy reference to the relevant sections for the expected particular tasks?</t>
  </si>
  <si>
    <t>Is there sufficient guidance (included or referenced) to allow use by relative novices?</t>
  </si>
  <si>
    <t>Are all mandatory requirements addressed (See checklist above)?</t>
  </si>
  <si>
    <t>Are all desirable requirements addressed (See checklist above) or is their omission justified in this context (not necessary that the document provides the justification)?</t>
  </si>
  <si>
    <t>RRR_StandardNo3</t>
  </si>
  <si>
    <t>RRR_StandardNo4</t>
  </si>
  <si>
    <t>RRR_StandardNo5</t>
  </si>
  <si>
    <t>RRR_StandardNo6</t>
  </si>
  <si>
    <t>RRR_StandardNo7</t>
  </si>
  <si>
    <t>RRR_StandardNo8</t>
  </si>
  <si>
    <t>RRR_StandardNo9</t>
  </si>
  <si>
    <t>Notes</t>
  </si>
  <si>
    <t>Heading</t>
  </si>
  <si>
    <t>Document Review Entry Checks</t>
  </si>
  <si>
    <t>Mandatory – Standards</t>
  </si>
  <si>
    <t>Is the approvals list correct with respect to the Quality Plan and Quality Plan Annexes</t>
  </si>
  <si>
    <t>Do the Scope and Purpose sections give a clear and correct rationale for the document?</t>
  </si>
  <si>
    <t>Do the document headings and content reflect the purpose and scope?</t>
  </si>
  <si>
    <t>Does the Document history section identify the document issue and reason for issue?</t>
  </si>
  <si>
    <t>Does the Document references section include all documents referenced in the text?</t>
  </si>
  <si>
    <t>Does the Changes forecast section list all significant excluded items?</t>
  </si>
  <si>
    <t>Checks taken from Appendix B.1</t>
  </si>
  <si>
    <t>Recommended</t>
  </si>
  <si>
    <t>RRR_Checklist_ToSign</t>
  </si>
  <si>
    <t>RRR_Checklist_Total</t>
  </si>
  <si>
    <t>RRR_Checklist_TotalPass</t>
  </si>
  <si>
    <t>RRR_Checklist_FailSafety</t>
  </si>
  <si>
    <t>RRR_Checklist_FailTechnical</t>
  </si>
  <si>
    <t>RRR_Checklist_FailStandards</t>
  </si>
  <si>
    <t>RRR_Checklist_FailRecommended</t>
  </si>
  <si>
    <t>Safety Check Failures Approved By</t>
  </si>
  <si>
    <t>Safety Check Failures Approved On</t>
  </si>
  <si>
    <t>Technical Check Failures Approved By</t>
  </si>
  <si>
    <t>Technical Check Failures Approved On</t>
  </si>
  <si>
    <t>Checked</t>
  </si>
  <si>
    <t>Signed Off</t>
  </si>
  <si>
    <t>End</t>
  </si>
  <si>
    <t>None</t>
  </si>
  <si>
    <t>M</t>
  </si>
  <si>
    <t>RRR_SafetyApprovedBy</t>
  </si>
  <si>
    <t>RRR_SafetyApprovedOn</t>
  </si>
  <si>
    <t>RRR_TechnicalApprovedBy</t>
  </si>
  <si>
    <t>RRR_TechnicalApprovedOn</t>
  </si>
  <si>
    <t>RRR_Inconsistencies</t>
  </si>
  <si>
    <t>RRR_InconsistenciesJustified</t>
  </si>
  <si>
    <t>Accepted  (Op)</t>
  </si>
  <si>
    <t>Accepted (Non-Op)</t>
  </si>
  <si>
    <t>A list of the approvers for each deliverable item can be found in: S.P1488.1.2.5 'Quality Assurance Plan' or one of its annexes. The review team should be agreed with the approvers.</t>
  </si>
  <si>
    <t>S.Q1200.122.22</t>
  </si>
  <si>
    <t>Mandatory - Safety</t>
  </si>
  <si>
    <t>Mandatory - Technical</t>
  </si>
  <si>
    <t>·         Software:</t>
  </si>
  <si>
    <t>·         Tools,</t>
  </si>
  <si>
    <t>S.Q1200.122.37</t>
  </si>
  <si>
    <t>Python Coding Standard</t>
  </si>
  <si>
    <t>Python code review checklist - Mandatory Rules</t>
  </si>
  <si>
    <t>Shell directive present: #!/usr/bin/env python (section 2.1.1)</t>
  </si>
  <si>
    <t>Script prologue present and correct (section 2.1.1)</t>
  </si>
  <si>
    <t>Pylint reports no unjustified errors or warnings (section 2.1.1)</t>
  </si>
  <si>
    <t>Import directives are located at the top of the script (section 2.4.1)</t>
  </si>
  <si>
    <t>A single import statement per line (section 2.4.1)</t>
  </si>
  <si>
    <t>Private classes, functions, variables are preceded by two underscores (section 2.5.1/ 2.6.1)</t>
  </si>
  <si>
    <t>Protected class functions and variables are preceded by a single underscore (section 2.5.1)</t>
  </si>
  <si>
    <t>Types and constants are declared at the most closely enclosing unit needed for the visibility of that declaration (section 2.6.1)</t>
  </si>
  <si>
    <t>The TAB character is not present within the source script (section 2.7.1)</t>
  </si>
  <si>
    <t>Comments are separated from the '#' character by a single space (section 2.7.1)</t>
  </si>
  <si>
    <t>Only one declaration per source line (section 2.7.1)</t>
  </si>
  <si>
    <t>Only one statement per source line (section 2.7.1)</t>
  </si>
  <si>
    <t>No compound statements (section 2.7.1)</t>
  </si>
  <si>
    <t>No extraneous whitespace characters (section 2.7.1)</t>
  </si>
  <si>
    <t>Constants are not assigned a value after initialisation (section 2.7.1)</t>
  </si>
  <si>
    <t>All code has a purpose (section 2.7.1)</t>
  </si>
  <si>
    <t>Dividing comment lines are correct and aligned with the related source text (section 2.8.1)</t>
  </si>
  <si>
    <t>Comments don't paraphrase the source (section 2.8.1)</t>
  </si>
  <si>
    <t>Comments and spacing are used appropriately (section 2.8.1)</t>
  </si>
  <si>
    <t>Documentation strings are provided for functions, classes and modules (section 2.8.1)</t>
  </si>
  <si>
    <t>Documentation strings are correctly formatted (section 2.8.1)</t>
  </si>
  <si>
    <t>Comments are indented appropriately (section 2.8.1)</t>
  </si>
  <si>
    <t>Inline comments are indented appropriately and distinct from code (section 2.8.1)</t>
  </si>
  <si>
    <t>Comments are up to date and reflect true meaning of the related code (section 2.8.1)</t>
  </si>
  <si>
    <t>Complex expressions are clarified appropriately with parentheses (section 2.9.1)</t>
  </si>
  <si>
    <t>The operator &lt;&gt; is not used (section 2.9.1)</t>
  </si>
  <si>
    <t>Class and instance comparison is achieved using the 'is' and 'is not' syntax (section 2.9.1)</t>
  </si>
  <si>
    <t>List and range querying is achieved by using the 'in' and 'not in' syntax (section 2.9.1)</t>
  </si>
  <si>
    <t>Application-level exceptions are handled (section 2.10.1)</t>
  </si>
  <si>
    <t>All exceptions explicitly raised within a function are documented in the documentation string (section 2.10.1)</t>
  </si>
  <si>
    <t>All exceptions raised within the module are defined at the top of the module and/or in an exception module (section 2.10.1)</t>
  </si>
  <si>
    <t>Checks from Appendix A</t>
  </si>
  <si>
    <t>If script is executable, - Script supports -h and -help command line arguments (section 2.1.1)</t>
  </si>
  <si>
    <t>P</t>
  </si>
  <si>
    <t>Q</t>
  </si>
  <si>
    <t>N</t>
  </si>
  <si>
    <t xml:space="preserve">Verification Design and SVA Standard  </t>
  </si>
  <si>
    <t>General</t>
  </si>
  <si>
    <t>Does the document import into DOORS without any errors being reported?</t>
  </si>
  <si>
    <t>SVAs</t>
  </si>
  <si>
    <t>Is the use of an SVA correct (OAP [3], §4)?</t>
  </si>
  <si>
    <t>Are the conditions under which the SVA applies clearly documented and understandable?</t>
  </si>
  <si>
    <t>Are the delegations of responsibilities clearly defined?</t>
  </si>
  <si>
    <t>Has mitigation covering each and every condition under which the SVA applies been documented?</t>
  </si>
  <si>
    <t>Functional Analysis</t>
  </si>
  <si>
    <t>Has a valid verification technique been chosen based on the requirement type and integrity (OAP [3], §6.1.2)?</t>
  </si>
  <si>
    <t>Is the functionality of each requirement fully covered by the set of verifications conditions that have been traced to the requirement?</t>
  </si>
  <si>
    <t>Have the different bus configurations (18m &amp; 24m) been considered?</t>
  </si>
  <si>
    <t>Is the entire state space covered by the union of the identified equivalence classes?</t>
  </si>
  <si>
    <t>Do all the members of the state space belong to one and only one equivalence class?</t>
  </si>
  <si>
    <t>Do all members of an equivalence class exhibit identical behaviour from the system?</t>
  </si>
  <si>
    <t>Is the choice of weak or strong verification conditions correct (OAP [3], §6.1.1)?</t>
  </si>
  <si>
    <t>Decision Table</t>
  </si>
  <si>
    <t>Has a unique cause of action been identified for every combination of the predicate conditions?</t>
  </si>
  <si>
    <t>State Transition</t>
  </si>
  <si>
    <t>Is there an initial state with only outbound transitions?</t>
  </si>
  <si>
    <t>Is there a final state with only inbound transitions? If not, has a reason been stated why not?</t>
  </si>
  <si>
    <t>Is every state reachable from the initial state?</t>
  </si>
  <si>
    <t>Is a final state reachable from all the other states?</t>
  </si>
  <si>
    <t>Do every defined event and every defined action appear in at least one transition?</t>
  </si>
  <si>
    <t>Except for the initial and final states, does every state have at least one incoming and one outgoing transition?</t>
  </si>
  <si>
    <t>Are the events accepted in a particular state unique or differentiated by mutually exclusive guards?</t>
  </si>
  <si>
    <t>Is the entire range of truth values (true, false) covered by the guard expressions associated with the same event accepted in a particular state?</t>
  </si>
  <si>
    <t>Are the evaluations of each guard expression free from any side effects in the implementation under test?</t>
  </si>
  <si>
    <t>Are the actions associated with a state change free from any side affects that would corrupt or change the target state?</t>
  </si>
  <si>
    <t>Are the state, event and action names unambiguous and meaningful in the context of the application?</t>
  </si>
  <si>
    <t>Verification Approach</t>
  </si>
  <si>
    <t>Mandatory - Standards</t>
  </si>
  <si>
    <t>Has the verification approach be defined for all verifications conditions? Are the risks, limitations, tolerances and assumptions clearly understood?</t>
  </si>
  <si>
    <t>Equivalent partition (including boundary analysis)</t>
  </si>
  <si>
    <t xml:space="preserve">Requirements Standard  </t>
  </si>
  <si>
    <t>Checks from Section 5</t>
  </si>
  <si>
    <t>Does the structure of the document comply with Section 2 of the standard? (Completeness, correctness, usability)</t>
  </si>
  <si>
    <t>Have all sections been populated? (Completeness)</t>
  </si>
  <si>
    <t>Have notations been used correctly? This applies to diagrams, mathematics and text. (Consistency, correctness, usability)</t>
  </si>
  <si>
    <t>Are the attributes consistent with those described in Section 3 of the standard? (Consistency, usability)</t>
  </si>
  <si>
    <t>Are all terms defined and unambiguous? Pay particular attention to terms in general use that may have a special meaning. (Consistency, correctness, usability, refutability)</t>
  </si>
  <si>
    <t>Where the same item is described by more than one notation or in more than one place, are the descriptions consistent? (Consistency, usability)</t>
  </si>
  <si>
    <t>Document Structure and Notation</t>
  </si>
  <si>
    <t>Context and Domain</t>
  </si>
  <si>
    <t>Does the context diagram appear to fit the summary of overall needs? (Completeness, correctness, usability)</t>
  </si>
  <si>
    <t>Does the context diagram identify the relevant items from the domain? (Completeness, necessity, correctness)</t>
  </si>
  <si>
    <t>Does the application domain description cover all entities in the context diagram? (Completeness, consistency)</t>
  </si>
  <si>
    <t>Is the application domain description correct? (Correctness)</t>
  </si>
  <si>
    <t>Have all assumptions (domain knowledge) been validated? (Completeness, Correctness)</t>
  </si>
  <si>
    <t>Does the context diagram identify the salient interactions between the system and domain entities? (Completeness, necessity)</t>
  </si>
  <si>
    <t>Do the interactions on the diagram correctly indicate the controlling entity? (Consistency, correctness)</t>
  </si>
  <si>
    <t>Is the system boundary correct? (Completeness, necessity, consistency, correctness)</t>
  </si>
  <si>
    <t>Requirements</t>
  </si>
  <si>
    <t>Do the requirements cover all the interactions described in the problem context? (Completeness, consistency)</t>
  </si>
  <si>
    <t>Is it feasible to implement the requirements subject to quality, cost and time constraints? (Feasibility)</t>
  </si>
  <si>
    <t>Is it possible to verify that the requirements are met? (Refutability, usability)</t>
  </si>
  <si>
    <t>Is guidance given on verification of negative requirements? (Refutability, usability)</t>
  </si>
  <si>
    <t>Do the requirements have source or traceability to higher-level requirements? (Completeness, necessity, usability)</t>
  </si>
  <si>
    <t>Have all higher-level requirements apportioned to this system/sub-system/component been traced to? (Completeness)</t>
  </si>
  <si>
    <t>Do the requirements describe the correct behaviour? (Correctness)</t>
  </si>
  <si>
    <t>Are the requirements consistent with respect to the higher-level architecture and design? (For GSHW sub-systems, this includes the GS Architecture and any relevant GCF datasheets.) (Completeness, correctness)</t>
  </si>
  <si>
    <t>Do the requirements describe only the externally observable aspects of the system? (Consistency, externality, necessity, usability)</t>
  </si>
  <si>
    <t>Is sufficient cross-referencing provided to facilitate impact analysis? (Consistency, usability)</t>
  </si>
  <si>
    <t>Are all requirements necessary? (Necessity)</t>
  </si>
  <si>
    <t>Are all requirements mandatory? (Necessity)</t>
  </si>
  <si>
    <t>Are all requirements concise, and distinctly documented? (Conciseness)</t>
  </si>
  <si>
    <t>Are the precision, accuracy and tolerance of the system clearly documented? (Correctness, usability, refutability)</t>
  </si>
  <si>
    <t>Do the requirements have the properties described in Section 3.3? (All)</t>
  </si>
  <si>
    <t>Adequacy of Review</t>
  </si>
  <si>
    <t>Has the document been reviewed by the Quality Manager? (General quality)</t>
  </si>
  <si>
    <t>Has the document been independently reviewed? (Correctness, general quality)</t>
  </si>
  <si>
    <t>Has the Safety Team reviewed the document to ensure that it is sufficient to support the Safety Plan? (Correctness)</t>
  </si>
  <si>
    <t>Has the Independent Verification Team reviewed the document? (Refutability)</t>
  </si>
  <si>
    <t>Document Review Entry Checks (Review Procedure)</t>
  </si>
  <si>
    <t>Is the analysis clearly documented and understandable? (Analysis should include the definition of all the inputs and outputs to and from the function)</t>
  </si>
  <si>
    <t>Have all the combinations of the predicate conditions been accounted for? (E.g. for n Boolean predicate conditions there are 2n combinations.)</t>
  </si>
  <si>
    <t>Is each state unique? (Two states are equivalent if all possible outbound event sequences result in identical action sequences.)</t>
  </si>
  <si>
    <t>Is the state analysis complete? (State analysis is complete when every state/event pair has at least one transition, resulting in a defined state; or there is an explicit specification of an error-handling or exception-handling mechanism for events that are implicitly rejected (with no specified transition).)</t>
  </si>
  <si>
    <t>Have up-to-date DMA and CSV files been stored with the document? (Usability)</t>
  </si>
  <si>
    <t>Test Case Design checklist</t>
  </si>
  <si>
    <t>Test Case Design document review checklist</t>
  </si>
  <si>
    <t>Do the steps adequately cover the VCs they are traced to? Where a VC is split across multiple steps, is the split of the VC clearly documented? Have the test cases clearly identified the aspect of the VC that is to be tested?</t>
  </si>
  <si>
    <t>Where testing is carried out at a lower level than the requirements are specified, is there configuration managed tracing from all input and output objects (used to setup and check test steps) to requirements objects?</t>
  </si>
  <si>
    <t>Are the concrete values chosen within the ranges specified by the VCs and the accuracy and tolerances defined by the Verification Design?</t>
  </si>
  <si>
    <t>Are there sufficient expectations to demonstrate non-corruption?</t>
  </si>
  <si>
    <t>Will the test cases be robust to design changes outside of the area under test?</t>
  </si>
  <si>
    <t>Is there a good balance between efficiency and simplicity?</t>
  </si>
  <si>
    <t>If there are relevant scenarios developed by the systems engineering team have they been used to structure test cases?</t>
  </si>
  <si>
    <t>Is the test case design document compliant with the test case design standard?</t>
  </si>
  <si>
    <t>Are all Test case names and test step names within each test case unique?</t>
  </si>
  <si>
    <t>Have test case designs been imported into TMS: DOORS and all VCs covered by the test case designs shown to trace to at least one test step?</t>
  </si>
  <si>
    <t>Do "Document references" include the issue number of any documents where those documents have a direct impact on the test cases, for example, the Verification Design document?</t>
  </si>
  <si>
    <t>A.N.Other (Checklist)</t>
  </si>
  <si>
    <t>A.N.Other (Typos, grammar, spelling, formatting etc.)</t>
  </si>
  <si>
    <t>Have all spelling/grammatical/formatting errors been removed?</t>
  </si>
  <si>
    <t>Mandatory – Technical</t>
  </si>
  <si>
    <t>AUnit Test Scripting Checklist</t>
  </si>
  <si>
    <t>Are all inputs definitive</t>
  </si>
  <si>
    <t>Test case design implemented faithfully</t>
  </si>
  <si>
    <t>Non-interference: only data store modules expected to be used included in the GPR</t>
  </si>
  <si>
    <t>Non-interference: checks added to ensure read-only data stores are not written to.</t>
  </si>
  <si>
    <t>Data imports into SED and DOORS and links are in place</t>
  </si>
  <si>
    <t>Folder structure and naming conventions followed</t>
  </si>
  <si>
    <t>Areas with less than 100% code coverage reported to development team leader</t>
  </si>
  <si>
    <t>Checks from Appendix D</t>
  </si>
  <si>
    <t>S.Q1200.50.1</t>
  </si>
  <si>
    <t>Issue 1.2</t>
  </si>
  <si>
    <t>S.Q1200.122.TBC</t>
  </si>
  <si>
    <t>GCSW Aunit Test Scripting Procedure</t>
  </si>
  <si>
    <t>Issue: 1.0</t>
  </si>
  <si>
    <t>This is a generic RRR template which needs to be customised for each project.</t>
  </si>
  <si>
    <t>In order to customise this template the following decisions need to have been made:</t>
  </si>
  <si>
    <t>---------------------------------------------------------------------------</t>
  </si>
  <si>
    <t>Hide this line and all lines beneath once customisation has been completed.</t>
  </si>
  <si>
    <t>1) Whether or not effort data associated with reviews is captured in RRRs or through timesheets (this should be captured in the Project Management Plan).</t>
  </si>
  <si>
    <t>2) Whether or not size metrics should be captured in RRRs or through a separate mechanism (e.g. Trac)</t>
  </si>
  <si>
    <t>3) Which Standards/Checklists are applicable to the project (this should be captured in the Quality Plan).</t>
  </si>
  <si>
    <t>1) This template is setup by default to capture effort data, to change it to not capture effort data:</t>
  </si>
  <si>
    <t xml:space="preserve">    * Hide the "Metrics" sheet</t>
  </si>
  <si>
    <t xml:space="preserve">    * Set CaptureEffortData on the "Summary and Sign Off" sheet to False</t>
  </si>
  <si>
    <t>Always hide this "Usage" sheet once the template has been setup.</t>
  </si>
  <si>
    <t>3) Add the checklists for each of the standards/checklists listed in the QA plan to the "Checklists" tab.</t>
  </si>
  <si>
    <t>The following activities also need to be completed before the template is ready for use on a specific project:</t>
  </si>
  <si>
    <t>1) Complete the Front Sheet and press the "Update Headers and Footers" button.</t>
  </si>
  <si>
    <t>2) Hide row 61 and below on the "Summary and Sign Off" sheet</t>
  </si>
  <si>
    <t>3) Hide the following sheets:
   * "Usage" (this sheet);
   * "Checklists";
   * "Front Sheet";
   * "Template Control".</t>
  </si>
  <si>
    <t>2) This template is setup by default to capture size data, to change it to not capture size data:</t>
  </si>
  <si>
    <t xml:space="preserve">    * Hide rows 9 to 12 on the "Calling Notice"</t>
  </si>
  <si>
    <t>Page/para</t>
  </si>
  <si>
    <t xml:space="preserve"> AH/1 </t>
  </si>
  <si>
    <t xml:space="preserve"> General </t>
  </si>
  <si>
    <t xml:space="preserve"> AH/2 </t>
  </si>
  <si>
    <t xml:space="preserve"> pg4 oara 2 </t>
  </si>
  <si>
    <t xml:space="preserve"> Typo: delete "section" in "which section is specific to ..." </t>
  </si>
  <si>
    <t xml:space="preserve"> AH/3 </t>
  </si>
  <si>
    <t xml:space="preserve"> last para </t>
  </si>
  <si>
    <t xml:space="preserve"> AH/4 </t>
  </si>
  <si>
    <t xml:space="preserve"> 1.9.5 </t>
  </si>
  <si>
    <t xml:space="preserve"> Para 2, first sentence </t>
  </si>
  <si>
    <t xml:space="preserve"> Poor grammar in first sentence.</t>
  </si>
  <si>
    <t xml:space="preserve"> AH/5 </t>
  </si>
  <si>
    <t xml:space="preserve"> 1.9.6 </t>
  </si>
  <si>
    <t xml:space="preserve"> Second bullet of the list starting "The way in which these are used are:" </t>
  </si>
  <si>
    <t xml:space="preserve"> Unclear first sentence.</t>
  </si>
  <si>
    <t xml:space="preserve"> AH/6 </t>
  </si>
  <si>
    <t xml:space="preserve"> First Todo </t>
  </si>
  <si>
    <t xml:space="preserve"> AH/7 </t>
  </si>
  <si>
    <t xml:space="preserve"> 1.10.1 </t>
  </si>
  <si>
    <t xml:space="preserve"> Definition of inputs/outputs </t>
  </si>
  <si>
    <t xml:space="preserve"> AH/8 </t>
  </si>
  <si>
    <t xml:space="preserve"> 1.10.3 </t>
  </si>
  <si>
    <t xml:space="preserve"> Bullet 3 </t>
  </si>
  <si>
    <t xml:space="preserve"> AH/9 </t>
  </si>
  <si>
    <t xml:space="preserve"> 1.10.4 </t>
  </si>
  <si>
    <t xml:space="preserve"> Bullet 1 </t>
  </si>
  <si>
    <t xml:space="preserve"> Is the consequence of this that users would always have to add "global =&gt; null" whenever an operation does not use globals? This feels like a bit of an overhead.</t>
  </si>
  <si>
    <t xml:space="preserve"> AH/10 </t>
  </si>
  <si>
    <t xml:space="preserve"> Todo </t>
  </si>
  <si>
    <t xml:space="preserve"> The Todo contradicts the text in this section. One or the other should be removed.</t>
  </si>
  <si>
    <t xml:space="preserve"> AH/11 </t>
  </si>
  <si>
    <t xml:space="preserve"> 5.5.3 </t>
  </si>
  <si>
    <t xml:space="preserve"> Syntax section </t>
  </si>
  <si>
    <t xml:space="preserve"> AH/12 </t>
  </si>
  <si>
    <t xml:space="preserve"> 2nd para </t>
  </si>
  <si>
    <t xml:space="preserve"> [SPARK] should be replaced in the reST source with |SPARK|.</t>
  </si>
  <si>
    <t xml:space="preserve"> AH/13 </t>
  </si>
  <si>
    <t xml:space="preserve"> 6.1.2 </t>
  </si>
  <si>
    <t xml:space="preserve"> NA </t>
  </si>
  <si>
    <t xml:space="preserve"> Please consider including forward references to the sections that define Global, Depends and Contract_Cases</t>
  </si>
  <si>
    <t xml:space="preserve"> AH/14 </t>
  </si>
  <si>
    <t xml:space="preserve"> 6.1.4 </t>
  </si>
  <si>
    <t xml:space="preserve"> Static Semantics </t>
  </si>
  <si>
    <t xml:space="preserve"> "A global_item is referenced if: It is an input or an output of the subprogram" needs to be extended to cover globals in subprograms called directly or indirectly.</t>
  </si>
  <si>
    <t xml:space="preserve"> AH/15 </t>
  </si>
  <si>
    <t xml:space="preserve"> Verification rules </t>
  </si>
  <si>
    <t xml:space="preserve"> Typo: "is a analyzed" =&gt; "is analyzed"</t>
  </si>
  <si>
    <t xml:space="preserve"> AH/16 </t>
  </si>
  <si>
    <t xml:space="preserve"> 6.1.5 </t>
  </si>
  <si>
    <t xml:space="preserve"> Language definition para 2 </t>
  </si>
  <si>
    <t xml:space="preserve"> Shouldn't we state in here "on at least one path"?</t>
  </si>
  <si>
    <t xml:space="preserve"> AH/17 </t>
  </si>
  <si>
    <t xml:space="preserve"> 6.1.7 </t>
  </si>
  <si>
    <t xml:space="preserve"> 2nd Para  </t>
  </si>
  <si>
    <t xml:space="preserve"> Two typos corrected in this version: "If **a** call is made, directly or indirectly, to this function other than in a**n** assertion expression which is not a subtype predicate, or if the assertion policy Ignore is not selected, an error will be reported when an attempt is made to build and execute the program."</t>
  </si>
  <si>
    <t xml:space="preserve"> AH/18 </t>
  </si>
  <si>
    <t xml:space="preserve"> 6.3.3 </t>
  </si>
  <si>
    <t xml:space="preserve"> Firsts para </t>
  </si>
  <si>
    <t xml:space="preserve"> Typo: "its its".</t>
  </si>
  <si>
    <t xml:space="preserve"> AH/19 </t>
  </si>
  <si>
    <t xml:space="preserve"> I expected some mention of state refinement here. Please provide a forward reference to the relevant subsection of section 7. Nb this comment also applies to section 6.3.4.</t>
  </si>
  <si>
    <t xml:space="preserve"> AH/20 </t>
  </si>
  <si>
    <t xml:space="preserve"> 6.4.2 </t>
  </si>
  <si>
    <t xml:space="preserve"> Verification rule 21 </t>
  </si>
  <si>
    <t xml:space="preserve"> Typo: "one of corresponding".</t>
  </si>
  <si>
    <t xml:space="preserve"> AH/21 </t>
  </si>
  <si>
    <t xml:space="preserve"> 7.1.3 </t>
  </si>
  <si>
    <t xml:space="preserve"> Legality rule 5 </t>
  </si>
  <si>
    <t xml:space="preserve"> We decided to remove the "Integrity" aspect if Secunet confirmed they didn't need it. Was this discussed in the meeting in Paris?</t>
  </si>
  <si>
    <t xml:space="preserve"> AH/22 </t>
  </si>
  <si>
    <t xml:space="preserve"> Static semantics bullet 4 (counting manually) </t>
  </si>
  <si>
    <t xml:space="preserve"> Typo: It seems wrong to have a rule in square brackets. It suggests it isn't relly a rule.</t>
  </si>
  <si>
    <t xml:space="preserve"> AH/23 </t>
  </si>
  <si>
    <t xml:space="preserve"> Opening para. </t>
  </si>
  <si>
    <t xml:space="preserve"> The opening para doesn't appear to be a complete intro to the section or a definition that is particularly relevant to just this section.</t>
  </si>
  <si>
    <t xml:space="preserve"> AH/24 </t>
  </si>
  <si>
    <t xml:space="preserve"> Requirement </t>
  </si>
  <si>
    <t xml:space="preserve"> This high-level requirement and rationale don't justify the need to raise exceptions, in fact the rationale implies that we shouldn't!</t>
  </si>
  <si>
    <t xml:space="preserve"> AH/25 </t>
  </si>
  <si>
    <t xml:space="preserve"> Second para of legality rules </t>
  </si>
  <si>
    <t xml:space="preserve"> AH/26 </t>
  </si>
  <si>
    <t xml:space="preserve"> Appendix A </t>
  </si>
  <si>
    <t xml:space="preserve"> This section has not been reviewed by the review team. Recommend that it is either reviewed by the authors and updated or excluded from the version that goes to the advisory panel.</t>
  </si>
  <si>
    <t xml:space="preserve"> AH/27 </t>
  </si>
  <si>
    <t xml:space="preserve"> I've just realised that I've read some detail on Ghost Functions but didn't see anything on Ghost Types and Ghost Variables.</t>
  </si>
  <si>
    <t xml:space="preserve"> AH/28 </t>
  </si>
  <si>
    <t xml:space="preserve"> [M213-043] has been discussing whether or not a global aspect must always be put in place manually whenever there is a depends aspect that references globals. The conclusion of this discussion may affect the RM.</t>
  </si>
  <si>
    <t xml:space="preserve"> SM/1 </t>
  </si>
  <si>
    <t xml:space="preserve"> Copyright </t>
  </si>
  <si>
    <t xml:space="preserve"> Copyright should be Altran UK Ltd</t>
  </si>
  <si>
    <t xml:space="preserve"> SM/2 </t>
  </si>
  <si>
    <t xml:space="preserve"> SM to confirm use of GFDL with Romain. Probably ok.</t>
  </si>
  <si>
    <t xml:space="preserve"> SM/3 </t>
  </si>
  <si>
    <t xml:space="preserve"> Introduction</t>
  </si>
  <si>
    <t xml:space="preserve"> 3/3</t>
  </si>
  <si>
    <t xml:space="preserve"> Are there really Aspects that are defined to support the interface between tested and proven units? - which ones?</t>
  </si>
  <si>
    <t xml:space="preserve"> SM/4</t>
  </si>
  <si>
    <t xml:space="preserve"> 3/5</t>
  </si>
  <si>
    <t xml:space="preserve"> GNAT (in caps)</t>
  </si>
  <si>
    <t xml:space="preserve"> SM/5</t>
  </si>
  <si>
    <t xml:space="preserve"> 3/7</t>
  </si>
  <si>
    <t xml:space="preserve"> Reword "... Given ... gives ... given" eg. replace last "given" by "specified"</t>
  </si>
  <si>
    <t xml:space="preserve"> SM/6</t>
  </si>
  <si>
    <t xml:space="preserve"> 4/bullet 1</t>
  </si>
  <si>
    <t xml:space="preserve"> Typo "aspect and pragamas" -&gt; "aspects and pragmas"</t>
  </si>
  <si>
    <t xml:space="preserve"> SM/7</t>
  </si>
  <si>
    <t xml:space="preserve"> We need a note somewhere that the pragmas are still to be added to the LRM.</t>
  </si>
  <si>
    <t xml:space="preserve"> SM/8</t>
  </si>
  <si>
    <t xml:space="preserve"> 5/bullet 3</t>
  </si>
  <si>
    <t xml:space="preserve"> Strictly speaking, a check can't be raised, so some rewording needed here.</t>
  </si>
  <si>
    <t xml:space="preserve"> SM/9</t>
  </si>
  <si>
    <t xml:space="preserve"> 5/last para of 1.5</t>
  </si>
  <si>
    <t xml:space="preserve"> Suggest you either define "formal program verification" (or maybe just "formal verification") as "formal verification of robustness properties and functional properties taken together" (similar to how "flow analysis" is defined).</t>
  </si>
  <si>
    <t xml:space="preserve"> SM/10</t>
  </si>
  <si>
    <t xml:space="preserve"> General</t>
  </si>
  <si>
    <t xml:space="preserve"> n/a</t>
  </si>
  <si>
    <t xml:space="preserve"> *Not for this draft* - ToDo: consider adding a glossary with terms such as "flow analysis" and "formal [program] verification" defined.</t>
  </si>
  <si>
    <t xml:space="preserve"> SM/11</t>
  </si>
  <si>
    <t xml:space="preserve"> 1.5.1</t>
  </si>
  <si>
    <t xml:space="preserve"> 5/2</t>
  </si>
  <si>
    <t xml:space="preserve"> Is talking about an Assume as an assertion strictly correct? Maybe this will become clearer  when the Proof Statements section has been added.</t>
  </si>
  <si>
    <t xml:space="preserve"> SM/12</t>
  </si>
  <si>
    <t xml:space="preserve"> 5/final para of 1.5.1</t>
  </si>
  <si>
    <t xml:space="preserve"> The first sentence needs to be reworded. It could be read as saying that the tools will give a different answer depending on the platform they are run on. I know this isn't what it is supposed to say. "Note that formal verification must take account of the environment in which a program will be executed"?</t>
  </si>
  <si>
    <t xml:space="preserve"> SM/13</t>
  </si>
  <si>
    <t xml:space="preserve"> 5/second para of 1.6</t>
  </si>
  <si>
    <t xml:space="preserve"> I'm not sure "invalid" is the right word. "unverified"?</t>
  </si>
  <si>
    <t xml:space="preserve"> SM/14</t>
  </si>
  <si>
    <t xml:space="preserve"> 1.7.1</t>
  </si>
  <si>
    <t xml:space="preserve"> Suggest starting para with "Code Policies" rather than "Guidelines".</t>
  </si>
  <si>
    <t xml:space="preserve"> SM/15</t>
  </si>
  <si>
    <t xml:space="preserve"> </t>
  </si>
  <si>
    <t xml:space="preserve"> Is the use of square brackets used to denote something? If not, suggest use of normal brackets.</t>
  </si>
  <si>
    <t xml:space="preserve"> SM/16</t>
  </si>
  <si>
    <t xml:space="preserve"> 7/bullet 1</t>
  </si>
  <si>
    <t xml:space="preserve"> Delete "although" and start new sentence.</t>
  </si>
  <si>
    <t xml:space="preserve"> SM/17</t>
  </si>
  <si>
    <t xml:space="preserve"> 8/bullet 4</t>
  </si>
  <si>
    <t xml:space="preserve"> We need to loosen this statement - we are considering not re-implementing the integrity contract.</t>
  </si>
  <si>
    <t xml:space="preserve"> SM/18</t>
  </si>
  <si>
    <t xml:space="preserve"> 1.9.1</t>
  </si>
  <si>
    <t xml:space="preserve"> 9/bullet 6</t>
  </si>
  <si>
    <t xml:space="preserve"> "tools"-&gt;"language".</t>
  </si>
  <si>
    <t xml:space="preserve"> SM/19</t>
  </si>
  <si>
    <t xml:space="preserve"> 1.9.2</t>
  </si>
  <si>
    <t xml:space="preserve"> 9/5</t>
  </si>
  <si>
    <t xml:space="preserve"> Insert "at least" before "as good as".</t>
  </si>
  <si>
    <t xml:space="preserve"> SM/20</t>
  </si>
  <si>
    <t xml:space="preserve"> 1.9.3</t>
  </si>
  <si>
    <t xml:space="preserve"> 10/bullet 1</t>
  </si>
  <si>
    <t xml:space="preserve"> How could something as specific as being an ATM system drive a code policy - other than being by virtue of a standard? Just "Server class" is ok, or maybe "Server class information systems"?</t>
  </si>
  <si>
    <t xml:space="preserve"> SM/21</t>
  </si>
  <si>
    <t xml:space="preserve"> 1.9.5</t>
  </si>
  <si>
    <t xml:space="preserve"> 11/2</t>
  </si>
  <si>
    <t xml:space="preserve"> Something wrong with grammar of first sentence.</t>
  </si>
  <si>
    <t xml:space="preserve"> SM/22</t>
  </si>
  <si>
    <t xml:space="preserve"> 1.9.6</t>
  </si>
  <si>
    <t xml:space="preserve"> 13/2</t>
  </si>
  <si>
    <t xml:space="preserve"> Do we say what this new aspect is somewhere - or is that part of the ToDo?</t>
  </si>
  <si>
    <t xml:space="preserve"> SM/23</t>
  </si>
  <si>
    <t xml:space="preserve"> 1.10.1</t>
  </si>
  <si>
    <t xml:space="preserve"> Suggest term being defined is highlighted or italicised.</t>
  </si>
  <si>
    <t xml:space="preserve"> SM/24</t>
  </si>
  <si>
    <t xml:space="preserve"> Why "interim"?</t>
  </si>
  <si>
    <t xml:space="preserve"> SM/25</t>
  </si>
  <si>
    <t xml:space="preserve"> Number missing from legaility rule 2.</t>
  </si>
  <si>
    <t xml:space="preserve"> SM/26</t>
  </si>
  <si>
    <t xml:space="preserve"> 10.1 (and elsewhere?)</t>
  </si>
  <si>
    <t xml:space="preserve"> Suggest we either hide Notes in the issued draft or tidy-up the language a bit "... I don't understand ..." seems a bit informal.</t>
  </si>
  <si>
    <t xml:space="preserve"> SM/27</t>
  </si>
  <si>
    <t xml:space="preserve"> "toolset"-&gt;"language".</t>
  </si>
  <si>
    <t xml:space="preserve"> SM/28</t>
  </si>
  <si>
    <t xml:space="preserve"> A</t>
  </si>
  <si>
    <t xml:space="preserve"> 75 onwards</t>
  </si>
  <si>
    <t xml:space="preserve"> We should include an up-to-date mapping spec if we can do so without delaying release of the document.</t>
  </si>
  <si>
    <t xml:space="preserve"> JEB01</t>
  </si>
  <si>
    <t xml:space="preserve"> para 1.</t>
  </si>
  <si>
    <t xml:space="preserve"> Typo: "with subsequent releases of the toolset" (not software) to be consistent with earlier text.</t>
  </si>
  <si>
    <t xml:space="preserve"> JEB02</t>
  </si>
  <si>
    <t xml:space="preserve"> last line.</t>
  </si>
  <si>
    <t xml:space="preserve"> Mandatory : What are you trying to convey here. Clearly the content of the document may change when the document is updated. Do you actually mean that the target of particular scope of work may change?</t>
  </si>
  <si>
    <t xml:space="preserve"> JEB03</t>
  </si>
  <si>
    <t xml:space="preserve"> Item 1.</t>
  </si>
  <si>
    <t xml:space="preserve"> Typos: expression -&gt; expressions AND pragamas -&gt; pragmas.</t>
  </si>
  <si>
    <t xml:space="preserve"> JEB04</t>
  </si>
  <si>
    <t xml:space="preserve"> Desirable: The use of hyperlink cross references that refer to names rather than section numbers makes a print-out of the document hard to navigate. Would it be possible to include the section number / page number in these cross references too?</t>
  </si>
  <si>
    <t xml:space="preserve"> JEB05</t>
  </si>
  <si>
    <t xml:space="preserve"> 1.7.2</t>
  </si>
  <si>
    <t xml:space="preserve"> Final</t>
  </si>
  <si>
    <t xml:space="preserve"> Typo: easier to read as "... belong in this document, in future it...." (replace "then" with ",")</t>
  </si>
  <si>
    <t xml:space="preserve"> JEB06</t>
  </si>
  <si>
    <t>1.7.4</t>
  </si>
  <si>
    <t xml:space="preserve"> Final sentence</t>
  </si>
  <si>
    <t xml:space="preserve"> Typo: replace "that" with "this" I think. "Where greater precision is required, this will..."</t>
  </si>
  <si>
    <t xml:space="preserve"> JEB07</t>
  </si>
  <si>
    <t xml:space="preserve"> 1.7.5</t>
  </si>
  <si>
    <t xml:space="preserve"> Desirable: Could we cross reference section 1.10 here? End of chapter is a bit vague especially as the final section in this chapter is Notes on the current draft.</t>
  </si>
  <si>
    <t xml:space="preserve"> JEB08</t>
  </si>
  <si>
    <t xml:space="preserve"> para 7.</t>
  </si>
  <si>
    <t xml:space="preserve"> Typo: "but a may" should read "but may"</t>
  </si>
  <si>
    <t xml:space="preserve"> JEB09 </t>
  </si>
  <si>
    <t xml:space="preserve">  page 8 para 2.</t>
  </si>
  <si>
    <t xml:space="preserve"> Desirable: Phrase "are only partly within the SPARK 2014 language and other parts in another language" is difficult to read, perhaps replace "and" with "with" or replace "and other parts in another language" with "where other parts are in another language".</t>
  </si>
  <si>
    <t xml:space="preserve"> JEB10</t>
  </si>
  <si>
    <t xml:space="preserve"> page 8 para 2</t>
  </si>
  <si>
    <t xml:space="preserve"> Mandatory: Why "|SPARK|"? is this some control sequence?</t>
  </si>
  <si>
    <t xml:space="preserve"> JEB11</t>
  </si>
  <si>
    <t xml:space="preserve"> page 8</t>
  </si>
  <si>
    <t xml:space="preserve"> Mandatory: The statement "Support for specifying and verifying properties of secure systems shall be improved" is a very weak statement, improved as compared with what?</t>
  </si>
  <si>
    <t xml:space="preserve"> JEB12</t>
  </si>
  <si>
    <t xml:space="preserve"> page 8 Final bullet</t>
  </si>
  <si>
    <t xml:space="preserve"> Desirable: I don't like the use of the word "significant". Do you mean "observable effect" or "discernable effect".</t>
  </si>
  <si>
    <t xml:space="preserve"> JEB13</t>
  </si>
  <si>
    <t xml:space="preserve"> Desirable: It would be useful to make a statement as to which milestone this document corresponds to. Throughout we refer to things being deferred to Milestone A or Release B. I would like to see something that states that this is Milestone X version so that we know how soon deferred material will appear and it would enable checking that there are no references to past milestones.</t>
  </si>
  <si>
    <t xml:space="preserve"> JEB14</t>
  </si>
  <si>
    <t xml:space="preserve"> Observation: Will generative analysis support abstract state? Or will it be based purely on the concrete state.</t>
  </si>
  <si>
    <t xml:space="preserve"> JEB15</t>
  </si>
  <si>
    <t>4.1.4</t>
  </si>
  <si>
    <t xml:space="preserve"> Second ToDo</t>
  </si>
  <si>
    <t xml:space="preserve"> Observation: As Language Defined attributes form Appendix K of the ARM I suggest that the supported Attributes should be presented in an appendix.</t>
  </si>
  <si>
    <t xml:space="preserve"> JEB16</t>
  </si>
  <si>
    <t xml:space="preserve"> Sections 2 onward</t>
  </si>
  <si>
    <t xml:space="preserve"> Desirable: Where language restrictions are made it would be nice if there was a trace back to the strategic requirement that causes the restriction. I think this would help motivate the restrictions.</t>
  </si>
  <si>
    <t xml:space="preserve"> JEB17</t>
  </si>
  <si>
    <t xml:space="preserve"> Item 1</t>
  </si>
  <si>
    <t xml:space="preserve"> Desirable: Put delay_statement before abort_statement to match order in ARM.</t>
  </si>
  <si>
    <t xml:space="preserve"> JEB0</t>
  </si>
  <si>
    <t xml:space="preserve"> page 31 para 2</t>
  </si>
  <si>
    <t xml:space="preserve"> Mandatory: Why "[SPARK]" is this a control sequence that should be expanded to SPARK 2014?</t>
  </si>
  <si>
    <t>6.1.3</t>
  </si>
  <si>
    <t xml:space="preserve"> page 33</t>
  </si>
  <si>
    <t xml:space="preserve"> Desirable: Is the function "Exactly_One_Of" defined somewhere? Surely this expands to   (A1 and not A2 and not ... and not An) Or (not A1 and A2 and not ... and not An) Or ... Or (not A1 and not A2 and not ... and An) </t>
  </si>
  <si>
    <t xml:space="preserve"> JEB18</t>
  </si>
  <si>
    <t xml:space="preserve"> 6.1.3</t>
  </si>
  <si>
    <t xml:space="preserve"> page 34 Verification Rule 1</t>
  </si>
  <si>
    <t xml:space="preserve"> Typo : "has to proven" should read "has to be proven"</t>
  </si>
  <si>
    <t xml:space="preserve"> JEB19</t>
  </si>
  <si>
    <t xml:space="preserve"> 6.1.4</t>
  </si>
  <si>
    <t xml:space="preserve"> page 35 first para</t>
  </si>
  <si>
    <t xml:space="preserve"> Observation : I take it that in this requirement the formal parameter referred to is a formal parameter of an enclosing subprogram, otherwise it would suggest that global lists include the formal parameters of the subprogram declaration with which they are associated.</t>
  </si>
  <si>
    <t xml:space="preserve"> JEB20</t>
  </si>
  <si>
    <t xml:space="preserve"> page 35 Semantics last requirement</t>
  </si>
  <si>
    <t xml:space="preserve"> Desirable: I assume that In_Out is both and input and an output mode. Would this not be clearer to state that a global data item that is only used in a proof context must have a Proof_In mode?</t>
  </si>
  <si>
    <t xml:space="preserve"> JEB21</t>
  </si>
  <si>
    <t xml:space="preserve"> page 36 Dynamic Semantics</t>
  </si>
  <si>
    <t xml:space="preserve"> Typo : "Global aspect" not just "Global" to be consistent with rest of section.</t>
  </si>
  <si>
    <t xml:space="preserve"> JEB22</t>
  </si>
  <si>
    <t xml:space="preserve"> 6.3.3</t>
  </si>
  <si>
    <t xml:space="preserve"> page 42 First para in section</t>
  </si>
  <si>
    <t xml:space="preserve"> Typo: "its its" should read "its". Remove duplicate word.</t>
  </si>
  <si>
    <t xml:space="preserve"> JEB23</t>
  </si>
  <si>
    <t xml:space="preserve"> 6.3.3 and 6.3.4</t>
  </si>
  <si>
    <t xml:space="preserve"> Comment withdrawn</t>
  </si>
  <si>
    <t xml:space="preserve"> JEB24</t>
  </si>
  <si>
    <t>6.4.2</t>
  </si>
  <si>
    <t xml:space="preserve"> page 44 Verification rules 1</t>
  </si>
  <si>
    <t xml:space="preserve"> Typo: "at least one of corresponding" should read "at least one of the corresponding"</t>
  </si>
  <si>
    <t xml:space="preserve"> JEB25</t>
  </si>
  <si>
    <t xml:space="preserve"> 6.4.2</t>
  </si>
  <si>
    <t xml:space="preserve"> page 44 Verification rules 2 and 3</t>
  </si>
  <si>
    <t xml:space="preserve"> I would prefer to see these two rules reworded in the form "In SPARK 2014, a procedure call shall not pass..." The current wording is a bit difficult to read and not as formal as other rules, also it would be helpful if each rule statement was stand alone.</t>
  </si>
  <si>
    <t xml:space="preserve"> JEB26</t>
  </si>
  <si>
    <t xml:space="preserve"> page 47 second para.</t>
  </si>
  <si>
    <t xml:space="preserve"> Observation: is it possible to avoid the double negative here.</t>
  </si>
  <si>
    <t xml:space="preserve"> JEB27</t>
  </si>
  <si>
    <t xml:space="preserve"> 7.1.2</t>
  </si>
  <si>
    <t xml:space="preserve"> page 48 para 2</t>
  </si>
  <si>
    <t xml:space="preserve"> Desirable: the use of the word "may" here suggests that the Volatile Input can appear as an Output in global aspects is that really possible? Similarly for Volatile Output.</t>
  </si>
  <si>
    <t xml:space="preserve"> JEB28</t>
  </si>
  <si>
    <t xml:space="preserve"> 7.1.3</t>
  </si>
  <si>
    <t xml:space="preserve"> page 48 item 1 Rationale</t>
  </si>
  <si>
    <t xml:space="preserve"> Typo: "since modular is analysis performed" should read "since modular analysis is performed"</t>
  </si>
  <si>
    <t xml:space="preserve"> JEB29</t>
  </si>
  <si>
    <t xml:space="preserve"> page 50</t>
  </si>
  <si>
    <t xml:space="preserve"> Typo, should the static semantics numbered items restart from 1 twice (following notes)?</t>
  </si>
  <si>
    <t xml:space="preserve"> JEB30</t>
  </si>
  <si>
    <t xml:space="preserve"> page 50 second item 2.</t>
  </si>
  <si>
    <t xml:space="preserve"> Typo, "specification is is" should read "specification is"</t>
  </si>
  <si>
    <t xml:space="preserve"> JEB31</t>
  </si>
  <si>
    <t xml:space="preserve"> page 50 Verification Rules</t>
  </si>
  <si>
    <t xml:space="preserve"> Typo, "Verification Rules" is capitalised here but "dynamic semantics" is not in the next para. Which is right?</t>
  </si>
  <si>
    <t xml:space="preserve"> JEB32</t>
  </si>
  <si>
    <t xml:space="preserve"> 7.1.5</t>
  </si>
  <si>
    <t xml:space="preserve"> page 52 items 2 and 3</t>
  </si>
  <si>
    <t xml:space="preserve"> Typo: I think you mean "initial condition specific" not "initializes-specific" in both these paras.</t>
  </si>
  <si>
    <t xml:space="preserve"> JEB33</t>
  </si>
  <si>
    <t xml:space="preserve"> 7.2.6</t>
  </si>
  <si>
    <t xml:space="preserve"> page 56 para 7 (3rd requirement, 2nd bullet)</t>
  </si>
  <si>
    <t xml:space="preserve"> Desirable: This would be easier to read as "Abstract(X) does not have another mode" rather than "Abstract(X) will not have another mode".</t>
  </si>
  <si>
    <t xml:space="preserve"> JEB34</t>
  </si>
  <si>
    <t xml:space="preserve"> Appendix A</t>
  </si>
  <si>
    <t xml:space="preserve"> Through-out (eg page 113 code line 24, page 120 code line 13)</t>
  </si>
  <si>
    <t xml:space="preserve"> Desirable: I appreciate that the appendix was not subject to review but if it is being published with the remaining LRM then I really think that the examples must match the LRM. In particular the use of "Refined_ " aspects is very patchy in the appendix. Originally this caused me to believe that the material in 6.3.3 and 6.3.4 regarding where Global and Depends aspects may appear were wrong.</t>
  </si>
  <si>
    <t xml:space="preserve"> JEB35</t>
  </si>
  <si>
    <t xml:space="preserve"> Observation: Much improved from last time. Note that I have not commented where I feel the subsequent "ToDo" addresses a weakness in the preceding text.</t>
  </si>
  <si>
    <t xml:space="preserve"> title page</t>
  </si>
  <si>
    <t xml:space="preserve"> It still says Altran Praxis</t>
  </si>
  <si>
    <t xml:space="preserve"> I thought we were going to move to references that included section
numbers to allow people to read printed copies? NB I don't mind personally but if another senior reviewer has previously suggested it we should try to do it or have a good reason for note doing it.</t>
  </si>
  <si>
    <t xml:space="preserve"> This para restricts the operation of the tools by mandating an ordering
but I don't think this is necessary. However, it is probably worth stating things like: flow analysis is not valid and may not be possible if the legality rules are not met. </t>
  </si>
  <si>
    <t xml:space="preserve"> The first Todo appears to contain a heading, making it look like the Todo
is empty.</t>
  </si>
  <si>
    <t xml:space="preserve"> Does this definition include globals of the subprogram? I suspect it does
but as you explicitly state formal parameters are included but don't explicitly state globals then it becomes less clear.</t>
  </si>
  <si>
    <t xml:space="preserve"> I thought we were planning on analysing fields in records independently.
This requirement may therefore be relaxed. This needs discussion before making any changes.</t>
  </si>
  <si>
    <t>AH</t>
  </si>
  <si>
    <t>SM</t>
  </si>
  <si>
    <t>JEB</t>
  </si>
  <si>
    <t>FS</t>
  </si>
  <si>
    <r>
      <t xml:space="preserve"> The second para appears to contain a contradiction "Raise expressions are not in SPARK 2014; for a raise statement to be in SPARK 2014" unless there is a subtlety to the terms "raise expression" and "raise statement" that I'm not aware of.
</t>
    </r>
    <r>
      <rPr>
        <sz val="10"/>
        <color rgb="FFFF0000"/>
        <rFont val="Franklin Gothic Book"/>
        <family val="2"/>
      </rPr>
      <t>Further comment from Gary Dismukes:
There is such a subtlety. 
Raise_expression is a feature discussed by the ARG (AI12-0022)
that can be used to specify an exception to be raised for assertions
(among other things).  It allows a raise to occur in expression
contexts.  This feature is being added "retroactively" to Ada 2012.
See:
http://www.ada-auth.org/cgi-bin/cvsweb.cgi/ai12s/ai12-0022-1.txt?rev=1.8
-- Gary</t>
    </r>
  </si>
  <si>
    <r>
      <t xml:space="preserve"> Is this Syntax section supposed to be complete? The Todo suggests it isn't. If it is supposed to be complete then "discrete_expression" needs to be defined.
</t>
    </r>
    <r>
      <rPr>
        <sz val="10"/>
        <color rgb="FFFF0000"/>
        <rFont val="Franklin Gothic Book"/>
        <family val="2"/>
      </rPr>
      <t>Further comment from Steve Baird:
One problem here is that "discrete_" should be italicized.
The Ada RM (1.1.4(14)) says:
  If the name of any syntactic category starts with an italicized part,
  it is equivalent to the category name without the italicized part.
  The italicized part is intended to convey some semantic information.
  For example subtype_name and task_name are both equivalent to name
  alone.
with "subtype_" and "task_" in the above text italicized.
The "provide detail" todo note seems to refer to the fact that
(for reasons that are unclear to me) the definitions of these
constructs have been removed.
  -- Steve</t>
    </r>
  </si>
  <si>
    <t>All references to Praxis
concerted to Altran.</t>
  </si>
  <si>
    <t>Y</t>
  </si>
  <si>
    <t>JIB</t>
  </si>
  <si>
    <t>Updated</t>
  </si>
  <si>
    <t>Duplicate of AH/26.</t>
  </si>
  <si>
    <t>Fixed</t>
  </si>
  <si>
    <t>Done</t>
  </si>
  <si>
    <t>Steve Baird has been
happy as our Ada RM
expert that this is OK, so no need to fix.</t>
  </si>
  <si>
    <t>Duplicate of AH/20.</t>
  </si>
  <si>
    <t>Duplicate of AH/18.</t>
  </si>
  <si>
    <t>Should be capitalised;
has now been corrected.</t>
  </si>
  <si>
    <t>This will automatically
be corrected when the notes are removed.</t>
  </si>
  <si>
    <t>Duplicate of AH/12.</t>
  </si>
  <si>
    <t>Corrected.</t>
  </si>
  <si>
    <t>I was trying not to refer
to the actual syntax in the higher-level requirements. I think this is clear enough as
it is.</t>
  </si>
  <si>
    <t>Added explanatory text.</t>
  </si>
  <si>
    <t>Added text to indicate
that currently no 
extensions or restrictions identified.</t>
  </si>
  <si>
    <t>A note has been added
to the ToDo.</t>
  </si>
  <si>
    <t>Corrected</t>
  </si>
  <si>
    <t>Text updated</t>
  </si>
  <si>
    <t>Statement removed as
it was partially incorrect and is covered elsewhere.</t>
  </si>
  <si>
    <t>Duplicate of SM/6.</t>
  </si>
  <si>
    <t>6.3.3, 6.3.4</t>
  </si>
  <si>
    <t>42, 43</t>
  </si>
  <si>
    <t>These sections just talk about Global and Depends aspects respectively. Do
the rules need to reflect the possibility of having a Refined_Global or Refined_Depends aspect?</t>
  </si>
  <si>
    <t>It doesn't appear to be
possible to do this in ReST.</t>
  </si>
  <si>
    <t>This is just because of
where it falls on the
page (i.e. there is only enough space at the bottom of the page to include ToDo, rather than the text of the ToDo.</t>
  </si>
  <si>
    <t>That is the
consequence: but it is needed if we are going to do generative analysis, since we need to distinguish between  a missing global and the intention to have no globals.</t>
  </si>
  <si>
    <t>Duplicate of AH/1.</t>
  </si>
  <si>
    <t>Note added.</t>
  </si>
  <si>
    <t>Updated to say "observable".</t>
  </si>
  <si>
    <t>Sentence removed.</t>
  </si>
  <si>
    <t>Word removed</t>
  </si>
  <si>
    <t>Terms have been
italicised.</t>
  </si>
  <si>
    <t>To be left in for the
moment; this will be discussed at the Advisory Panel.</t>
  </si>
  <si>
    <t>The definition of input
and output is given in
the Static Section in 6.1, and this covers what you want.</t>
  </si>
  <si>
    <t>That isn't necessary in
explanatory text and is
instead made clear in the relevant rule/s.</t>
  </si>
  <si>
    <t>They denote text that is
redundant in terms of information content, in that it just attempts to make the explanation clearer.</t>
  </si>
  <si>
    <t>Text added to say we
won't do this where
customers haven't found the language feature useful.</t>
  </si>
  <si>
    <t>Duplicate of AH/4.</t>
  </si>
  <si>
    <t>It is part of the ToDo.</t>
  </si>
  <si>
    <t>Text update to make
clear that content in scope for this draft issue will only be regarded as definitive when the final document is ready.</t>
  </si>
  <si>
    <t xml:space="preserve">Have provided a
natural language definition. </t>
  </si>
  <si>
    <t>We refer throughout to
the SPARK 2014 language and toolset. I have updated the text to make sure it always refers to both, rather than just the toolset.</t>
  </si>
  <si>
    <t xml:space="preserve"> FS/01</t>
  </si>
  <si>
    <t>JIB/01</t>
  </si>
  <si>
    <t xml:space="preserve"> 3.2.4 </t>
  </si>
  <si>
    <t xml:space="preserve"> YM03 </t>
  </si>
  <si>
    <t xml:space="preserve"> The LRM says that SPARK 2014 pragmas either have no dynamics semantics, or are used "to define assertions whose success shall be proven statically". This is not the case, as Loop_Invariant and Loop_Variant can perfectly be used for their dynamic role only.</t>
  </si>
  <si>
    <t xml:space="preserve"> 6/2 </t>
  </si>
  <si>
    <t xml:space="preserve"> YM02 </t>
  </si>
  <si>
    <t xml:space="preserve"> The Verification Rules are presented as enforcement of flow analysis only. This is not the case, for example Verification Rules for Loop_Invariant have nothing to do with flow analysis.</t>
  </si>
  <si>
    <t xml:space="preserve"> 5/1st para after bullet points </t>
  </si>
  <si>
    <t xml:space="preserve"> YM01 </t>
  </si>
  <si>
    <t xml:space="preserve"> 58 - 59 </t>
  </si>
  <si>
    <t xml:space="preserve"> 7.2.8 &amp; 7.2.9 </t>
  </si>
  <si>
    <t xml:space="preserve"> JK6 </t>
  </si>
  <si>
    <t xml:space="preserve"> 4/1-4 </t>
  </si>
  <si>
    <t xml:space="preserve"> JK5 </t>
  </si>
  <si>
    <t xml:space="preserve"> 3/5 </t>
  </si>
  <si>
    <t xml:space="preserve"> JK4 </t>
  </si>
  <si>
    <t xml:space="preserve"> If one uses pragmas, any Ada compiler can be used, not only an Ada 2012 compiler, right?</t>
  </si>
  <si>
    <t xml:space="preserve"> 3/4 </t>
  </si>
  <si>
    <t xml:space="preserve"> JK3 </t>
  </si>
  <si>
    <t xml:space="preserve"> 3/3 </t>
  </si>
  <si>
    <t xml:space="preserve"> JK2 </t>
  </si>
  <si>
    <t xml:space="preserve"> n/a </t>
  </si>
  <si>
    <t xml:space="preserve"> introduction </t>
  </si>
  <si>
    <t xml:space="preserve"> JK1 </t>
  </si>
  <si>
    <t xml:space="preserve"> why are some things bolded (e.g. "Pre") and some not (e.g. "Post")?</t>
  </si>
  <si>
    <t xml:space="preserve"> A.2.1 </t>
  </si>
  <si>
    <t xml:space="preserve"> STT/16 </t>
  </si>
  <si>
    <t xml:space="preserve"> quantified expression needs to be parenthesized:   Post =&gt; (for all I in X’Range =&gt; (X (I) = 0)); Also, why is "Depends" in bold, while Pre and Post are not?</t>
  </si>
  <si>
    <t xml:space="preserve"> A.1.3 </t>
  </si>
  <si>
    <t xml:space="preserve"> STT/15 </t>
  </si>
  <si>
    <t xml:space="preserve"> "Swap" example used to explain shift from "Derives" to "Depends" is not helpful because it is symmetric.  It starts from:   Derives X from Y &amp; Y from X and goes to Depends =&gt; (X =&gt; Y, Y =&gt; X) so it is unclear whether "Derives" and "Depends" use essentially the same order or if the order should be reversed.</t>
  </si>
  <si>
    <t xml:space="preserve"> A.1.1 </t>
  </si>
  <si>
    <t xml:space="preserve"> STT/14 </t>
  </si>
  <si>
    <t xml:space="preserve"> (Editorial) Two paragraphs are numbered "1.". The paragraph numbered "2." has the following typo: "The specification is [is] checked..." The paragraph numbered "3." should use "that" rather than "which": "... with a property list [which] {that} includes the Volatile property..." In the Example, a comment should be revised:  "... abstract state name{d} State ..." In the Example, "Global" is bolded in some cases and not in others. In general the "bolding" is not consistent (here and elsewhere).</t>
  </si>
  <si>
    <t xml:space="preserve"> p. 50 </t>
  </si>
  <si>
    <t xml:space="preserve"> STT/13 </t>
  </si>
  <si>
    <t xml:space="preserve"> Here is a more general question about private descendants: We seem to be treating them as "part" of the parent, but whether or not a particular private descendant is included in a program can depend on whether it is mentioned in a "with" clause by a public descendant.  So this implies that some private descendants might not be included, even though the parent is included in a program.  How does this affect the model? Should we treat private descendants on which the parent has no dependence as though there were a public descendant? Similarly, should we treat public descendants on which the parent *has* a dependence in the way we were proposing to treat private descendants? Or should we treat each library package independently? (That would be the simplest!)</t>
  </si>
  <si>
    <t xml:space="preserve"> STT/12 </t>
  </si>
  <si>
    <t xml:space="preserve"> In the following: 2. The hidden state of a package P consists of: * any variables declared immediately within the private part or body of P; and * the visible state and state abstractions of any packages declared immediately within the private part or body of P, and of any private child units of P or of their public descendants. This seems to leave out the hidden state of nested packages.  Shouldn't we change the last bullet to be two bullets: * the hidden state of any packages declared immediately within the visible   part of P * the hidden and visible state and state abstractions of any packages declared   immediately within the private part or body of P, and of any private child  units of P or of their public descendants.</t>
  </si>
  <si>
    <t xml:space="preserve"> STT/11 </t>
  </si>
  <si>
    <t xml:space="preserve"> In the following legality rule:  7. A package_declaration or generic_package_declaration requires a     completion [(a body)] if it contains a non-null Abstract State aspect     specification. the magic phrase "requires a completion" (of 3.11.1 fame) appears.  I suspect it should be changed to "shall have a completion" to avoid implying that the presence of this aspect triggers the "requires a completion" semantics. My belief is that we still want the programmer to insert a "pragma Elaborate_Body" for example, if there is nothing else in the spec that would normally trigger the "requires a completion" semantics. I think we want to be able to erase Abstract_State aspects and still have a legal Ada program. NOTE: The "requires completion" wording also appears later in 7.1.3, and should probably also be changed to "shall have a completion."</t>
  </si>
  <si>
    <t xml:space="preserve"> p. 49 (and later) </t>
  </si>
  <si>
    <t xml:space="preserve"> STT/10 </t>
  </si>
  <si>
    <t xml:space="preserve"> In syntax descriptions, reserved words should be bolded or quoted or upper-cased or somehow distinguished from non-terminals.  E.g., in:   ( state_name with property_list ) the "with" should be &lt;b&gt;with&lt;/b&gt; or WITH or 'with' or something like that.</t>
  </si>
  <si>
    <t xml:space="preserve"> p. 49 </t>
  </si>
  <si>
    <t xml:space="preserve"> 7.1.3 (and perhaps elsewhere) </t>
  </si>
  <si>
    <t xml:space="preserve"> STT/9 </t>
  </si>
  <si>
    <t xml:space="preserve"> No need to capitalize "aspect."  E.g. "Global Aspect" =&gt; "Global aspect".</t>
  </si>
  <si>
    <t xml:space="preserve"> p. 49 (and elsewhere) </t>
  </si>
  <si>
    <t xml:space="preserve"> 7.1.3 (and probably elsewhere) </t>
  </si>
  <si>
    <t xml:space="preserve"> STT/8 </t>
  </si>
  <si>
    <t xml:space="preserve"> "The hidden state of a package may be represented by one or more state abstractions, with [each] {any} pair of state abstractions representing disjoint sets of hidden variables."</t>
  </si>
  <si>
    <t xml:space="preserve"> STT/7 </t>
  </si>
  <si>
    <t xml:space="preserve">   the parenthetical parts of this sentence are confusing: State abstraction provides a mechanism for naming, in a package’s visible_part, state (typically variable declarations) that will be declared within the package’s body (or private_part, or within private descendants of the package). It would make sense to say "(typically variables)" since the variables are the state, not their declarations.  But it would be even better to leave it out, or move it later in the sentence.  It also doesn't make sense to parenthesize "or private_part, or within private descendants of the package" since there is nothing parenthetical about this. I also find it funny to say that State abstraction is primarily about "naming", and also note that the names are used outside of the visible part, e.g. during a refinement in the body.  All in all, I think this sentence should be rewritten, or perhaps even dropped completely.</t>
  </si>
  <si>
    <t xml:space="preserve"> STT/6 </t>
  </si>
  <si>
    <t xml:space="preserve"> "... since modular [is] analysis {is} performed before ..." </t>
  </si>
  <si>
    <t xml:space="preserve"> STT/5 </t>
  </si>
  <si>
    <t xml:space="preserve"> singular/plural mismatch, and "a assertion": A volatile variable or state abstractions cannot be mentioned directly in a assertion expression as the reading of a volatile may affect its value.</t>
  </si>
  <si>
    <t xml:space="preserve"> 7.1.2 </t>
  </si>
  <si>
    <t xml:space="preserve"> STT/4 </t>
  </si>
  <si>
    <t xml:space="preserve"> Ditto for this sentence: In a Depends aspect it need not appear as an input an implicit self dependency of the entity will be declared.</t>
  </si>
  <si>
    <t xml:space="preserve"> STT/3 </t>
  </si>
  <si>
    <t xml:space="preserve"> This sentence is missing something (a semicolon or a dash?): In a Depends aspect it need not appear as an output an implicit self dependency of the entity will be declared.</t>
  </si>
  <si>
    <t xml:space="preserve"> STT/2</t>
  </si>
  <si>
    <t xml:space="preserve"> This paragraph is confusing.  What is a "more obvious view"?  Perhaps a more "intuitive" or "natural" view?  In the phrase "this may be given explicitly" to what does "this" refer? The read or update of a volatile variable or state abstraction is considered to be both a read and an update of the entity. In Global and Depends aspects this means that volatile entities will be regarded as being both an input and an output and this may be given explicitly. However if a variable or abstract state is explicitly designated as being a Volatile Input or a Volatile Output, an abbreviated form of the Global and Depends aspect is permitted which gives a more obvious view of the global and dependency.</t>
  </si>
  <si>
    <t xml:space="preserve"> STT/1 </t>
  </si>
  <si>
    <t xml:space="preserve"> It is visible that the introduction has been written by several persons simultaneously; it lacks coherence, there are repetitions. Nothing serious though.</t>
  </si>
  <si>
    <t xml:space="preserve"> Mixture of test and proof: that's correct, but it is unnecessarily restrictive. Can we say something like: Support for proof of only part of the program, and combination with other verification methods such as testing.</t>
  </si>
  <si>
    <t xml:space="preserve"> I think there is no need to mention the tools. SPARK 2014 is a language, and exists independently of the tools. I also think it would be OK for the language definition to include more than is supported by the first release, and it would also be OK for the tool to support more than just what is defined in the language definition. This is already the case anyway (GNAT has some vendor-specific pragmas).</t>
  </si>
  <si>
    <t xml:space="preserve"> I do not feel the need for Refined_Pre and Refined_Post. The same effect can be easily achieved by a wrapper subprogram, where the wrapped subprogram has the refined pre/post as normal pre/post. </t>
  </si>
  <si>
    <r>
      <t xml:space="preserve"> If subtype predicates are to be included in SPARK 2014, additional verification rules should be created, so that formal verification is possible at the level of an individual subprogram. In particular, the variables that are mentioned in the Global contract of a subprogram should have the corresponding predicate verified on entry (for IN and IN OUT) and exit (for OUT and IN OUT) of the subprogram. Also, the Ada RM rules (see RM 3.2.4 Dynamic Semantics) only define checks for values of parameters whose type has a subtype predicate attached. But no check is performed when the subtype predicate is attached to a component of the type. For example, in the code below, no violation is detected when calling Violate on a parameter of type T. It would be expected in SPARK to have the same kind of rules that Ada has for type invariants (that apply on any "part" of an object that has a type invariant attached).
</t>
    </r>
    <r>
      <rPr>
        <b/>
        <sz val="10"/>
        <rFont val="Franklin Gothic Book"/>
        <family val="2"/>
      </rPr>
      <t>Comment continued in next box.</t>
    </r>
  </si>
  <si>
    <t xml:space="preserve">procedure P is
   type R is tagged record
      A, B : Integer;
   end record with Predicate =&gt; R.A = R.B;
   procedure Violate (C : in out R) is
   begin
      C.A := C.B + 1;
   end Violate;
   type T is record
      C : R;
   end record;
   procedure Violate (D : in out T) is
   begin
      D.C.A := D.C.A + 1;
   end Violate;
   E : T;
begin
   E := (C =&gt; (A | B =&gt; 0));
   Violate (E);    --  not detected
   E := (C =&gt; (A | B =&gt; 0));
   Violate (E.C);  --  detected
end P;
As subtype predicates are an important specification feature of Ada 2012, it would not be understandable to leave it outside SPARK 2014. But this requires work to define sensible Verification Rules. Note that it may be appropriate to define reasonable constraints on the content of the predicate in SPARK 2014 (like the fact the expression cannot refer to global variables), to both simplify verification and facilitate their correct use.
</t>
  </si>
  <si>
    <t xml:space="preserve"> In the section Verification Rules, it is not clear what is described here. Maybe there should be a sentence per pragma? As for Assume, the manual states that it is not required to prove that the Boolean expression is true. For a reader, it sounds like this proof may be attempted though and raise a warning if it is not proved. As I understand pragma Assume, it is not the case. The proof should not be attempted but the result should be assumed to be true (the manual says that it can be assumed only). An other small point, if Loop_Invariant is described 5.5.3 Language Definition, shouldn't the information about it being a cut point appear rather in this section?</t>
  </si>
  <si>
    <t xml:space="preserve"> 5.9.2 </t>
  </si>
  <si>
    <t xml:space="preserve"> CD1 </t>
  </si>
  <si>
    <t xml:space="preserve"> Expanding on YM08, there should be visibility rules for verification. Otherwise, nothing prevents a verification tool from looking at the body of a subprogram inside the package body of P to perform the verification of the body of another subprogram inside the package body of Q. If SPARK 2014 defines a language for modular verification, visibility rules that prevent the above should be given.</t>
  </si>
  <si>
    <t xml:space="preserve"> YM09 </t>
  </si>
  <si>
    <t xml:space="preserve"> Verification tools should be prevented from using the value of the deferred constant when analyzing a unit which has no visibility over the private part where the value of the constant is defined.</t>
  </si>
  <si>
    <t xml:space="preserve"> YM08 </t>
  </si>
  <si>
    <t xml:space="preserve"> In order for type invariants to be always true outside of the unit implementing the type, restrictions should be imposed on the expression stating the type invariant property. In particular, it should not mention global variables, or else it could be broken anytime by code modifying the global variable. Additionally, there should be Verification Rules that state in which cases a global variable (mentioned in the Global contract) has its type invariant checked, similarly to what should be done for predicate subtypes.</t>
  </si>
  <si>
    <t xml:space="preserve"> 7.3.2 </t>
  </si>
  <si>
    <t xml:space="preserve"> YM07 </t>
  </si>
  <si>
    <t xml:space="preserve"> I am not convinced by the rationale for refined pre/post/global/depends/contract_cases. Here is what it says: "1. The semantics of properties defined in terms of abstract state can only be precisely defined in terms of the corresponding concrete state, though nested abstraction is also necessary to manage hierarchies of data." Although this was true for SPARK 2005, this is not the case anymore with SPARK 2014. Functional properties expressed as pre/post/contract_cases can use actual program functions (instead of separate logic functions in SPARK 2005), whose implementation is precisely defined in terms of the concrete state. Regarding global/depends contracts, the benefit of re-specifying them in terms of concrete state is not obvious at all. "2. There may be multiple possible refinements for a given abstract specification and so the user should be able to specify what they actually want." The main way that a user specifies this "refinement" is by an "implementation" of the specified abstraction. Of course there are multiple possible implementations for an abstraction, but what is the benefit of stating twice (in the implementation, and in the refined aspects) the same implementation? "3. This is necessary to support development via stepwise refinement." The implementation is not really a refinement of the spec. The real refinement (like in the B method) is between a higher-level specification and a lower-level specification. I don't believe we provide useful features here for stepwise refinement. Overall, I feel that refinement was useful in SPARK 2005, but won't be useful in SPARK 2014. I did not see an example which could not be slightly rewritten (say, by introducing a wrapper function) to attain the same verification goals with only Pre/Post/Global/Depends. Note that this is independent of Refined_State, which is clearly needed. Given the additional complexity of refined Pre/Post/etc. for little gain, I favor not putting them in SPARK 2014.</t>
  </si>
  <si>
    <t xml:space="preserve"> 7.2.2 </t>
  </si>
  <si>
    <t xml:space="preserve"> YM06 </t>
  </si>
  <si>
    <t xml:space="preserve"> The rationale for providing an Initial_Condition aspect is not clear, now that initialization of library-level constants and variables has been restricted in SPARK to compiler-known values. The LRM says this serves to establish the "precondition" of the program proper, but this is given by the compiler-known values initializing the library-level constants and variables. It seems that Initial_Condition is mostly useful for stating the effect of statements in package body elaboration, which should be mentioned.</t>
  </si>
  <si>
    <t xml:space="preserve"> 7.1.5 </t>
  </si>
  <si>
    <t xml:space="preserve"> YM05 </t>
  </si>
  <si>
    <t xml:space="preserve"> Nothing is currently added to expression functions in the LRM, wrt Ada LRM. Does that mean they cannot be given a Global/Depends/Contract_Cases aspect?</t>
  </si>
  <si>
    <t xml:space="preserve"> YM04 </t>
  </si>
  <si>
    <t>Added a ToDo</t>
  </si>
  <si>
    <t>ToDo added</t>
  </si>
  <si>
    <t>Text updated
accordingly.</t>
  </si>
  <si>
    <t xml:space="preserve"> I don't understand this paragraph. Obviously the language needs a compiler that implements it! No need to mention GNAT specifically.</t>
  </si>
  <si>
    <t>There is no
contradiction, as the
Verification Rules
section says proof must show the exception is never raised.</t>
  </si>
  <si>
    <t>This is covered by a
ToDo in section 1.9.4.</t>
  </si>
  <si>
    <t>Pragma Assume *is*
an assertion and
generates a run-time
check, although that check will not be proved.</t>
  </si>
  <si>
    <t>Yes, it will; further
detail will be provided
in a subsequent draft of the doc.</t>
  </si>
  <si>
    <t>Makes sense as it is.</t>
  </si>
  <si>
    <t>Reference is there to
make clear there is at
least one implementation of the language.</t>
  </si>
  <si>
    <t>Toolset is mentioned due to earlier review comments regarding how it related to the content of the LRM. If the LRM ends up including more than is in the toolset, then this will be noted at that time.</t>
  </si>
  <si>
    <t>Duplicate of YM/06.</t>
  </si>
  <si>
    <t>Text has now been removed.</t>
  </si>
  <si>
    <t>TJJ: add a ToDo to the relevant section to address this issue.</t>
  </si>
  <si>
    <t>TJJ to add some detail.</t>
  </si>
  <si>
    <t>TJJ to add ToDo: we might be able to do something about types, but also need to deal with invariants on Abstract State.</t>
  </si>
  <si>
    <t>TJJ</t>
  </si>
  <si>
    <t>What seems to have been implemented and what I thought had been agreed is that an explicit global does not have to be provided even when there is a dependency relation.  As this is the case no changes are required to the RM related to [M213-043] except that  I have added the missing semantic regarding Global =&gt; null</t>
  </si>
  <si>
    <t xml:space="preserve">TJJ to discuss
with SB.  After discussions with SB, still think moving state abstraction into the parent is the simplest option and the easiest to police.   This means parents will have to at least limited with their private children.  Have left text and model as-is.  Further discussins may be needed on this point before the next release. </t>
  </si>
  <si>
    <t>A statement has been added to reference SPARK 2005.</t>
  </si>
  <si>
    <t>Duplicate of AH/19.</t>
  </si>
  <si>
    <t>Updated as suggested.</t>
  </si>
  <si>
    <t>Substituted "shall have a completion" as suggested.</t>
  </si>
  <si>
    <t>Updated.</t>
  </si>
  <si>
    <t>Numbering issue will go away when Notes are removed. Comments have been updated. Any issues with bolding within examples is to do with the Ada style in ReST.</t>
  </si>
  <si>
    <t>This isn't true, as a SPARK 2014 program may include other Ada 2012 language elements that are not in earlier versions of the language.</t>
  </si>
  <si>
    <t>Sentence on dynamic semantics removed.</t>
  </si>
  <si>
    <t>Comment added to say this supports modular analysis.</t>
  </si>
  <si>
    <t>This is an issue to do with the the Ada style within ReST.</t>
  </si>
  <si>
    <t>JB to check.</t>
  </si>
  <si>
    <t>TJJ to tidy-up Notes
or hide if necessary.</t>
  </si>
  <si>
    <t>TJJ to respond to comment and add a ToDo to set up a discussion.</t>
  </si>
  <si>
    <t>TJJ update.</t>
  </si>
  <si>
    <t>This occurs naturally due to the visibility rules of Ada.</t>
  </si>
  <si>
    <t>Have discussed this with SM and no further action needed.</t>
  </si>
  <si>
    <t>ToDo added to the Introduction.</t>
  </si>
  <si>
    <t>Ticket M221-008 raised to address this issue as it is a problem with ReST.</t>
  </si>
  <si>
    <r>
      <rPr>
        <b/>
        <sz val="10"/>
        <rFont val="Franklin Gothic Book"/>
        <family val="2"/>
      </rPr>
      <t xml:space="preserve">JB </t>
    </r>
    <r>
      <rPr>
        <sz val="10"/>
        <rFont val="Franklin Gothic Book"/>
        <family val="2"/>
      </rPr>
      <t>Ticket raised in relation
to bolding issue, as this is a problem with ReST.</t>
    </r>
  </si>
  <si>
    <t>It isn't possible to nest mark-up in ReST, so we can't use nesting to have italicized terms within the Syntax sections. This is a problem in relation to a number of places in the document, not just in relation to discrete_expression. Ticket M221-008 raised to address this issue.</t>
  </si>
</sst>
</file>

<file path=xl/styles.xml><?xml version="1.0" encoding="utf-8"?>
<styleSheet xmlns="http://schemas.openxmlformats.org/spreadsheetml/2006/main">
  <numFmts count="5">
    <numFmt numFmtId="164" formatCode="dd\ mmmm\ yyyy"/>
    <numFmt numFmtId="165" formatCode="0.0"/>
    <numFmt numFmtId="166" formatCode="[h]:mm"/>
    <numFmt numFmtId="167" formatCode="&quot;Y&quot;"/>
    <numFmt numFmtId="168" formatCode="dd\ mmmm\ yyyy\ hh:mm"/>
  </numFmts>
  <fonts count="21">
    <font>
      <sz val="10"/>
      <name val="Franklin Gothic Book"/>
    </font>
    <font>
      <sz val="10"/>
      <name val="Franklin Gothic Book"/>
      <family val="2"/>
    </font>
    <font>
      <sz val="10"/>
      <name val="Franklin Gothic Demi"/>
      <family val="2"/>
    </font>
    <font>
      <sz val="16"/>
      <name val="Franklin Gothic Demi"/>
      <family val="2"/>
    </font>
    <font>
      <sz val="14"/>
      <name val="Franklin Gothic Demi"/>
      <family val="2"/>
    </font>
    <font>
      <sz val="10"/>
      <name val="Franklin Gothic Book"/>
      <family val="2"/>
    </font>
    <font>
      <b/>
      <sz val="10"/>
      <name val="Franklin Gothic Book"/>
      <family val="2"/>
    </font>
    <font>
      <sz val="10"/>
      <name val="Arial"/>
      <family val="2"/>
    </font>
    <font>
      <b/>
      <sz val="18"/>
      <name val="Franklin Gothic Book"/>
      <family val="2"/>
    </font>
    <font>
      <i/>
      <sz val="8"/>
      <name val="Franklin Gothic Book"/>
      <family val="2"/>
    </font>
    <font>
      <u/>
      <sz val="10"/>
      <name val="Franklin Gothic Book"/>
      <family val="2"/>
    </font>
    <font>
      <b/>
      <sz val="8"/>
      <color indexed="81"/>
      <name val="Tahoma"/>
      <family val="2"/>
    </font>
    <font>
      <sz val="8"/>
      <color indexed="81"/>
      <name val="Tahoma"/>
      <family val="2"/>
    </font>
    <font>
      <sz val="9"/>
      <name val="Franklin Gothic Book"/>
      <family val="2"/>
    </font>
    <font>
      <sz val="9"/>
      <name val="Franklin Gothic Demi"/>
      <family val="2"/>
    </font>
    <font>
      <sz val="7"/>
      <name val="Franklin Gothic Book"/>
      <family val="2"/>
    </font>
    <font>
      <b/>
      <sz val="14"/>
      <name val="Franklin Gothic Book"/>
      <family val="2"/>
    </font>
    <font>
      <b/>
      <sz val="10"/>
      <color rgb="FFFF0000"/>
      <name val="Franklin Gothic Book"/>
      <family val="2"/>
    </font>
    <font>
      <sz val="10"/>
      <color theme="0"/>
      <name val="Franklin Gothic Book"/>
      <family val="2"/>
    </font>
    <font>
      <sz val="9"/>
      <color theme="0"/>
      <name val="Franklin Gothic Book"/>
      <family val="2"/>
    </font>
    <font>
      <sz val="10"/>
      <color rgb="FFFF0000"/>
      <name val="Franklin Gothic Book"/>
      <family val="2"/>
    </font>
  </fonts>
  <fills count="14">
    <fill>
      <patternFill patternType="none"/>
    </fill>
    <fill>
      <patternFill patternType="gray125"/>
    </fill>
    <fill>
      <patternFill patternType="solid">
        <fgColor indexed="22"/>
        <bgColor indexed="64"/>
      </patternFill>
    </fill>
    <fill>
      <patternFill patternType="solid">
        <fgColor theme="0" tint="-0.34998626667073579"/>
        <bgColor indexed="64"/>
      </patternFill>
    </fill>
    <fill>
      <patternFill patternType="solid">
        <fgColor theme="6" tint="0.59999389629810485"/>
        <bgColor indexed="64"/>
      </patternFill>
    </fill>
    <fill>
      <patternFill patternType="solid">
        <fgColor rgb="FFFFFFCC"/>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3" tint="0.39994506668294322"/>
        <bgColor indexed="64"/>
      </patternFill>
    </fill>
    <fill>
      <patternFill patternType="solid">
        <fgColor theme="5" tint="0.59996337778862885"/>
        <bgColor indexed="64"/>
      </patternFill>
    </fill>
    <fill>
      <patternFill patternType="solid">
        <fgColor rgb="FFFFFF00"/>
        <bgColor indexed="64"/>
      </patternFill>
    </fill>
    <fill>
      <patternFill patternType="solid">
        <fgColor theme="6" tint="0.39997558519241921"/>
        <bgColor indexed="64"/>
      </patternFill>
    </fill>
    <fill>
      <patternFill patternType="solid">
        <fgColor rgb="FFFFCCFF"/>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top style="thin">
        <color indexed="64"/>
      </top>
      <bottom/>
      <diagonal/>
    </border>
    <border>
      <left/>
      <right style="thin">
        <color indexed="64"/>
      </right>
      <top/>
      <bottom style="thin">
        <color indexed="64"/>
      </bottom>
      <diagonal/>
    </border>
    <border>
      <left/>
      <right style="thin">
        <color indexed="64"/>
      </right>
      <top style="thin">
        <color indexed="64"/>
      </top>
      <bottom/>
      <diagonal/>
    </border>
  </borders>
  <cellStyleXfs count="11">
    <xf numFmtId="0" fontId="0" fillId="0" borderId="0"/>
    <xf numFmtId="0" fontId="3" fillId="0" borderId="0"/>
    <xf numFmtId="0" fontId="4" fillId="0" borderId="0">
      <alignment horizontal="left" vertical="top"/>
    </xf>
    <xf numFmtId="0" fontId="5" fillId="0" borderId="0"/>
    <xf numFmtId="0" fontId="1" fillId="0" borderId="0"/>
    <xf numFmtId="0" fontId="1" fillId="0" borderId="0"/>
    <xf numFmtId="9" fontId="1" fillId="0" borderId="0" applyFont="0" applyFill="0" applyBorder="0" applyAlignment="0" applyProtection="0"/>
    <xf numFmtId="0" fontId="1" fillId="0" borderId="1">
      <alignment horizontal="left" vertical="top" wrapText="1"/>
      <protection locked="0"/>
    </xf>
    <xf numFmtId="0" fontId="5" fillId="0" borderId="1">
      <alignment horizontal="left" vertical="top" wrapText="1"/>
      <protection locked="0"/>
    </xf>
    <xf numFmtId="0" fontId="1" fillId="0" borderId="1">
      <alignment horizontal="left" vertical="top" wrapText="1"/>
      <protection locked="0"/>
    </xf>
    <xf numFmtId="0" fontId="2" fillId="2" borderId="1">
      <alignment horizontal="left" vertical="top" wrapText="1"/>
    </xf>
  </cellStyleXfs>
  <cellXfs count="245">
    <xf numFmtId="0" fontId="0" fillId="0" borderId="0" xfId="0"/>
    <xf numFmtId="0" fontId="5" fillId="0" borderId="0" xfId="0" applyFont="1"/>
    <xf numFmtId="0" fontId="6" fillId="0" borderId="0" xfId="0" applyFont="1"/>
    <xf numFmtId="0" fontId="0" fillId="0" borderId="0" xfId="0" applyAlignment="1">
      <alignment wrapText="1"/>
    </xf>
    <xf numFmtId="0" fontId="1" fillId="0" borderId="0" xfId="0" applyFont="1" applyAlignment="1">
      <alignment wrapText="1"/>
    </xf>
    <xf numFmtId="0" fontId="1" fillId="0" borderId="0" xfId="5" applyAlignment="1">
      <alignment vertical="top" wrapText="1"/>
    </xf>
    <xf numFmtId="0" fontId="1" fillId="0" borderId="1" xfId="7" applyFont="1" applyAlignment="1">
      <alignment vertical="top" wrapText="1"/>
      <protection locked="0"/>
    </xf>
    <xf numFmtId="0" fontId="1" fillId="0" borderId="2" xfId="7" applyBorder="1">
      <alignment horizontal="left" vertical="top" wrapText="1"/>
      <protection locked="0"/>
    </xf>
    <xf numFmtId="0" fontId="1" fillId="0" borderId="3" xfId="7" applyFont="1" applyBorder="1">
      <alignment horizontal="left" vertical="top" wrapText="1"/>
      <protection locked="0"/>
    </xf>
    <xf numFmtId="0" fontId="1" fillId="0" borderId="0" xfId="5"/>
    <xf numFmtId="0" fontId="3" fillId="0" borderId="0" xfId="1"/>
    <xf numFmtId="0" fontId="9" fillId="0" borderId="2" xfId="7" applyFont="1" applyBorder="1" applyAlignment="1">
      <alignment horizontal="left" vertical="top" wrapText="1"/>
      <protection locked="0"/>
    </xf>
    <xf numFmtId="0" fontId="1" fillId="0" borderId="4" xfId="7" applyFont="1" applyBorder="1" applyAlignment="1">
      <alignment horizontal="left" vertical="top" wrapText="1"/>
      <protection locked="0"/>
    </xf>
    <xf numFmtId="0" fontId="0" fillId="0" borderId="3" xfId="7" applyFont="1" applyBorder="1" applyAlignment="1">
      <alignment horizontal="left" vertical="top" wrapText="1"/>
      <protection locked="0"/>
    </xf>
    <xf numFmtId="0" fontId="0" fillId="0" borderId="1" xfId="7" applyFont="1">
      <alignment horizontal="left" vertical="top" wrapText="1"/>
      <protection locked="0"/>
    </xf>
    <xf numFmtId="0" fontId="1" fillId="0" borderId="1" xfId="7" applyFont="1" applyAlignment="1">
      <alignment horizontal="left" vertical="top" wrapText="1"/>
      <protection locked="0"/>
    </xf>
    <xf numFmtId="0" fontId="2" fillId="2" borderId="1" xfId="10">
      <alignment horizontal="left" vertical="top" wrapText="1"/>
    </xf>
    <xf numFmtId="0" fontId="1" fillId="0" borderId="1" xfId="5" applyBorder="1" applyAlignment="1" applyProtection="1">
      <alignment horizontal="left" vertical="top" wrapText="1"/>
      <protection locked="0"/>
    </xf>
    <xf numFmtId="0" fontId="1" fillId="0" borderId="1" xfId="5" applyFont="1" applyBorder="1" applyAlignment="1" applyProtection="1">
      <alignment horizontal="left" vertical="top" wrapText="1"/>
      <protection locked="0"/>
    </xf>
    <xf numFmtId="164" fontId="1" fillId="0" borderId="1" xfId="5" applyNumberFormat="1" applyBorder="1" applyAlignment="1" applyProtection="1">
      <alignment horizontal="left" vertical="top" wrapText="1"/>
      <protection locked="0"/>
    </xf>
    <xf numFmtId="0" fontId="1" fillId="0" borderId="0" xfId="5" applyAlignment="1">
      <alignment vertical="top"/>
    </xf>
    <xf numFmtId="0" fontId="3" fillId="0" borderId="0" xfId="1" applyFont="1" applyAlignment="1">
      <alignment vertical="top"/>
    </xf>
    <xf numFmtId="0" fontId="17" fillId="0" borderId="1" xfId="5" applyFont="1" applyBorder="1" applyAlignment="1">
      <alignment horizontal="center"/>
    </xf>
    <xf numFmtId="0" fontId="1" fillId="0" borderId="0" xfId="5" applyBorder="1" applyAlignment="1">
      <alignment wrapText="1"/>
    </xf>
    <xf numFmtId="0" fontId="1" fillId="0" borderId="1" xfId="5" applyBorder="1" applyAlignment="1">
      <alignment wrapText="1"/>
    </xf>
    <xf numFmtId="0" fontId="1" fillId="0" borderId="0" xfId="5" applyBorder="1"/>
    <xf numFmtId="0" fontId="1" fillId="0" borderId="0" xfId="5" applyFill="1" applyBorder="1"/>
    <xf numFmtId="0" fontId="1" fillId="0" borderId="0" xfId="5" applyAlignment="1">
      <alignment horizontal="left" vertical="top"/>
    </xf>
    <xf numFmtId="0" fontId="1" fillId="0" borderId="1" xfId="5" applyBorder="1"/>
    <xf numFmtId="0" fontId="1" fillId="0" borderId="1" xfId="5" applyBorder="1" applyAlignment="1">
      <alignment horizontal="center"/>
    </xf>
    <xf numFmtId="0" fontId="1" fillId="3" borderId="1" xfId="5" applyFill="1" applyBorder="1" applyAlignment="1">
      <alignment horizontal="center"/>
    </xf>
    <xf numFmtId="0" fontId="3" fillId="0" borderId="0" xfId="1" applyFont="1"/>
    <xf numFmtId="0" fontId="1" fillId="0" borderId="0" xfId="5" applyProtection="1"/>
    <xf numFmtId="9" fontId="1" fillId="0" borderId="5" xfId="6" applyBorder="1" applyAlignment="1" applyProtection="1">
      <alignment horizontal="left" vertical="top" wrapText="1"/>
    </xf>
    <xf numFmtId="0" fontId="1" fillId="0" borderId="5" xfId="5" applyBorder="1" applyAlignment="1" applyProtection="1">
      <alignment horizontal="left"/>
    </xf>
    <xf numFmtId="0" fontId="2" fillId="2" borderId="6" xfId="10" applyFont="1" applyBorder="1">
      <alignment horizontal="left" vertical="top" wrapText="1"/>
    </xf>
    <xf numFmtId="9" fontId="1" fillId="0" borderId="3" xfId="6" applyBorder="1" applyAlignment="1" applyProtection="1">
      <alignment horizontal="left" vertical="top" wrapText="1"/>
    </xf>
    <xf numFmtId="0" fontId="1" fillId="0" borderId="1" xfId="7" applyBorder="1" applyProtection="1">
      <alignment horizontal="left" vertical="top" wrapText="1"/>
    </xf>
    <xf numFmtId="0" fontId="2" fillId="2" borderId="3" xfId="10" applyBorder="1">
      <alignment horizontal="left" vertical="top" wrapText="1"/>
    </xf>
    <xf numFmtId="9" fontId="1" fillId="0" borderId="1" xfId="6" applyBorder="1" applyAlignment="1" applyProtection="1">
      <alignment horizontal="left" vertical="top" wrapText="1"/>
    </xf>
    <xf numFmtId="0" fontId="1" fillId="0" borderId="0" xfId="5" applyBorder="1" applyAlignment="1" applyProtection="1"/>
    <xf numFmtId="0" fontId="1" fillId="0" borderId="3" xfId="7" applyBorder="1" applyAlignment="1" applyProtection="1">
      <alignment horizontal="left" vertical="top" wrapText="1"/>
    </xf>
    <xf numFmtId="0" fontId="2" fillId="2" borderId="1" xfId="10" applyFont="1" applyBorder="1" applyAlignment="1">
      <alignment horizontal="left" vertical="top" wrapText="1"/>
    </xf>
    <xf numFmtId="0" fontId="1" fillId="0" borderId="1" xfId="7" applyFont="1" applyAlignment="1" applyProtection="1">
      <alignment horizontal="center" vertical="top" wrapText="1"/>
    </xf>
    <xf numFmtId="2" fontId="1" fillId="0" borderId="7" xfId="7" applyNumberFormat="1" applyFont="1" applyBorder="1" applyAlignment="1" applyProtection="1">
      <alignment horizontal="center" vertical="top" wrapText="1"/>
    </xf>
    <xf numFmtId="2" fontId="1" fillId="0" borderId="1" xfId="7" applyNumberFormat="1" applyFont="1" applyAlignment="1" applyProtection="1">
      <alignment horizontal="center" vertical="top" wrapText="1"/>
    </xf>
    <xf numFmtId="0" fontId="1" fillId="0" borderId="1" xfId="7" applyAlignment="1" applyProtection="1">
      <alignment horizontal="center" vertical="top" wrapText="1"/>
    </xf>
    <xf numFmtId="0" fontId="1" fillId="0" borderId="8" xfId="7" applyBorder="1" applyAlignment="1" applyProtection="1">
      <alignment horizontal="center" vertical="top" wrapText="1"/>
    </xf>
    <xf numFmtId="0" fontId="1" fillId="0" borderId="1" xfId="7" applyProtection="1">
      <alignment horizontal="left" vertical="top" wrapText="1"/>
    </xf>
    <xf numFmtId="0" fontId="1" fillId="0" borderId="0" xfId="7" applyBorder="1" applyAlignment="1" applyProtection="1">
      <alignment horizontal="center" vertical="top" wrapText="1"/>
    </xf>
    <xf numFmtId="167" fontId="1" fillId="0" borderId="1" xfId="7" applyNumberFormat="1" applyAlignment="1" applyProtection="1">
      <alignment horizontal="center" vertical="top" wrapText="1"/>
    </xf>
    <xf numFmtId="0" fontId="0" fillId="0" borderId="0" xfId="7" applyNumberFormat="1" applyFont="1" applyBorder="1" applyAlignment="1" applyProtection="1">
      <alignment horizontal="center" vertical="top" wrapText="1"/>
    </xf>
    <xf numFmtId="0" fontId="1" fillId="0" borderId="0" xfId="4"/>
    <xf numFmtId="0" fontId="1" fillId="0" borderId="0" xfId="4" applyAlignment="1">
      <alignment horizontal="center"/>
    </xf>
    <xf numFmtId="0" fontId="1" fillId="0" borderId="1" xfId="4" applyBorder="1" applyAlignment="1" applyProtection="1">
      <alignment horizontal="center" vertical="top" wrapText="1"/>
    </xf>
    <xf numFmtId="0" fontId="1" fillId="0" borderId="1" xfId="4" applyBorder="1" applyProtection="1">
      <protection locked="0"/>
    </xf>
    <xf numFmtId="0" fontId="1" fillId="0" borderId="1" xfId="9" applyProtection="1">
      <alignment horizontal="left" vertical="top" wrapText="1"/>
      <protection locked="0"/>
    </xf>
    <xf numFmtId="0" fontId="1" fillId="0" borderId="1" xfId="9" applyFont="1" applyProtection="1">
      <alignment horizontal="left" vertical="top" wrapText="1"/>
      <protection locked="0"/>
    </xf>
    <xf numFmtId="0" fontId="1" fillId="0" borderId="1" xfId="4" applyBorder="1" applyAlignment="1" applyProtection="1">
      <alignment horizontal="left" vertical="top" wrapText="1"/>
      <protection locked="0"/>
    </xf>
    <xf numFmtId="0" fontId="1" fillId="0" borderId="1" xfId="9" applyFont="1" applyAlignment="1" applyProtection="1">
      <alignment horizontal="left" vertical="top" wrapText="1"/>
      <protection locked="0"/>
    </xf>
    <xf numFmtId="0" fontId="2" fillId="2" borderId="1" xfId="4" applyFont="1" applyFill="1" applyBorder="1" applyAlignment="1">
      <alignment horizontal="center" vertical="top" wrapText="1"/>
    </xf>
    <xf numFmtId="0" fontId="1" fillId="0" borderId="9" xfId="4" applyBorder="1"/>
    <xf numFmtId="0" fontId="1" fillId="0" borderId="0" xfId="4" applyAlignment="1">
      <alignment horizontal="left" vertical="top" wrapText="1"/>
    </xf>
    <xf numFmtId="0" fontId="13" fillId="0" borderId="0" xfId="4" applyFont="1" applyAlignment="1">
      <alignment horizontal="left" vertical="top" wrapText="1"/>
    </xf>
    <xf numFmtId="0" fontId="1" fillId="0" borderId="0" xfId="4" applyNumberFormat="1" applyAlignment="1">
      <alignment horizontal="center" vertical="top" wrapText="1"/>
    </xf>
    <xf numFmtId="49" fontId="1" fillId="0" borderId="1" xfId="9" applyNumberFormat="1" applyFont="1">
      <alignment horizontal="left" vertical="top" wrapText="1"/>
      <protection locked="0"/>
    </xf>
    <xf numFmtId="0" fontId="1" fillId="0" borderId="1" xfId="9" applyNumberFormat="1" applyFont="1" applyAlignment="1" applyProtection="1">
      <alignment horizontal="center" vertical="top" wrapText="1"/>
    </xf>
    <xf numFmtId="49" fontId="1" fillId="0" borderId="1" xfId="9" applyNumberFormat="1">
      <alignment horizontal="left" vertical="top" wrapText="1"/>
      <protection locked="0"/>
    </xf>
    <xf numFmtId="0" fontId="1" fillId="0" borderId="1" xfId="9" applyFont="1">
      <alignment horizontal="left" vertical="top" wrapText="1"/>
      <protection locked="0"/>
    </xf>
    <xf numFmtId="0" fontId="2" fillId="2" borderId="1" xfId="10" applyFont="1" applyAlignment="1">
      <alignment horizontal="center" textRotation="90" wrapText="1"/>
    </xf>
    <xf numFmtId="0" fontId="1" fillId="0" borderId="0" xfId="4" applyAlignment="1" applyProtection="1">
      <alignment horizontal="left" vertical="top" wrapText="1"/>
    </xf>
    <xf numFmtId="0" fontId="13" fillId="0" borderId="0" xfId="4" applyFont="1" applyAlignment="1" applyProtection="1">
      <alignment horizontal="left" vertical="top" wrapText="1"/>
    </xf>
    <xf numFmtId="0" fontId="1" fillId="0" borderId="0" xfId="4" applyNumberFormat="1" applyAlignment="1" applyProtection="1">
      <alignment horizontal="center" vertical="top" wrapText="1"/>
    </xf>
    <xf numFmtId="0" fontId="3" fillId="0" borderId="0" xfId="1" applyProtection="1"/>
    <xf numFmtId="0" fontId="1" fillId="0" borderId="0" xfId="4" applyFont="1" applyBorder="1" applyAlignment="1" applyProtection="1">
      <alignment vertical="top" wrapText="1"/>
    </xf>
    <xf numFmtId="1" fontId="1" fillId="0" borderId="0" xfId="9" applyNumberFormat="1" applyFont="1" applyBorder="1" applyAlignment="1" applyProtection="1">
      <alignment vertical="top" wrapText="1"/>
    </xf>
    <xf numFmtId="164" fontId="1" fillId="0" borderId="0" xfId="9" applyNumberFormat="1" applyFont="1" applyBorder="1" applyAlignment="1">
      <alignment vertical="top" wrapText="1"/>
      <protection locked="0"/>
    </xf>
    <xf numFmtId="49" fontId="1" fillId="0" borderId="0" xfId="9" applyNumberFormat="1" applyFont="1" applyBorder="1" applyAlignment="1" applyProtection="1">
      <alignment vertical="top" wrapText="1"/>
      <protection locked="0"/>
    </xf>
    <xf numFmtId="0" fontId="1" fillId="0" borderId="0" xfId="4" quotePrefix="1" applyAlignment="1" applyProtection="1">
      <alignment horizontal="left" vertical="top" wrapText="1"/>
    </xf>
    <xf numFmtId="0" fontId="1" fillId="0" borderId="0" xfId="4" applyAlignment="1" applyProtection="1">
      <alignment horizontal="right" vertical="top" wrapText="1"/>
    </xf>
    <xf numFmtId="0" fontId="3" fillId="0" borderId="0" xfId="1" applyFont="1" applyAlignment="1" applyProtection="1">
      <alignment horizontal="left" vertical="top"/>
    </xf>
    <xf numFmtId="0" fontId="1" fillId="3" borderId="1" xfId="5" applyFill="1" applyBorder="1"/>
    <xf numFmtId="0" fontId="1" fillId="0" borderId="1" xfId="5" applyBorder="1" applyProtection="1">
      <protection locked="0"/>
    </xf>
    <xf numFmtId="0" fontId="2" fillId="4" borderId="1" xfId="10" applyFont="1" applyFill="1" applyAlignment="1">
      <alignment horizontal="center" textRotation="90" wrapText="1"/>
    </xf>
    <xf numFmtId="0" fontId="6" fillId="4" borderId="1" xfId="4" applyFont="1" applyFill="1" applyBorder="1" applyAlignment="1">
      <alignment horizontal="left" vertical="top" wrapText="1"/>
    </xf>
    <xf numFmtId="0" fontId="2" fillId="5" borderId="1" xfId="10" applyFont="1" applyFill="1" applyAlignment="1">
      <alignment horizontal="center" textRotation="90" wrapText="1"/>
    </xf>
    <xf numFmtId="0" fontId="2" fillId="6" borderId="1" xfId="10" applyFont="1" applyFill="1" applyAlignment="1">
      <alignment horizontal="center" textRotation="90" wrapText="1"/>
    </xf>
    <xf numFmtId="0" fontId="2" fillId="6" borderId="1" xfId="10" applyFont="1" applyFill="1" applyAlignment="1">
      <alignment horizontal="center" wrapText="1"/>
    </xf>
    <xf numFmtId="0" fontId="1" fillId="0" borderId="1" xfId="0" applyFont="1" applyBorder="1"/>
    <xf numFmtId="0" fontId="1" fillId="0" borderId="1" xfId="0" applyFont="1" applyBorder="1" applyAlignment="1">
      <alignment wrapText="1"/>
    </xf>
    <xf numFmtId="0" fontId="1" fillId="0" borderId="1" xfId="7" applyBorder="1" applyAlignment="1" applyProtection="1">
      <alignment horizontal="left" vertical="top" wrapText="1"/>
    </xf>
    <xf numFmtId="0" fontId="1" fillId="0" borderId="0" xfId="0" applyFont="1"/>
    <xf numFmtId="0" fontId="2" fillId="7" borderId="0" xfId="10" applyFill="1" applyBorder="1">
      <alignment horizontal="left" vertical="top" wrapText="1"/>
    </xf>
    <xf numFmtId="0" fontId="2" fillId="2" borderId="10" xfId="10" applyBorder="1">
      <alignment horizontal="left" vertical="top" wrapText="1"/>
    </xf>
    <xf numFmtId="0" fontId="2" fillId="4" borderId="1" xfId="10" applyFill="1">
      <alignment horizontal="left" vertical="top" wrapText="1"/>
    </xf>
    <xf numFmtId="0" fontId="2" fillId="6" borderId="1" xfId="10" applyFill="1">
      <alignment horizontal="left" vertical="top" wrapText="1"/>
    </xf>
    <xf numFmtId="0" fontId="2" fillId="6" borderId="1" xfId="5" applyFont="1" applyFill="1" applyBorder="1" applyAlignment="1">
      <alignment vertical="top" wrapText="1"/>
    </xf>
    <xf numFmtId="0" fontId="2" fillId="6" borderId="1" xfId="10" applyFill="1" applyAlignment="1">
      <alignment vertical="top" wrapText="1"/>
    </xf>
    <xf numFmtId="0" fontId="2" fillId="6" borderId="1" xfId="10" applyFont="1" applyFill="1">
      <alignment horizontal="left" vertical="top" wrapText="1"/>
    </xf>
    <xf numFmtId="0" fontId="2" fillId="6" borderId="1" xfId="4" applyFont="1" applyFill="1" applyBorder="1" applyAlignment="1">
      <alignment vertical="top" wrapText="1"/>
    </xf>
    <xf numFmtId="0" fontId="2" fillId="4" borderId="1" xfId="4" applyFont="1" applyFill="1" applyBorder="1" applyAlignment="1">
      <alignment vertical="top" wrapText="1"/>
    </xf>
    <xf numFmtId="0" fontId="14" fillId="6" borderId="1" xfId="10" applyFont="1" applyFill="1" applyAlignment="1">
      <alignment horizontal="center" textRotation="90" wrapText="1"/>
    </xf>
    <xf numFmtId="0" fontId="2" fillId="6" borderId="1" xfId="10" applyFill="1" applyAlignment="1">
      <alignment horizontal="center" textRotation="90" wrapText="1"/>
    </xf>
    <xf numFmtId="49" fontId="2" fillId="5" borderId="1" xfId="10" applyNumberFormat="1" applyFont="1" applyFill="1" applyAlignment="1">
      <alignment horizontal="center" textRotation="90" wrapText="1"/>
    </xf>
    <xf numFmtId="0" fontId="2" fillId="4" borderId="1" xfId="10" applyFont="1" applyFill="1">
      <alignment horizontal="left" vertical="top" wrapText="1"/>
    </xf>
    <xf numFmtId="14" fontId="0" fillId="0" borderId="0" xfId="0" applyNumberFormat="1"/>
    <xf numFmtId="0" fontId="2" fillId="8" borderId="1" xfId="10" applyFill="1" applyAlignment="1">
      <alignment horizontal="center" textRotation="90" wrapText="1"/>
    </xf>
    <xf numFmtId="0" fontId="2" fillId="8" borderId="1" xfId="10" applyNumberFormat="1" applyFont="1" applyFill="1" applyAlignment="1">
      <alignment horizontal="center" textRotation="90" wrapText="1"/>
    </xf>
    <xf numFmtId="0" fontId="18" fillId="0" borderId="0" xfId="4" applyFont="1" applyAlignment="1" applyProtection="1">
      <alignment horizontal="left" vertical="top" wrapText="1"/>
    </xf>
    <xf numFmtId="0" fontId="18" fillId="0" borderId="0" xfId="4" applyNumberFormat="1" applyFont="1" applyAlignment="1" applyProtection="1">
      <alignment horizontal="center" vertical="top" wrapText="1"/>
    </xf>
    <xf numFmtId="0" fontId="19" fillId="0" borderId="0" xfId="4" applyFont="1" applyAlignment="1" applyProtection="1">
      <alignment horizontal="left" vertical="top" wrapText="1"/>
    </xf>
    <xf numFmtId="0" fontId="17" fillId="0" borderId="0" xfId="5" applyFont="1" applyBorder="1" applyAlignment="1">
      <alignment horizontal="center"/>
    </xf>
    <xf numFmtId="0" fontId="1" fillId="0" borderId="1" xfId="9" applyFont="1" applyAlignment="1" applyProtection="1">
      <alignment horizontal="center" vertical="top" wrapText="1"/>
      <protection locked="0"/>
    </xf>
    <xf numFmtId="0" fontId="1" fillId="0" borderId="0" xfId="4" applyBorder="1" applyAlignment="1" applyProtection="1">
      <alignment vertical="top" wrapText="1"/>
    </xf>
    <xf numFmtId="0" fontId="3" fillId="0" borderId="0" xfId="1" applyFont="1" applyProtection="1"/>
    <xf numFmtId="0" fontId="1" fillId="0" borderId="0" xfId="5" applyAlignment="1" applyProtection="1">
      <alignment horizontal="center"/>
    </xf>
    <xf numFmtId="2" fontId="1" fillId="0" borderId="0" xfId="5" applyNumberFormat="1" applyProtection="1"/>
    <xf numFmtId="2" fontId="8" fillId="0" borderId="0" xfId="5" applyNumberFormat="1" applyFont="1" applyProtection="1"/>
    <xf numFmtId="0" fontId="6" fillId="0" borderId="0" xfId="5" applyFont="1" applyProtection="1"/>
    <xf numFmtId="0" fontId="1" fillId="0" borderId="9" xfId="5" applyBorder="1" applyProtection="1"/>
    <xf numFmtId="0" fontId="1" fillId="0" borderId="0" xfId="5" applyBorder="1" applyProtection="1"/>
    <xf numFmtId="2" fontId="1" fillId="0" borderId="0" xfId="5" applyNumberFormat="1" applyBorder="1" applyProtection="1"/>
    <xf numFmtId="0" fontId="1" fillId="0" borderId="0" xfId="5" applyBorder="1" applyAlignment="1" applyProtection="1">
      <alignment horizontal="center"/>
    </xf>
    <xf numFmtId="0" fontId="18" fillId="0" borderId="0" xfId="5" applyFont="1" applyAlignment="1" applyProtection="1">
      <alignment horizontal="center"/>
    </xf>
    <xf numFmtId="0" fontId="2" fillId="5" borderId="1" xfId="10" applyFont="1" applyFill="1" applyProtection="1">
      <alignment horizontal="left" vertical="top" wrapText="1"/>
    </xf>
    <xf numFmtId="0" fontId="2" fillId="5" borderId="1" xfId="10" applyFont="1" applyFill="1" applyAlignment="1" applyProtection="1">
      <alignment horizontal="left" textRotation="90" wrapText="1"/>
    </xf>
    <xf numFmtId="0" fontId="2" fillId="5" borderId="1" xfId="10" applyFill="1" applyProtection="1">
      <alignment horizontal="left" vertical="top" wrapText="1"/>
    </xf>
    <xf numFmtId="0" fontId="2" fillId="2" borderId="1" xfId="10" applyBorder="1" applyAlignment="1" applyProtection="1">
      <alignment horizontal="center" textRotation="90" wrapText="1"/>
    </xf>
    <xf numFmtId="2" fontId="2" fillId="2" borderId="1" xfId="10" applyNumberFormat="1" applyAlignment="1" applyProtection="1">
      <alignment horizontal="center" vertical="top" wrapText="1"/>
    </xf>
    <xf numFmtId="0" fontId="2" fillId="2" borderId="1" xfId="10" applyAlignment="1" applyProtection="1">
      <alignment horizontal="center" vertical="top" wrapText="1"/>
    </xf>
    <xf numFmtId="0" fontId="2" fillId="2" borderId="1" xfId="10" applyAlignment="1" applyProtection="1">
      <alignment horizontal="center" textRotation="90" wrapText="1"/>
    </xf>
    <xf numFmtId="0" fontId="1" fillId="0" borderId="1" xfId="7" applyFont="1" applyProtection="1">
      <alignment horizontal="left" vertical="top" wrapText="1"/>
    </xf>
    <xf numFmtId="0" fontId="6" fillId="0" borderId="1" xfId="7" applyFont="1" applyProtection="1">
      <alignment horizontal="left" vertical="top" wrapText="1"/>
    </xf>
    <xf numFmtId="0" fontId="6" fillId="0" borderId="1" xfId="5" applyFont="1" applyBorder="1" applyAlignment="1" applyProtection="1">
      <alignment horizontal="center"/>
    </xf>
    <xf numFmtId="0" fontId="1" fillId="0" borderId="1" xfId="5" applyBorder="1" applyAlignment="1" applyProtection="1">
      <alignment horizontal="center"/>
    </xf>
    <xf numFmtId="0" fontId="6" fillId="0" borderId="1" xfId="5" applyFont="1" applyBorder="1" applyAlignment="1" applyProtection="1">
      <alignment horizontal="center" vertical="top"/>
    </xf>
    <xf numFmtId="0" fontId="6" fillId="0" borderId="7" xfId="5" applyFont="1" applyBorder="1" applyAlignment="1" applyProtection="1">
      <alignment vertical="top"/>
    </xf>
    <xf numFmtId="0" fontId="1" fillId="0" borderId="1" xfId="5" applyBorder="1" applyAlignment="1" applyProtection="1">
      <alignment horizontal="center" vertical="top"/>
    </xf>
    <xf numFmtId="0" fontId="1" fillId="0" borderId="0" xfId="5" applyAlignment="1" applyProtection="1">
      <alignment vertical="top"/>
    </xf>
    <xf numFmtId="0" fontId="2" fillId="6" borderId="1" xfId="10" applyFont="1" applyFill="1" applyProtection="1">
      <alignment horizontal="left" vertical="top" wrapText="1"/>
    </xf>
    <xf numFmtId="0" fontId="2" fillId="6" borderId="1" xfId="10" applyFont="1" applyFill="1" applyAlignment="1" applyProtection="1">
      <alignment horizontal="left" textRotation="90" wrapText="1"/>
    </xf>
    <xf numFmtId="0" fontId="2" fillId="6" borderId="1" xfId="10" applyFill="1" applyProtection="1">
      <alignment horizontal="left" vertical="top" wrapText="1"/>
    </xf>
    <xf numFmtId="0" fontId="2" fillId="4" borderId="1" xfId="10" applyFont="1" applyFill="1" applyProtection="1">
      <alignment horizontal="left" vertical="top" wrapText="1"/>
    </xf>
    <xf numFmtId="0" fontId="2" fillId="4" borderId="1" xfId="10" applyFont="1" applyFill="1" applyAlignment="1" applyProtection="1">
      <alignment horizontal="left" textRotation="90" wrapText="1"/>
    </xf>
    <xf numFmtId="0" fontId="2" fillId="4" borderId="1" xfId="10" applyFill="1" applyProtection="1">
      <alignment horizontal="left" vertical="top" wrapText="1"/>
    </xf>
    <xf numFmtId="0" fontId="1" fillId="0" borderId="1" xfId="7" applyFont="1" applyProtection="1">
      <alignment horizontal="left" vertical="top" wrapText="1"/>
      <protection locked="0"/>
    </xf>
    <xf numFmtId="168" fontId="0" fillId="0" borderId="1" xfId="7" applyNumberFormat="1" applyFont="1" applyAlignment="1">
      <alignment horizontal="left" vertical="top" wrapText="1"/>
      <protection locked="0"/>
    </xf>
    <xf numFmtId="0" fontId="1" fillId="0" borderId="4" xfId="7" applyFont="1" applyBorder="1" applyAlignment="1" applyProtection="1">
      <alignment horizontal="left" vertical="top" wrapText="1"/>
      <protection locked="0"/>
    </xf>
    <xf numFmtId="0" fontId="1" fillId="0" borderId="1" xfId="0" applyFont="1" applyBorder="1" applyAlignment="1">
      <alignment vertical="top" wrapText="1"/>
    </xf>
    <xf numFmtId="2" fontId="1" fillId="0" borderId="0" xfId="4" applyNumberFormat="1" applyAlignment="1" applyProtection="1">
      <alignment horizontal="left" vertical="top" wrapText="1"/>
    </xf>
    <xf numFmtId="2" fontId="18" fillId="0" borderId="0" xfId="4" applyNumberFormat="1" applyFont="1" applyAlignment="1" applyProtection="1">
      <alignment horizontal="left" vertical="top" wrapText="1"/>
    </xf>
    <xf numFmtId="2" fontId="2" fillId="5" borderId="1" xfId="10" applyNumberFormat="1" applyFont="1" applyFill="1" applyAlignment="1">
      <alignment horizontal="center" wrapText="1"/>
    </xf>
    <xf numFmtId="2" fontId="1" fillId="0" borderId="1" xfId="9" applyNumberFormat="1" applyFont="1">
      <alignment horizontal="left" vertical="top" wrapText="1"/>
      <protection locked="0"/>
    </xf>
    <xf numFmtId="2" fontId="1" fillId="0" borderId="0" xfId="4" applyNumberFormat="1" applyAlignment="1">
      <alignment horizontal="left" vertical="top" wrapText="1"/>
    </xf>
    <xf numFmtId="2" fontId="1" fillId="0" borderId="0" xfId="9" applyNumberFormat="1" applyFont="1" applyBorder="1" applyAlignment="1" applyProtection="1">
      <alignment vertical="top" wrapText="1"/>
      <protection locked="0"/>
    </xf>
    <xf numFmtId="2" fontId="1" fillId="0" borderId="0" xfId="9" applyNumberFormat="1" applyFont="1" applyBorder="1" applyAlignment="1">
      <alignment vertical="top" wrapText="1"/>
      <protection locked="0"/>
    </xf>
    <xf numFmtId="2" fontId="1" fillId="0" borderId="0" xfId="9" applyNumberFormat="1" applyFont="1" applyBorder="1" applyAlignment="1" applyProtection="1">
      <alignment vertical="top" wrapText="1"/>
    </xf>
    <xf numFmtId="2" fontId="2" fillId="6" borderId="1" xfId="10" applyNumberFormat="1" applyFont="1" applyFill="1" applyAlignment="1">
      <alignment horizontal="center" wrapText="1"/>
    </xf>
    <xf numFmtId="0" fontId="1" fillId="0" borderId="4" xfId="7" applyBorder="1">
      <alignment horizontal="left" vertical="top" wrapText="1"/>
      <protection locked="0"/>
    </xf>
    <xf numFmtId="0" fontId="1" fillId="0" borderId="2" xfId="7" applyFont="1" applyBorder="1">
      <alignment horizontal="left" vertical="top" wrapText="1"/>
      <protection locked="0"/>
    </xf>
    <xf numFmtId="0" fontId="6" fillId="9" borderId="1" xfId="0" applyFont="1" applyFill="1" applyBorder="1" applyAlignment="1">
      <alignment wrapText="1"/>
    </xf>
    <xf numFmtId="0" fontId="6" fillId="10" borderId="1" xfId="0" applyFont="1" applyFill="1" applyBorder="1" applyAlignment="1">
      <alignment wrapText="1"/>
    </xf>
    <xf numFmtId="0" fontId="1" fillId="0" borderId="1" xfId="0" applyFont="1" applyFill="1" applyBorder="1" applyAlignment="1">
      <alignment wrapText="1"/>
    </xf>
    <xf numFmtId="0" fontId="16" fillId="0" borderId="1" xfId="0" applyFont="1" applyBorder="1" applyAlignment="1">
      <alignment wrapText="1"/>
    </xf>
    <xf numFmtId="0" fontId="6" fillId="0" borderId="0" xfId="4" applyFont="1" applyBorder="1" applyAlignment="1" applyProtection="1">
      <alignment horizontal="left" vertical="top" wrapText="1"/>
    </xf>
    <xf numFmtId="0" fontId="7" fillId="6" borderId="10" xfId="4" applyFont="1" applyFill="1" applyBorder="1" applyAlignment="1" applyProtection="1">
      <alignment horizontal="left" vertical="top" wrapText="1"/>
    </xf>
    <xf numFmtId="0" fontId="0" fillId="6" borderId="11" xfId="0" applyFill="1" applyBorder="1" applyAlignment="1">
      <alignment horizontal="left" vertical="top" wrapText="1"/>
    </xf>
    <xf numFmtId="0" fontId="1" fillId="0" borderId="0" xfId="4" applyBorder="1" applyAlignment="1" applyProtection="1">
      <alignment horizontal="left" vertical="top" wrapText="1"/>
    </xf>
    <xf numFmtId="0" fontId="0" fillId="0" borderId="0" xfId="0" applyBorder="1" applyAlignment="1">
      <alignment horizontal="left" vertical="top" wrapText="1"/>
    </xf>
    <xf numFmtId="0" fontId="1" fillId="0" borderId="0" xfId="7" applyBorder="1" applyAlignment="1" applyProtection="1">
      <alignment horizontal="left" vertical="top" wrapText="1"/>
    </xf>
    <xf numFmtId="0" fontId="1" fillId="0" borderId="12" xfId="0" applyFont="1" applyBorder="1" applyAlignment="1">
      <alignment vertical="top" wrapText="1"/>
    </xf>
    <xf numFmtId="0" fontId="2" fillId="0" borderId="12" xfId="0" applyFont="1" applyBorder="1" applyAlignment="1">
      <alignment vertical="top" wrapText="1"/>
    </xf>
    <xf numFmtId="0" fontId="6" fillId="11" borderId="0" xfId="5" quotePrefix="1" applyFont="1" applyFill="1" applyBorder="1"/>
    <xf numFmtId="0" fontId="6" fillId="11" borderId="0" xfId="5" applyFont="1" applyFill="1" applyBorder="1"/>
    <xf numFmtId="0" fontId="6" fillId="11" borderId="0" xfId="5" applyFont="1" applyFill="1" applyBorder="1" applyAlignment="1">
      <alignment wrapText="1"/>
    </xf>
    <xf numFmtId="0" fontId="6" fillId="11" borderId="0" xfId="5" quotePrefix="1" applyFont="1" applyFill="1" applyBorder="1" applyAlignment="1">
      <alignment wrapText="1"/>
    </xf>
    <xf numFmtId="0" fontId="0" fillId="0" borderId="0" xfId="0" applyFill="1" applyBorder="1"/>
    <xf numFmtId="0" fontId="1" fillId="0" borderId="8" xfId="9" applyFont="1" applyFill="1" applyBorder="1">
      <alignment horizontal="left" vertical="top" wrapText="1"/>
      <protection locked="0"/>
    </xf>
    <xf numFmtId="0" fontId="1" fillId="0" borderId="0" xfId="0" applyFont="1" applyFill="1" applyBorder="1"/>
    <xf numFmtId="0" fontId="1" fillId="0" borderId="0" xfId="9" applyFont="1" applyFill="1" applyBorder="1">
      <alignment horizontal="left" vertical="top" wrapText="1"/>
      <protection locked="0"/>
    </xf>
    <xf numFmtId="0" fontId="0" fillId="0" borderId="0" xfId="0" applyFont="1" applyFill="1" applyBorder="1"/>
    <xf numFmtId="0" fontId="0" fillId="0" borderId="0" xfId="0" applyFont="1"/>
    <xf numFmtId="0" fontId="6" fillId="0" borderId="0" xfId="0" applyFont="1" applyAlignment="1">
      <alignment wrapText="1"/>
    </xf>
    <xf numFmtId="2" fontId="6" fillId="0" borderId="1" xfId="9" applyNumberFormat="1" applyFont="1">
      <alignment horizontal="left" vertical="top" wrapText="1"/>
      <protection locked="0"/>
    </xf>
    <xf numFmtId="0" fontId="2" fillId="6" borderId="1" xfId="10" applyFont="1" applyFill="1" applyBorder="1" applyAlignment="1">
      <alignment vertical="top" wrapText="1"/>
    </xf>
    <xf numFmtId="0" fontId="2" fillId="6" borderId="1" xfId="10" applyFill="1" applyBorder="1" applyAlignment="1">
      <alignment vertical="top" wrapText="1"/>
    </xf>
    <xf numFmtId="0" fontId="2" fillId="6" borderId="13" xfId="10" applyFill="1" applyBorder="1" applyAlignment="1">
      <alignment vertical="top" wrapText="1"/>
    </xf>
    <xf numFmtId="0" fontId="2" fillId="6" borderId="8" xfId="10" applyFill="1" applyBorder="1" applyAlignment="1">
      <alignment vertical="top" wrapText="1"/>
    </xf>
    <xf numFmtId="0" fontId="2" fillId="6" borderId="14" xfId="10" applyFill="1" applyBorder="1" applyAlignment="1">
      <alignment vertical="top" wrapText="1"/>
    </xf>
    <xf numFmtId="0" fontId="2" fillId="6" borderId="3" xfId="10" applyFill="1" applyBorder="1" applyAlignment="1">
      <alignment vertical="top" wrapText="1"/>
    </xf>
    <xf numFmtId="0" fontId="2" fillId="6" borderId="2" xfId="10" applyFill="1" applyBorder="1" applyAlignment="1">
      <alignment vertical="top" wrapText="1"/>
    </xf>
    <xf numFmtId="0" fontId="1" fillId="0" borderId="9" xfId="4" applyBorder="1" applyAlignment="1" applyProtection="1">
      <alignment vertical="top" wrapText="1"/>
    </xf>
    <xf numFmtId="0" fontId="1" fillId="12" borderId="13" xfId="4" applyFill="1" applyBorder="1" applyAlignment="1">
      <alignment horizontal="left" vertical="top" wrapText="1"/>
    </xf>
    <xf numFmtId="0" fontId="0" fillId="0" borderId="15" xfId="0" applyBorder="1" applyAlignment="1">
      <alignment horizontal="left" vertical="top" wrapText="1"/>
    </xf>
    <xf numFmtId="0" fontId="6" fillId="0" borderId="15" xfId="4" applyFont="1" applyBorder="1" applyAlignment="1" applyProtection="1">
      <alignment horizontal="left" vertical="top" wrapText="1"/>
    </xf>
    <xf numFmtId="0" fontId="1" fillId="0" borderId="11" xfId="9" applyFont="1" applyBorder="1" applyAlignment="1">
      <alignment horizontal="left" vertical="top" wrapText="1"/>
      <protection locked="0"/>
    </xf>
    <xf numFmtId="0" fontId="1" fillId="0" borderId="7" xfId="9" applyFont="1" applyBorder="1" applyAlignment="1">
      <alignment horizontal="left" vertical="top" wrapText="1"/>
      <protection locked="0"/>
    </xf>
    <xf numFmtId="1" fontId="1" fillId="0" borderId="1" xfId="9" applyNumberFormat="1" applyFont="1" applyBorder="1" applyAlignment="1" applyProtection="1">
      <alignment horizontal="left" vertical="top" wrapText="1"/>
    </xf>
    <xf numFmtId="0" fontId="2" fillId="2" borderId="10" xfId="10" applyFont="1" applyBorder="1" applyAlignment="1" applyProtection="1">
      <alignment horizontal="left" vertical="top" wrapText="1"/>
    </xf>
    <xf numFmtId="0" fontId="1" fillId="0" borderId="11" xfId="4" applyBorder="1" applyAlignment="1" applyProtection="1">
      <alignment horizontal="left" vertical="top" wrapText="1"/>
    </xf>
    <xf numFmtId="0" fontId="7" fillId="5" borderId="1" xfId="4" applyFont="1" applyFill="1" applyBorder="1" applyAlignment="1" applyProtection="1">
      <alignment horizontal="center" vertical="top" wrapText="1"/>
    </xf>
    <xf numFmtId="0" fontId="7" fillId="4" borderId="10" xfId="4" applyFont="1" applyFill="1" applyBorder="1" applyAlignment="1" applyProtection="1">
      <alignment horizontal="center" vertical="top" wrapText="1"/>
    </xf>
    <xf numFmtId="0" fontId="0" fillId="4" borderId="11" xfId="0" applyFill="1" applyBorder="1" applyAlignment="1">
      <alignment horizontal="center" vertical="top" wrapText="1"/>
    </xf>
    <xf numFmtId="0" fontId="0" fillId="4" borderId="7" xfId="0" applyFill="1" applyBorder="1" applyAlignment="1">
      <alignment horizontal="center" vertical="top" wrapText="1"/>
    </xf>
    <xf numFmtId="0" fontId="2" fillId="5" borderId="10" xfId="10" applyFill="1" applyBorder="1" applyAlignment="1">
      <alignment horizontal="left" vertical="top" wrapText="1"/>
    </xf>
    <xf numFmtId="0" fontId="1" fillId="5" borderId="11" xfId="4" applyFill="1" applyBorder="1" applyAlignment="1">
      <alignment horizontal="left" vertical="top" wrapText="1"/>
    </xf>
    <xf numFmtId="0" fontId="1" fillId="0" borderId="11" xfId="7" applyBorder="1" applyAlignment="1" applyProtection="1">
      <alignment horizontal="left" vertical="top" wrapText="1"/>
    </xf>
    <xf numFmtId="0" fontId="1" fillId="0" borderId="7" xfId="7" applyBorder="1" applyAlignment="1" applyProtection="1">
      <alignment horizontal="left" vertical="top" wrapText="1"/>
    </xf>
    <xf numFmtId="0" fontId="1" fillId="0" borderId="9" xfId="4" applyBorder="1" applyAlignment="1" applyProtection="1">
      <alignment horizontal="left" vertical="top" wrapText="1"/>
    </xf>
    <xf numFmtId="0" fontId="2" fillId="5" borderId="10" xfId="10" applyFont="1" applyFill="1" applyBorder="1" applyAlignment="1" applyProtection="1">
      <alignment horizontal="left" vertical="top" wrapText="1"/>
    </xf>
    <xf numFmtId="0" fontId="1" fillId="5" borderId="11" xfId="4" applyFill="1" applyBorder="1" applyAlignment="1" applyProtection="1">
      <alignment horizontal="left" vertical="top" wrapText="1"/>
    </xf>
    <xf numFmtId="0" fontId="6" fillId="6" borderId="10" xfId="0" applyFont="1" applyFill="1" applyBorder="1" applyAlignment="1">
      <alignment horizontal="left" wrapText="1"/>
    </xf>
    <xf numFmtId="0" fontId="6" fillId="6" borderId="7" xfId="0" applyFont="1" applyFill="1" applyBorder="1" applyAlignment="1">
      <alignment horizontal="left" wrapText="1"/>
    </xf>
    <xf numFmtId="0" fontId="6" fillId="6" borderId="7" xfId="0" applyFont="1" applyFill="1" applyBorder="1" applyAlignment="1">
      <alignment horizontal="left"/>
    </xf>
    <xf numFmtId="0" fontId="6" fillId="10" borderId="3" xfId="0" applyFont="1" applyFill="1" applyBorder="1" applyAlignment="1">
      <alignment horizontal="center" wrapText="1"/>
    </xf>
    <xf numFmtId="0" fontId="6" fillId="10" borderId="4" xfId="0" applyFont="1" applyFill="1" applyBorder="1" applyAlignment="1">
      <alignment horizontal="center" wrapText="1"/>
    </xf>
    <xf numFmtId="0" fontId="6" fillId="10" borderId="2" xfId="0" applyFont="1" applyFill="1" applyBorder="1" applyAlignment="1">
      <alignment horizontal="center" wrapText="1"/>
    </xf>
    <xf numFmtId="0" fontId="1" fillId="0" borderId="0" xfId="5" applyAlignment="1" applyProtection="1">
      <alignment horizontal="left"/>
    </xf>
    <xf numFmtId="0" fontId="2" fillId="2" borderId="13" xfId="10" applyFont="1" applyBorder="1" applyProtection="1">
      <alignment horizontal="left" vertical="top" wrapText="1"/>
    </xf>
    <xf numFmtId="0" fontId="2" fillId="2" borderId="17" xfId="10" applyFont="1" applyBorder="1" applyProtection="1">
      <alignment horizontal="left" vertical="top" wrapText="1"/>
    </xf>
    <xf numFmtId="0" fontId="2" fillId="2" borderId="14" xfId="10" applyFont="1" applyBorder="1" applyAlignment="1" applyProtection="1">
      <alignment horizontal="right" vertical="top" wrapText="1"/>
    </xf>
    <xf numFmtId="0" fontId="2" fillId="2" borderId="16" xfId="10" applyFont="1" applyBorder="1" applyAlignment="1" applyProtection="1">
      <alignment horizontal="right" vertical="top" wrapText="1"/>
    </xf>
    <xf numFmtId="0" fontId="6" fillId="0" borderId="1" xfId="5" applyFont="1" applyBorder="1" applyAlignment="1" applyProtection="1">
      <alignment horizontal="left" vertical="top" wrapText="1"/>
    </xf>
    <xf numFmtId="0" fontId="6" fillId="0" borderId="1" xfId="5" applyFont="1" applyBorder="1" applyAlignment="1" applyProtection="1"/>
    <xf numFmtId="0" fontId="1" fillId="0" borderId="1" xfId="5" applyBorder="1" applyProtection="1">
      <protection locked="0"/>
    </xf>
    <xf numFmtId="0" fontId="1" fillId="0" borderId="10" xfId="5" applyBorder="1" applyAlignment="1" applyProtection="1">
      <alignment wrapText="1"/>
      <protection locked="0"/>
    </xf>
    <xf numFmtId="0" fontId="1" fillId="0" borderId="7" xfId="5" applyBorder="1" applyAlignment="1" applyProtection="1">
      <alignment wrapText="1"/>
      <protection locked="0"/>
    </xf>
    <xf numFmtId="0" fontId="1" fillId="12" borderId="1" xfId="5" applyFill="1" applyBorder="1" applyAlignment="1">
      <alignment horizontal="left"/>
    </xf>
    <xf numFmtId="0" fontId="1" fillId="0" borderId="1" xfId="5" applyBorder="1" applyAlignment="1" applyProtection="1">
      <alignment wrapText="1"/>
      <protection locked="0"/>
    </xf>
    <xf numFmtId="0" fontId="1" fillId="0" borderId="0" xfId="5" applyAlignment="1">
      <alignment horizontal="left" vertical="top" wrapText="1"/>
    </xf>
    <xf numFmtId="0" fontId="1" fillId="0" borderId="0" xfId="5" applyAlignment="1">
      <alignment horizontal="left"/>
    </xf>
    <xf numFmtId="0" fontId="1" fillId="13" borderId="1" xfId="5" applyFill="1" applyBorder="1"/>
    <xf numFmtId="0" fontId="1" fillId="3" borderId="1" xfId="5" applyFill="1" applyBorder="1"/>
    <xf numFmtId="0" fontId="1" fillId="0" borderId="10" xfId="5" applyBorder="1" applyAlignment="1" applyProtection="1">
      <alignment horizontal="left" vertical="top" wrapText="1"/>
      <protection locked="0"/>
    </xf>
    <xf numFmtId="0" fontId="0" fillId="0" borderId="11" xfId="0" applyBorder="1" applyAlignment="1"/>
    <xf numFmtId="0" fontId="0" fillId="0" borderId="7" xfId="0" applyBorder="1" applyAlignment="1"/>
    <xf numFmtId="165" fontId="1" fillId="0" borderId="10" xfId="7" applyNumberFormat="1" applyBorder="1" applyAlignment="1" applyProtection="1">
      <alignment horizontal="left" vertical="top" wrapText="1"/>
    </xf>
    <xf numFmtId="165" fontId="1" fillId="0" borderId="7" xfId="5" applyNumberFormat="1" applyBorder="1" applyAlignment="1"/>
    <xf numFmtId="164" fontId="1" fillId="0" borderId="1" xfId="7" applyNumberFormat="1" applyFont="1">
      <alignment horizontal="left" vertical="top" wrapText="1"/>
      <protection locked="0"/>
    </xf>
    <xf numFmtId="164" fontId="1" fillId="0" borderId="1" xfId="7" applyNumberFormat="1">
      <alignment horizontal="left" vertical="top" wrapText="1"/>
      <protection locked="0"/>
    </xf>
    <xf numFmtId="2" fontId="1" fillId="0" borderId="1" xfId="7" applyNumberFormat="1" applyProtection="1">
      <alignment horizontal="left" vertical="top" wrapText="1"/>
    </xf>
    <xf numFmtId="0" fontId="1" fillId="0" borderId="1" xfId="7">
      <alignment horizontal="left" vertical="top" wrapText="1"/>
      <protection locked="0"/>
    </xf>
    <xf numFmtId="0" fontId="1" fillId="0" borderId="1" xfId="7" applyFont="1">
      <alignment horizontal="left" vertical="top" wrapText="1"/>
      <protection locked="0"/>
    </xf>
    <xf numFmtId="166" fontId="1" fillId="0" borderId="10" xfId="7" applyNumberFormat="1" applyBorder="1" applyAlignment="1" applyProtection="1">
      <alignment horizontal="left" vertical="top" wrapText="1"/>
    </xf>
    <xf numFmtId="0" fontId="1" fillId="0" borderId="7" xfId="5" applyBorder="1" applyAlignment="1"/>
  </cellXfs>
  <cellStyles count="11">
    <cellStyle name="Heading 1" xfId="1" builtinId="16" customBuiltin="1"/>
    <cellStyle name="Heading 2" xfId="2" builtinId="17" customBuiltin="1"/>
    <cellStyle name="Normal" xfId="0" builtinId="0"/>
    <cellStyle name="Normal 2" xfId="3"/>
    <cellStyle name="Normal 2 2" xfId="4"/>
    <cellStyle name="Normal 3" xfId="5"/>
    <cellStyle name="Percent 2" xfId="6"/>
    <cellStyle name="Table Body" xfId="7"/>
    <cellStyle name="Table Body 2" xfId="8"/>
    <cellStyle name="Table Body 2 2" xfId="9"/>
    <cellStyle name="Table Heading" xfId="10"/>
  </cellStyles>
  <dxfs count="33">
    <dxf>
      <fill>
        <patternFill>
          <bgColor rgb="FFFFCCFF"/>
        </patternFill>
      </fill>
    </dxf>
    <dxf>
      <font>
        <b/>
        <i val="0"/>
        <color rgb="FFFF0000"/>
      </font>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dxf>
    <dxf>
      <font>
        <b/>
        <i val="0"/>
        <color rgb="FFFF0000"/>
      </font>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ont>
        <b/>
        <i val="0"/>
        <color rgb="FFFF0000"/>
      </font>
      <border>
        <left style="thin">
          <color indexed="64"/>
        </left>
        <right style="thin">
          <color indexed="64"/>
        </right>
        <top style="thin">
          <color indexed="64"/>
        </top>
        <bottom style="thin">
          <color indexed="64"/>
        </bottom>
      </border>
    </dxf>
    <dxf>
      <fill>
        <patternFill>
          <bgColor rgb="FFFFCCFF"/>
        </patternFill>
      </fill>
    </dxf>
    <dxf>
      <fill>
        <patternFill>
          <bgColor rgb="FFFFCCFF"/>
        </patternFill>
      </fill>
    </dxf>
    <dxf>
      <font>
        <b/>
        <i val="0"/>
        <color rgb="FFFF0000"/>
      </font>
    </dxf>
    <dxf>
      <fill>
        <patternFill>
          <bgColor rgb="FFFFCCFF"/>
        </patternFill>
      </fill>
    </dxf>
    <dxf>
      <font>
        <b/>
        <i val="0"/>
        <color rgb="FFFF0000"/>
      </font>
      <fill>
        <patternFill patternType="none">
          <bgColor indexed="65"/>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
  <dimension ref="B2:B33"/>
  <sheetViews>
    <sheetView workbookViewId="0">
      <selection activeCell="B33" sqref="B33"/>
    </sheetView>
  </sheetViews>
  <sheetFormatPr defaultRowHeight="13.5"/>
  <cols>
    <col min="2" max="2" width="70.25" customWidth="1"/>
  </cols>
  <sheetData>
    <row r="2" spans="2:2">
      <c r="B2" s="91" t="s">
        <v>555</v>
      </c>
    </row>
    <row r="3" spans="2:2">
      <c r="B3" s="91" t="s">
        <v>556</v>
      </c>
    </row>
    <row r="4" spans="2:2">
      <c r="B4" s="91" t="s">
        <v>559</v>
      </c>
    </row>
    <row r="5" spans="2:2">
      <c r="B5" s="91" t="s">
        <v>560</v>
      </c>
    </row>
    <row r="6" spans="2:2">
      <c r="B6" s="91" t="s">
        <v>561</v>
      </c>
    </row>
    <row r="8" spans="2:2">
      <c r="B8" s="91" t="s">
        <v>562</v>
      </c>
    </row>
    <row r="9" spans="2:2">
      <c r="B9" s="91" t="s">
        <v>564</v>
      </c>
    </row>
    <row r="10" spans="2:2">
      <c r="B10" s="91" t="s">
        <v>563</v>
      </c>
    </row>
    <row r="12" spans="2:2">
      <c r="B12" s="91" t="s">
        <v>571</v>
      </c>
    </row>
    <row r="13" spans="2:2">
      <c r="B13" s="91" t="s">
        <v>564</v>
      </c>
    </row>
    <row r="14" spans="2:2">
      <c r="B14" s="91" t="s">
        <v>572</v>
      </c>
    </row>
    <row r="15" spans="2:2">
      <c r="B15" s="91"/>
    </row>
    <row r="16" spans="2:2">
      <c r="B16" s="91" t="s">
        <v>566</v>
      </c>
    </row>
    <row r="18" spans="2:2">
      <c r="B18" s="91" t="s">
        <v>567</v>
      </c>
    </row>
    <row r="19" spans="2:2">
      <c r="B19" s="91" t="s">
        <v>568</v>
      </c>
    </row>
    <row r="20" spans="2:2">
      <c r="B20" s="91" t="s">
        <v>569</v>
      </c>
    </row>
    <row r="21" spans="2:2" ht="67.5">
      <c r="B21" s="4" t="s">
        <v>570</v>
      </c>
    </row>
    <row r="26" spans="2:2" ht="27">
      <c r="B26" s="4" t="s">
        <v>9</v>
      </c>
    </row>
    <row r="27" spans="2:2" ht="40.5">
      <c r="B27" s="4" t="s">
        <v>10</v>
      </c>
    </row>
    <row r="28" spans="2:2" ht="54">
      <c r="B28" s="4" t="s">
        <v>11</v>
      </c>
    </row>
    <row r="29" spans="2:2">
      <c r="B29" s="3"/>
    </row>
    <row r="30" spans="2:2">
      <c r="B30" s="3"/>
    </row>
    <row r="31" spans="2:2" ht="27">
      <c r="B31" s="4" t="s">
        <v>12</v>
      </c>
    </row>
    <row r="33" spans="2:2">
      <c r="B33" s="91" t="s">
        <v>565</v>
      </c>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2.xml><?xml version="1.0" encoding="utf-8"?>
<worksheet xmlns="http://schemas.openxmlformats.org/spreadsheetml/2006/main" xmlns:r="http://schemas.openxmlformats.org/officeDocument/2006/relationships">
  <sheetPr codeName="Sheet4">
    <tabColor theme="4" tint="0.39997558519241921"/>
    <pageSetUpPr fitToPage="1"/>
  </sheetPr>
  <dimension ref="A1:C50"/>
  <sheetViews>
    <sheetView zoomScaleNormal="100" workbookViewId="0">
      <selection activeCell="E13" sqref="E13"/>
    </sheetView>
  </sheetViews>
  <sheetFormatPr defaultRowHeight="13.5"/>
  <cols>
    <col min="1" max="1" width="28.125" style="5" customWidth="1"/>
    <col min="2" max="2" width="51.375" style="5" customWidth="1"/>
    <col min="3" max="3" width="1.625" style="5" bestFit="1" customWidth="1"/>
    <col min="4" max="16384" width="9" style="5"/>
  </cols>
  <sheetData>
    <row r="1" spans="1:3" s="20" customFormat="1" ht="21">
      <c r="A1" s="21" t="s">
        <v>43</v>
      </c>
    </row>
    <row r="2" spans="1:3" ht="30" customHeight="1">
      <c r="A2" s="191" t="s">
        <v>190</v>
      </c>
      <c r="B2" s="191"/>
      <c r="C2" s="113"/>
    </row>
    <row r="3" spans="1:3" ht="13.5" customHeight="1">
      <c r="A3" s="95" t="s">
        <v>42</v>
      </c>
      <c r="B3" s="15" t="s">
        <v>41</v>
      </c>
      <c r="C3" s="5" t="str">
        <f t="shared" ref="C3:C8" si="0">IF(OR(LEFT(B3,1)="&lt;",COUNTIF(Blanks,B3)&gt;0),CheckErr,CheckOK)</f>
        <v>!</v>
      </c>
    </row>
    <row r="4" spans="1:3">
      <c r="A4" s="96" t="s">
        <v>40</v>
      </c>
      <c r="B4" s="17" t="s">
        <v>39</v>
      </c>
      <c r="C4" s="5" t="str">
        <f t="shared" si="0"/>
        <v>!</v>
      </c>
    </row>
    <row r="5" spans="1:3">
      <c r="A5" s="96" t="s">
        <v>191</v>
      </c>
      <c r="B5" s="17" t="s">
        <v>192</v>
      </c>
      <c r="C5" s="5" t="str">
        <f t="shared" si="0"/>
        <v>!</v>
      </c>
    </row>
    <row r="6" spans="1:3">
      <c r="A6" s="96" t="s">
        <v>38</v>
      </c>
      <c r="B6" s="17" t="s">
        <v>37</v>
      </c>
      <c r="C6" s="5" t="str">
        <f t="shared" si="0"/>
        <v>!</v>
      </c>
    </row>
    <row r="7" spans="1:3">
      <c r="A7" s="96" t="s">
        <v>36</v>
      </c>
      <c r="B7" s="19" t="s">
        <v>27</v>
      </c>
      <c r="C7" s="5" t="str">
        <f t="shared" si="0"/>
        <v>!</v>
      </c>
    </row>
    <row r="8" spans="1:3">
      <c r="A8" s="96" t="s">
        <v>35</v>
      </c>
      <c r="B8" s="17" t="s">
        <v>34</v>
      </c>
      <c r="C8" s="5" t="str">
        <f t="shared" si="0"/>
        <v>!</v>
      </c>
    </row>
    <row r="9" spans="1:3" ht="13.5" customHeight="1">
      <c r="A9" s="96" t="s">
        <v>156</v>
      </c>
      <c r="B9" s="18" t="s">
        <v>33</v>
      </c>
      <c r="C9" s="5" t="str">
        <f>IF(OR(LEFT(B9,1)="&lt;",COUNTIF(Blanks,B9)&gt;0),IF(CaptureSizeMetrics,CheckErr,CheckOK),CheckOK)</f>
        <v>!</v>
      </c>
    </row>
    <row r="10" spans="1:3" ht="13.5" customHeight="1">
      <c r="A10" s="96" t="s">
        <v>157</v>
      </c>
      <c r="B10" s="18" t="s">
        <v>33</v>
      </c>
      <c r="C10" s="5" t="str">
        <f>IF(OR(LEFT(B10,1)="&lt;",COUNTIF(Blanks,B10)&gt;0),IF(CaptureSizeMetrics,CheckErr,CheckOK),CheckOK)</f>
        <v>!</v>
      </c>
    </row>
    <row r="11" spans="1:3" ht="13.5" customHeight="1">
      <c r="A11" s="96" t="s">
        <v>158</v>
      </c>
      <c r="B11" s="18" t="s">
        <v>33</v>
      </c>
      <c r="C11" s="5" t="str">
        <f>IF(OR(LEFT(B11,1)="&lt;",COUNTIF(Blanks,B11)&gt;0),IF(CaptureSizeMetrics,CheckErr,CheckOK),CheckOK)</f>
        <v>!</v>
      </c>
    </row>
    <row r="12" spans="1:3" ht="13.5" customHeight="1">
      <c r="A12" s="96" t="s">
        <v>32</v>
      </c>
      <c r="B12" s="18" t="s">
        <v>31</v>
      </c>
      <c r="C12" s="5" t="str">
        <f>IF(OR(LEFT(B12,1)="&lt;",COUNTIF(Blanks,B12)&gt;0),IF(CaptureSizeMetrics,CheckErr,CheckOK),CheckOK)</f>
        <v>!</v>
      </c>
    </row>
    <row r="13" spans="1:3">
      <c r="A13" s="96" t="s">
        <v>317</v>
      </c>
      <c r="B13" s="17" t="s">
        <v>30</v>
      </c>
    </row>
    <row r="15" spans="1:3" ht="21">
      <c r="A15" s="10" t="s">
        <v>29</v>
      </c>
    </row>
    <row r="17" spans="1:3">
      <c r="A17" s="95" t="s">
        <v>28</v>
      </c>
      <c r="B17" s="19" t="s">
        <v>27</v>
      </c>
      <c r="C17" s="5" t="str">
        <f>IF(OR(LEFT(B17,1)="&lt;",COUNTIF(Blanks,B17)&gt;0),CheckErr,CheckOK)</f>
        <v>!</v>
      </c>
    </row>
    <row r="18" spans="1:3">
      <c r="A18" s="95" t="s">
        <v>26</v>
      </c>
      <c r="B18" s="15" t="s">
        <v>25</v>
      </c>
    </row>
    <row r="19" spans="1:3">
      <c r="A19" s="95" t="str">
        <f>IF(B18="Offline Review (by Individual Reviewers)","Comments Required By", "Time/Date of Review Meeting")</f>
        <v>Comments Required By</v>
      </c>
      <c r="B19" s="146" t="s">
        <v>203</v>
      </c>
      <c r="C19" s="5" t="str">
        <f>IF(OR(LEFT(B19,1)="&lt;",COUNTIF(Blanks,B19)&gt;0),CheckErr,CheckOK)</f>
        <v>!</v>
      </c>
    </row>
    <row r="20" spans="1:3">
      <c r="A20" s="95" t="s">
        <v>199</v>
      </c>
      <c r="B20" s="15" t="s">
        <v>198</v>
      </c>
      <c r="C20" s="5" t="str">
        <f>IF(OR(LEFT(B20,1)="&lt;",COUNTIF(Blanks,B20)&gt;0),CheckErr,CheckOK)</f>
        <v>!</v>
      </c>
    </row>
    <row r="21" spans="1:3">
      <c r="A21" s="98" t="s">
        <v>320</v>
      </c>
      <c r="B21" s="15" t="s">
        <v>321</v>
      </c>
      <c r="C21" s="5" t="str">
        <f>IF(OR(LEFT(B21,1)="&lt;",COUNTIF(Blanks,B21)&gt;0),CheckErr,CheckOK)</f>
        <v>!</v>
      </c>
    </row>
    <row r="22" spans="1:3">
      <c r="A22" s="98" t="s">
        <v>24</v>
      </c>
      <c r="B22" s="15" t="s">
        <v>322</v>
      </c>
      <c r="C22" s="5" t="str">
        <f>IF(OR(LEFT(B22,1)="&lt;",COUNTIF(Blanks,B22)&gt;0),CheckErr,CheckOK)</f>
        <v>!</v>
      </c>
    </row>
    <row r="23" spans="1:3">
      <c r="A23" s="98" t="s">
        <v>23</v>
      </c>
      <c r="B23" s="14" t="s">
        <v>22</v>
      </c>
      <c r="C23" s="5" t="str">
        <f t="shared" ref="C23:C30" si="1">IF(OR(LEFT(B23,1)="&lt;",COUNTIF(Blanks,B23)&gt;0),CheckErr,CheckOK)</f>
        <v>!</v>
      </c>
    </row>
    <row r="24" spans="1:3" ht="27">
      <c r="A24" s="184" t="s">
        <v>21</v>
      </c>
      <c r="B24" s="13" t="s">
        <v>20</v>
      </c>
      <c r="C24" s="5" t="str">
        <f t="shared" si="1"/>
        <v>!</v>
      </c>
    </row>
    <row r="25" spans="1:3">
      <c r="A25" s="185"/>
      <c r="B25" s="12" t="s">
        <v>323</v>
      </c>
      <c r="C25" s="5" t="str">
        <f t="shared" si="1"/>
        <v>!</v>
      </c>
    </row>
    <row r="26" spans="1:3">
      <c r="A26" s="185"/>
      <c r="B26" s="147" t="s">
        <v>323</v>
      </c>
      <c r="C26" s="5" t="str">
        <f t="shared" si="1"/>
        <v>!</v>
      </c>
    </row>
    <row r="27" spans="1:3">
      <c r="A27" s="185"/>
      <c r="B27" s="12" t="s">
        <v>537</v>
      </c>
      <c r="C27" s="5" t="str">
        <f t="shared" si="1"/>
        <v/>
      </c>
    </row>
    <row r="28" spans="1:3">
      <c r="A28" s="185"/>
      <c r="B28" s="12" t="s">
        <v>538</v>
      </c>
      <c r="C28" s="5" t="str">
        <f t="shared" si="1"/>
        <v/>
      </c>
    </row>
    <row r="29" spans="1:3">
      <c r="A29" s="185"/>
      <c r="B29" s="12"/>
      <c r="C29" s="5" t="str">
        <f t="shared" si="1"/>
        <v/>
      </c>
    </row>
    <row r="30" spans="1:3" ht="38.25">
      <c r="A30" s="185"/>
      <c r="B30" s="11" t="s">
        <v>400</v>
      </c>
      <c r="C30" s="5" t="str">
        <f t="shared" si="1"/>
        <v/>
      </c>
    </row>
    <row r="31" spans="1:3" s="9" customFormat="1"/>
    <row r="32" spans="1:3" s="9" customFormat="1" ht="21">
      <c r="A32" s="10" t="s">
        <v>19</v>
      </c>
    </row>
    <row r="34" spans="1:3">
      <c r="A34" s="186" t="s">
        <v>18</v>
      </c>
      <c r="B34" s="8" t="s">
        <v>518</v>
      </c>
      <c r="C34" s="5" t="str">
        <f>IF(OR(LEFT(B34,1)="&lt;",COUNTIF(Blanks,B34)&gt;0),CheckErr,CheckOK)</f>
        <v/>
      </c>
    </row>
    <row r="35" spans="1:3">
      <c r="A35" s="187"/>
      <c r="B35" s="158"/>
    </row>
    <row r="36" spans="1:3">
      <c r="A36" s="187"/>
      <c r="B36" s="158"/>
    </row>
    <row r="37" spans="1:3">
      <c r="A37" s="187"/>
      <c r="B37" s="158"/>
    </row>
    <row r="38" spans="1:3">
      <c r="A38" s="187"/>
      <c r="B38" s="158"/>
    </row>
    <row r="39" spans="1:3">
      <c r="A39" s="187"/>
      <c r="B39" s="158"/>
    </row>
    <row r="40" spans="1:3">
      <c r="A40" s="187"/>
      <c r="B40" s="158"/>
    </row>
    <row r="41" spans="1:3">
      <c r="A41" s="187"/>
      <c r="B41" s="158"/>
    </row>
    <row r="42" spans="1:3">
      <c r="A42" s="188"/>
      <c r="B42" s="159"/>
    </row>
    <row r="44" spans="1:3">
      <c r="A44" s="189" t="s">
        <v>17</v>
      </c>
      <c r="B44" s="8" t="s">
        <v>16</v>
      </c>
      <c r="C44" s="5" t="str">
        <f>IF(OR(LEFT(B44,1)="&lt;",COUNTIF(Blanks,B44)&gt;0),CheckErr,CheckOK)</f>
        <v>!</v>
      </c>
    </row>
    <row r="45" spans="1:3">
      <c r="A45" s="190"/>
      <c r="B45" s="7"/>
      <c r="C45" s="5" t="str">
        <f>IF(OR(LEFT(B45,1)="&lt;",COUNTIF(Blanks,B45)&gt;0),CheckErr,CheckOK)</f>
        <v/>
      </c>
    </row>
    <row r="47" spans="1:3">
      <c r="A47" s="189" t="s">
        <v>15</v>
      </c>
      <c r="B47" s="8" t="s">
        <v>14</v>
      </c>
      <c r="C47" s="5" t="str">
        <f>IF(OR(LEFT(B47,1)="&lt;",COUNTIF(Blanks,B47)&gt;0),CheckErr,CheckOK)</f>
        <v>!</v>
      </c>
    </row>
    <row r="48" spans="1:3">
      <c r="A48" s="190"/>
      <c r="B48" s="7"/>
      <c r="C48" s="5" t="str">
        <f>IF(OR(LEFT(B48,1)="&lt;",COUNTIF(Blanks,B48)&gt;0),CheckErr,CheckOK)</f>
        <v/>
      </c>
    </row>
    <row r="50" spans="1:3" ht="54">
      <c r="A50" s="97" t="s">
        <v>13</v>
      </c>
      <c r="B50" s="6" t="s">
        <v>197</v>
      </c>
      <c r="C50" s="5" t="str">
        <f>IF(OR(LEFT(B50,1)="&lt;",COUNTIF(Blanks,LEFT(B50, 255))&gt;0),CheckErr,CheckOK)</f>
        <v>!</v>
      </c>
    </row>
  </sheetData>
  <mergeCells count="5">
    <mergeCell ref="A24:A30"/>
    <mergeCell ref="A34:A42"/>
    <mergeCell ref="A44:A45"/>
    <mergeCell ref="A47:A48"/>
    <mergeCell ref="A2:B2"/>
  </mergeCells>
  <conditionalFormatting sqref="C1:C1048576">
    <cfRule type="cellIs" dxfId="32" priority="7" stopIfTrue="1" operator="equal">
      <formula>CheckErr</formula>
    </cfRule>
  </conditionalFormatting>
  <conditionalFormatting sqref="B1:B1048576">
    <cfRule type="expression" dxfId="31" priority="1" stopIfTrue="1">
      <formula>$C1=CheckErr</formula>
    </cfRule>
  </conditionalFormatting>
  <dataValidations xWindow="1318" yWindow="467" count="15">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5:B42">
      <formula1>Standards</formula1>
    </dataValidation>
    <dataValidation allowBlank="1" showInputMessage="1" showErrorMessage="1" promptTitle="Item Size Units" prompt="Enter the units of size. Examples include 'pages' for documents, 'lines of code' for code and 'worksheets' for spreadsheets." sqref="B12"/>
    <dataValidation allowBlank="1" showInputMessage="1" showErrorMessage="1" promptTitle="Item Author" prompt="If this is a document review, this should match the author(s) on the front sheet of the document." sqref="B8"/>
    <dataValidation type="date" operator="greaterThan" allowBlank="1" showInputMessage="1" showErrorMessage="1" promptTitle="Item Date" prompt="If this is a document review, this should match the date on the front sheet of the document." sqref="B7 B17">
      <formula1>40589</formula1>
    </dataValidation>
    <dataValidation type="list" allowBlank="1" showInputMessage="1" showErrorMessage="1" promptTitle="Item Status" prompt="What is the status of the CI to be reviewed? Draft, Provisional or Definitive." sqref="B6">
      <formula1>"NA,Draft,Provisional,Definitive"</formula1>
    </dataValidation>
    <dataValidation allowBlank="1" showInputMessage="1" showErrorMessage="1" promptTitle="Item Revision" prompt="Recommendation is to enter the CM system revision number, if not appropriate, the issue number may be used." sqref="B5"/>
    <dataValidation type="list" errorStyle="warning" allowBlank="1" showInputMessage="1" showErrorMessage="1" error="Please enter whether a code file list is used" promptTitle="File List" prompt="Set to &quot;YES&quot; if a file list is used. This field affects which checking is carried out throughout the RRR." sqref="B13">
      <formula1>"NO, YES"</formula1>
    </dataValidation>
    <dataValidation type="list" showInputMessage="1" showErrorMessage="1" error="In valid data" sqref="B18">
      <formula1>"Offline Review (by Individual Reviewers), Full Formal Review (Meeting),Formal Inspection, Formal Walkthrough"</formula1>
    </dataValidation>
    <dataValidation type="date" operator="greaterThanOrEqual" allowBlank="1" showInputMessage="1" showErrorMessage="1" sqref="B19">
      <formula1>40588</formula1>
    </dataValidation>
    <dataValidation allowBlank="1" showInputMessage="1" showErrorMessage="1" promptTitle="Item Size (Added)" prompt="The total size of all items added at the point of entry to review when compared with the original artefact." sqref="B9"/>
    <dataValidation allowBlank="1" showInputMessage="1" showErrorMessage="1" promptTitle="Item Size (Modified)" prompt="The total size of all items modified at the point of entry to review when compared with the original artefact." sqref="B10"/>
    <dataValidation allowBlank="1" showInputMessage="1" showErrorMessage="1" promptTitle="Item Size (Deleted)" prompt="The total size of all items deleted at the point of entry to review when compared with the original artefact." sqref="B11"/>
    <dataValidation allowBlank="1" showInputMessage="1" showErrorMessage="1" promptTitle="Ticket Reference" prompt="Record the change control reference number here." sqref="B20:B21"/>
    <dataValidation allowBlank="1" showInputMessage="1" showErrorMessage="1" promptTitle="WBS" prompt="Only required if effort data is captured on RRRs." sqref="B22"/>
    <dataValidation type="list" showInputMessage="1" showErrorMessage="1" errorTitle="Invalid standard / checklist" error="Please select a standard / checklist from the list. If the standard you require is not in the list, please raise a ticket to get it added." promptTitle="Standards/Checklist" prompt="Select either one or two checklists and then use the &quot;Setup Checklist&quot; button to setup the &quot;Checklist&quot; sheet." sqref="B34">
      <formula1>Standards</formula1>
    </dataValidation>
  </dataValidations>
  <pageMargins left="0.74803149606299213" right="0.74803149606299213" top="0.98425196850393704" bottom="0.98425196850393704" header="0.51181102362204722" footer="0.51181102362204722"/>
  <pageSetup paperSize="9" scale="85"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3.xml><?xml version="1.0" encoding="utf-8"?>
<worksheet xmlns="http://schemas.openxmlformats.org/spreadsheetml/2006/main" xmlns:r="http://schemas.openxmlformats.org/officeDocument/2006/relationships">
  <sheetPr codeName="Sheet9">
    <pageSetUpPr fitToPage="1"/>
  </sheetPr>
  <dimension ref="A1:E45"/>
  <sheetViews>
    <sheetView workbookViewId="0">
      <selection activeCell="A9" sqref="A9"/>
    </sheetView>
  </sheetViews>
  <sheetFormatPr defaultRowHeight="13.5"/>
  <cols>
    <col min="1" max="1" width="42.875" style="52" customWidth="1"/>
    <col min="2" max="2" width="22.75" style="52" customWidth="1"/>
    <col min="3" max="3" width="22.125" style="52" customWidth="1"/>
    <col min="4" max="4" width="7.25" style="53" hidden="1" customWidth="1"/>
    <col min="5" max="5" width="6.875" style="53" hidden="1" customWidth="1"/>
    <col min="6" max="16384" width="9" style="52"/>
  </cols>
  <sheetData>
    <row r="1" spans="1:5" ht="21">
      <c r="A1" s="31" t="s">
        <v>120</v>
      </c>
    </row>
    <row r="2" spans="1:5">
      <c r="A2" s="61"/>
    </row>
    <row r="3" spans="1:5" ht="27" customHeight="1">
      <c r="A3" s="98" t="s">
        <v>130</v>
      </c>
      <c r="B3" s="99" t="s">
        <v>119</v>
      </c>
      <c r="C3" s="100" t="s">
        <v>118</v>
      </c>
      <c r="D3" s="60" t="s">
        <v>112</v>
      </c>
      <c r="E3" s="60" t="s">
        <v>107</v>
      </c>
    </row>
    <row r="4" spans="1:5">
      <c r="A4" s="59" t="s">
        <v>117</v>
      </c>
      <c r="B4" s="58" t="s">
        <v>116</v>
      </c>
      <c r="C4" s="58" t="s">
        <v>116</v>
      </c>
      <c r="D4" s="54" t="str">
        <f t="shared" ref="D4:D45" si="0">IF(AND(CodeFileListUsed="YES", NOT(ISBLANK($A4)),OR(LEFT(B4, 1)="&lt;", ISBLANK(B4))), CheckErr,CheckOK)</f>
        <v/>
      </c>
      <c r="E4" s="54" t="str">
        <f t="shared" ref="E4:E45" si="1">IF(AND(CodeFileListUsed="YES", NOT(ISBLANK($A4)),OR(LEFT(C4, 1)="&lt;", ISBLANK(C4))), CheckErr,CheckOK)</f>
        <v/>
      </c>
    </row>
    <row r="5" spans="1:5">
      <c r="A5" s="57"/>
      <c r="B5" s="55"/>
      <c r="C5" s="55"/>
      <c r="D5" s="54" t="str">
        <f t="shared" si="0"/>
        <v/>
      </c>
      <c r="E5" s="54" t="str">
        <f t="shared" si="1"/>
        <v/>
      </c>
    </row>
    <row r="6" spans="1:5">
      <c r="A6" s="57"/>
      <c r="B6" s="55"/>
      <c r="C6" s="55"/>
      <c r="D6" s="54" t="str">
        <f t="shared" si="0"/>
        <v/>
      </c>
      <c r="E6" s="54" t="str">
        <f t="shared" si="1"/>
        <v/>
      </c>
    </row>
    <row r="7" spans="1:5">
      <c r="A7" s="56"/>
      <c r="B7" s="55"/>
      <c r="C7" s="55"/>
      <c r="D7" s="54" t="str">
        <f t="shared" si="0"/>
        <v/>
      </c>
      <c r="E7" s="54" t="str">
        <f t="shared" si="1"/>
        <v/>
      </c>
    </row>
    <row r="8" spans="1:5">
      <c r="A8" s="57"/>
      <c r="B8" s="55"/>
      <c r="C8" s="55"/>
      <c r="D8" s="54" t="str">
        <f t="shared" si="0"/>
        <v/>
      </c>
      <c r="E8" s="54" t="str">
        <f t="shared" si="1"/>
        <v/>
      </c>
    </row>
    <row r="9" spans="1:5">
      <c r="A9" s="56"/>
      <c r="B9" s="55"/>
      <c r="C9" s="55"/>
      <c r="D9" s="54" t="str">
        <f t="shared" si="0"/>
        <v/>
      </c>
      <c r="E9" s="54" t="str">
        <f t="shared" si="1"/>
        <v/>
      </c>
    </row>
    <row r="10" spans="1:5">
      <c r="A10" s="57"/>
      <c r="B10" s="55"/>
      <c r="C10" s="55"/>
      <c r="D10" s="54" t="str">
        <f t="shared" si="0"/>
        <v/>
      </c>
      <c r="E10" s="54" t="str">
        <f t="shared" si="1"/>
        <v/>
      </c>
    </row>
    <row r="11" spans="1:5">
      <c r="A11" s="56"/>
      <c r="B11" s="55"/>
      <c r="C11" s="55"/>
      <c r="D11" s="54" t="str">
        <f t="shared" si="0"/>
        <v/>
      </c>
      <c r="E11" s="54" t="str">
        <f t="shared" si="1"/>
        <v/>
      </c>
    </row>
    <row r="12" spans="1:5">
      <c r="A12" s="56"/>
      <c r="B12" s="55"/>
      <c r="C12" s="55"/>
      <c r="D12" s="54" t="str">
        <f t="shared" si="0"/>
        <v/>
      </c>
      <c r="E12" s="54" t="str">
        <f t="shared" si="1"/>
        <v/>
      </c>
    </row>
    <row r="13" spans="1:5">
      <c r="A13" s="56"/>
      <c r="B13" s="55"/>
      <c r="C13" s="55"/>
      <c r="D13" s="54" t="str">
        <f t="shared" si="0"/>
        <v/>
      </c>
      <c r="E13" s="54" t="str">
        <f t="shared" si="1"/>
        <v/>
      </c>
    </row>
    <row r="14" spans="1:5">
      <c r="A14" s="56"/>
      <c r="B14" s="55"/>
      <c r="C14" s="55"/>
      <c r="D14" s="54" t="str">
        <f t="shared" si="0"/>
        <v/>
      </c>
      <c r="E14" s="54" t="str">
        <f t="shared" si="1"/>
        <v/>
      </c>
    </row>
    <row r="15" spans="1:5">
      <c r="A15" s="57"/>
      <c r="B15" s="55"/>
      <c r="C15" s="55"/>
      <c r="D15" s="54" t="str">
        <f t="shared" si="0"/>
        <v/>
      </c>
      <c r="E15" s="54" t="str">
        <f t="shared" si="1"/>
        <v/>
      </c>
    </row>
    <row r="16" spans="1:5">
      <c r="A16" s="56"/>
      <c r="B16" s="55"/>
      <c r="C16" s="55"/>
      <c r="D16" s="54" t="str">
        <f t="shared" si="0"/>
        <v/>
      </c>
      <c r="E16" s="54" t="str">
        <f t="shared" si="1"/>
        <v/>
      </c>
    </row>
    <row r="17" spans="1:5">
      <c r="A17" s="56"/>
      <c r="B17" s="55"/>
      <c r="C17" s="55"/>
      <c r="D17" s="54" t="str">
        <f t="shared" si="0"/>
        <v/>
      </c>
      <c r="E17" s="54" t="str">
        <f t="shared" si="1"/>
        <v/>
      </c>
    </row>
    <row r="18" spans="1:5">
      <c r="A18" s="56"/>
      <c r="B18" s="55"/>
      <c r="C18" s="55"/>
      <c r="D18" s="54" t="str">
        <f t="shared" si="0"/>
        <v/>
      </c>
      <c r="E18" s="54" t="str">
        <f t="shared" si="1"/>
        <v/>
      </c>
    </row>
    <row r="19" spans="1:5">
      <c r="A19" s="56"/>
      <c r="B19" s="55"/>
      <c r="C19" s="55"/>
      <c r="D19" s="54" t="str">
        <f t="shared" si="0"/>
        <v/>
      </c>
      <c r="E19" s="54" t="str">
        <f t="shared" si="1"/>
        <v/>
      </c>
    </row>
    <row r="20" spans="1:5">
      <c r="A20" s="56"/>
      <c r="B20" s="55"/>
      <c r="C20" s="55"/>
      <c r="D20" s="54" t="str">
        <f t="shared" si="0"/>
        <v/>
      </c>
      <c r="E20" s="54" t="str">
        <f t="shared" si="1"/>
        <v/>
      </c>
    </row>
    <row r="21" spans="1:5">
      <c r="A21" s="56"/>
      <c r="B21" s="55"/>
      <c r="C21" s="55"/>
      <c r="D21" s="54" t="str">
        <f t="shared" si="0"/>
        <v/>
      </c>
      <c r="E21" s="54" t="str">
        <f t="shared" si="1"/>
        <v/>
      </c>
    </row>
    <row r="22" spans="1:5">
      <c r="A22" s="56"/>
      <c r="B22" s="55"/>
      <c r="C22" s="55"/>
      <c r="D22" s="54" t="str">
        <f t="shared" si="0"/>
        <v/>
      </c>
      <c r="E22" s="54" t="str">
        <f t="shared" si="1"/>
        <v/>
      </c>
    </row>
    <row r="23" spans="1:5">
      <c r="A23" s="56"/>
      <c r="B23" s="55"/>
      <c r="C23" s="55"/>
      <c r="D23" s="54" t="str">
        <f t="shared" si="0"/>
        <v/>
      </c>
      <c r="E23" s="54" t="str">
        <f t="shared" si="1"/>
        <v/>
      </c>
    </row>
    <row r="24" spans="1:5">
      <c r="A24" s="56"/>
      <c r="B24" s="55"/>
      <c r="C24" s="55"/>
      <c r="D24" s="54" t="str">
        <f t="shared" si="0"/>
        <v/>
      </c>
      <c r="E24" s="54" t="str">
        <f t="shared" si="1"/>
        <v/>
      </c>
    </row>
    <row r="25" spans="1:5">
      <c r="A25" s="56"/>
      <c r="B25" s="55"/>
      <c r="C25" s="55"/>
      <c r="D25" s="54" t="str">
        <f t="shared" si="0"/>
        <v/>
      </c>
      <c r="E25" s="54" t="str">
        <f t="shared" si="1"/>
        <v/>
      </c>
    </row>
    <row r="26" spans="1:5">
      <c r="A26" s="56"/>
      <c r="B26" s="55"/>
      <c r="C26" s="55"/>
      <c r="D26" s="54" t="str">
        <f t="shared" si="0"/>
        <v/>
      </c>
      <c r="E26" s="54" t="str">
        <f t="shared" si="1"/>
        <v/>
      </c>
    </row>
    <row r="27" spans="1:5">
      <c r="A27" s="56"/>
      <c r="B27" s="55"/>
      <c r="C27" s="55"/>
      <c r="D27" s="54" t="str">
        <f t="shared" si="0"/>
        <v/>
      </c>
      <c r="E27" s="54" t="str">
        <f t="shared" si="1"/>
        <v/>
      </c>
    </row>
    <row r="28" spans="1:5">
      <c r="A28" s="56"/>
      <c r="B28" s="55"/>
      <c r="C28" s="55"/>
      <c r="D28" s="54" t="str">
        <f t="shared" si="0"/>
        <v/>
      </c>
      <c r="E28" s="54" t="str">
        <f t="shared" si="1"/>
        <v/>
      </c>
    </row>
    <row r="29" spans="1:5">
      <c r="A29" s="55"/>
      <c r="B29" s="55"/>
      <c r="C29" s="55"/>
      <c r="D29" s="54" t="str">
        <f t="shared" si="0"/>
        <v/>
      </c>
      <c r="E29" s="54" t="str">
        <f t="shared" si="1"/>
        <v/>
      </c>
    </row>
    <row r="30" spans="1:5">
      <c r="A30" s="55"/>
      <c r="B30" s="55"/>
      <c r="C30" s="55"/>
      <c r="D30" s="54" t="str">
        <f t="shared" si="0"/>
        <v/>
      </c>
      <c r="E30" s="54" t="str">
        <f t="shared" si="1"/>
        <v/>
      </c>
    </row>
    <row r="31" spans="1:5">
      <c r="A31" s="55"/>
      <c r="B31" s="55"/>
      <c r="C31" s="55"/>
      <c r="D31" s="54" t="str">
        <f t="shared" si="0"/>
        <v/>
      </c>
      <c r="E31" s="54" t="str">
        <f t="shared" si="1"/>
        <v/>
      </c>
    </row>
    <row r="32" spans="1:5">
      <c r="A32" s="55"/>
      <c r="B32" s="55"/>
      <c r="C32" s="55"/>
      <c r="D32" s="54" t="str">
        <f t="shared" si="0"/>
        <v/>
      </c>
      <c r="E32" s="54" t="str">
        <f t="shared" si="1"/>
        <v/>
      </c>
    </row>
    <row r="33" spans="1:5">
      <c r="A33" s="55"/>
      <c r="B33" s="55"/>
      <c r="C33" s="55"/>
      <c r="D33" s="54" t="str">
        <f t="shared" si="0"/>
        <v/>
      </c>
      <c r="E33" s="54" t="str">
        <f t="shared" si="1"/>
        <v/>
      </c>
    </row>
    <row r="34" spans="1:5">
      <c r="A34" s="55"/>
      <c r="B34" s="55"/>
      <c r="C34" s="55"/>
      <c r="D34" s="54" t="str">
        <f t="shared" si="0"/>
        <v/>
      </c>
      <c r="E34" s="54" t="str">
        <f t="shared" si="1"/>
        <v/>
      </c>
    </row>
    <row r="35" spans="1:5">
      <c r="A35" s="55"/>
      <c r="B35" s="55"/>
      <c r="C35" s="55"/>
      <c r="D35" s="54" t="str">
        <f t="shared" si="0"/>
        <v/>
      </c>
      <c r="E35" s="54" t="str">
        <f t="shared" si="1"/>
        <v/>
      </c>
    </row>
    <row r="36" spans="1:5">
      <c r="A36" s="55"/>
      <c r="B36" s="55"/>
      <c r="C36" s="55"/>
      <c r="D36" s="54" t="str">
        <f t="shared" si="0"/>
        <v/>
      </c>
      <c r="E36" s="54" t="str">
        <f t="shared" si="1"/>
        <v/>
      </c>
    </row>
    <row r="37" spans="1:5">
      <c r="A37" s="55"/>
      <c r="B37" s="55"/>
      <c r="C37" s="55"/>
      <c r="D37" s="54" t="str">
        <f t="shared" si="0"/>
        <v/>
      </c>
      <c r="E37" s="54" t="str">
        <f t="shared" si="1"/>
        <v/>
      </c>
    </row>
    <row r="38" spans="1:5">
      <c r="A38" s="55"/>
      <c r="B38" s="55"/>
      <c r="C38" s="55"/>
      <c r="D38" s="54" t="str">
        <f t="shared" si="0"/>
        <v/>
      </c>
      <c r="E38" s="54" t="str">
        <f t="shared" si="1"/>
        <v/>
      </c>
    </row>
    <row r="39" spans="1:5">
      <c r="A39" s="55"/>
      <c r="B39" s="55"/>
      <c r="C39" s="55"/>
      <c r="D39" s="54" t="str">
        <f t="shared" si="0"/>
        <v/>
      </c>
      <c r="E39" s="54" t="str">
        <f t="shared" si="1"/>
        <v/>
      </c>
    </row>
    <row r="40" spans="1:5">
      <c r="A40" s="55"/>
      <c r="B40" s="55"/>
      <c r="C40" s="55"/>
      <c r="D40" s="54" t="str">
        <f t="shared" si="0"/>
        <v/>
      </c>
      <c r="E40" s="54" t="str">
        <f t="shared" si="1"/>
        <v/>
      </c>
    </row>
    <row r="41" spans="1:5">
      <c r="A41" s="55"/>
      <c r="B41" s="55"/>
      <c r="C41" s="55"/>
      <c r="D41" s="54" t="str">
        <f t="shared" si="0"/>
        <v/>
      </c>
      <c r="E41" s="54" t="str">
        <f t="shared" si="1"/>
        <v/>
      </c>
    </row>
    <row r="42" spans="1:5">
      <c r="A42" s="55"/>
      <c r="B42" s="55"/>
      <c r="C42" s="55"/>
      <c r="D42" s="54" t="str">
        <f t="shared" si="0"/>
        <v/>
      </c>
      <c r="E42" s="54" t="str">
        <f t="shared" si="1"/>
        <v/>
      </c>
    </row>
    <row r="43" spans="1:5">
      <c r="A43" s="55"/>
      <c r="B43" s="55"/>
      <c r="C43" s="55"/>
      <c r="D43" s="54" t="str">
        <f t="shared" si="0"/>
        <v/>
      </c>
      <c r="E43" s="54" t="str">
        <f t="shared" si="1"/>
        <v/>
      </c>
    </row>
    <row r="44" spans="1:5">
      <c r="A44" s="55"/>
      <c r="B44" s="55"/>
      <c r="C44" s="55"/>
      <c r="D44" s="54" t="str">
        <f t="shared" si="0"/>
        <v/>
      </c>
      <c r="E44" s="54" t="str">
        <f t="shared" si="1"/>
        <v/>
      </c>
    </row>
    <row r="45" spans="1:5">
      <c r="A45" s="55"/>
      <c r="B45" s="55"/>
      <c r="C45" s="55"/>
      <c r="D45" s="54" t="str">
        <f t="shared" si="0"/>
        <v/>
      </c>
      <c r="E45" s="54" t="str">
        <f t="shared" si="1"/>
        <v/>
      </c>
    </row>
  </sheetData>
  <sheetProtection sheet="1" insertRows="0"/>
  <conditionalFormatting sqref="D1:E1048576">
    <cfRule type="expression" dxfId="30" priority="5" stopIfTrue="1">
      <formula>D1=CheckErr</formula>
    </cfRule>
  </conditionalFormatting>
  <conditionalFormatting sqref="C1:C1048576">
    <cfRule type="expression" dxfId="29" priority="1" stopIfTrue="1">
      <formula>$E1=CheckErr</formula>
    </cfRule>
  </conditionalFormatting>
  <conditionalFormatting sqref="A1:B1048576">
    <cfRule type="expression" dxfId="28" priority="7" stopIfTrue="1">
      <formula>$D1=CheckErr</formula>
    </cfRule>
  </conditionalFormatting>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4.xml><?xml version="1.0" encoding="utf-8"?>
<worksheet xmlns="http://schemas.openxmlformats.org/spreadsheetml/2006/main" xmlns:r="http://schemas.openxmlformats.org/officeDocument/2006/relationships">
  <sheetPr codeName="Sheet10">
    <outlinePr summaryRight="0"/>
    <pageSetUpPr fitToPage="1"/>
  </sheetPr>
  <dimension ref="A1:R239"/>
  <sheetViews>
    <sheetView tabSelected="1" topLeftCell="F1" zoomScaleNormal="100" workbookViewId="0">
      <pane ySplit="13" topLeftCell="A14" activePane="bottomLeft" state="frozen"/>
      <selection activeCell="A6" sqref="A6"/>
      <selection pane="bottomLeft" activeCell="F123" sqref="F123"/>
    </sheetView>
  </sheetViews>
  <sheetFormatPr defaultColWidth="9.5" defaultRowHeight="13.5" outlineLevelRow="2" outlineLevelCol="1"/>
  <cols>
    <col min="1" max="1" width="4.125" style="62" customWidth="1"/>
    <col min="2" max="2" width="3.5" style="62" customWidth="1"/>
    <col min="3" max="3" width="6.25" style="62" bestFit="1" customWidth="1"/>
    <col min="4" max="4" width="17.25" style="62" bestFit="1" customWidth="1"/>
    <col min="5" max="5" width="51" style="62" bestFit="1" customWidth="1"/>
    <col min="6" max="6" width="53" style="153" customWidth="1" collapsed="1"/>
    <col min="7" max="7" width="9.5" style="62" hidden="1" customWidth="1" outlineLevel="1"/>
    <col min="8" max="8" width="5.25" style="62" bestFit="1" customWidth="1" collapsed="1"/>
    <col min="9" max="9" width="16.875" style="153" customWidth="1"/>
    <col min="10" max="10" width="7.625" style="63" customWidth="1"/>
    <col min="11" max="11" width="3" style="62" bestFit="1" customWidth="1"/>
    <col min="12" max="12" width="7.5" style="62" bestFit="1" customWidth="1"/>
    <col min="13" max="13" width="17.875" style="62" customWidth="1" outlineLevel="1"/>
    <col min="14" max="14" width="2.25" style="64" customWidth="1" outlineLevel="1"/>
    <col min="15" max="15" width="3" style="62" customWidth="1" outlineLevel="1"/>
    <col min="16" max="16" width="5.25" style="62" customWidth="1" outlineLevel="1"/>
    <col min="17" max="16384" width="9.5" style="62"/>
  </cols>
  <sheetData>
    <row r="1" spans="1:18" s="70" customFormat="1" ht="21" outlineLevel="1">
      <c r="A1" s="80" t="s">
        <v>29</v>
      </c>
      <c r="B1" s="80"/>
      <c r="C1" s="80"/>
      <c r="F1" s="149"/>
      <c r="I1" s="149"/>
      <c r="J1" s="71"/>
      <c r="N1" s="72"/>
      <c r="Q1" s="79"/>
      <c r="R1" s="78"/>
    </row>
    <row r="2" spans="1:18" s="70" customFormat="1" outlineLevel="1">
      <c r="F2" s="149"/>
      <c r="I2" s="149"/>
      <c r="J2" s="71"/>
      <c r="N2" s="72"/>
    </row>
    <row r="3" spans="1:18" s="70" customFormat="1" ht="12.75" customHeight="1" outlineLevel="1">
      <c r="A3" s="198" t="s">
        <v>89</v>
      </c>
      <c r="B3" s="199"/>
      <c r="C3" s="199"/>
      <c r="D3" s="206"/>
      <c r="E3" s="206"/>
      <c r="F3" s="206"/>
      <c r="G3" s="206"/>
      <c r="H3" s="206"/>
      <c r="I3" s="206"/>
      <c r="J3" s="207"/>
      <c r="N3" s="169"/>
    </row>
    <row r="4" spans="1:18" s="70" customFormat="1" ht="12.75" customHeight="1" outlineLevel="1">
      <c r="A4" s="209" t="s">
        <v>127</v>
      </c>
      <c r="B4" s="210"/>
      <c r="C4" s="210"/>
      <c r="D4" s="195"/>
      <c r="E4" s="195"/>
      <c r="F4" s="196"/>
      <c r="G4" s="77"/>
      <c r="H4" s="77"/>
      <c r="I4" s="154"/>
      <c r="J4" s="77"/>
      <c r="N4" s="51" t="e">
        <f>IF(AND(OR(LEFT(#REF!,1)="&lt;",COUNTIF(Blanks,#REF!)&gt;0)),CheckErr,CheckOK)</f>
        <v>#REF!</v>
      </c>
    </row>
    <row r="5" spans="1:18" ht="12.75" customHeight="1" outlineLevel="1">
      <c r="A5" s="204" t="s">
        <v>115</v>
      </c>
      <c r="B5" s="205"/>
      <c r="C5" s="205"/>
      <c r="D5" s="195"/>
      <c r="E5" s="195"/>
      <c r="F5" s="196"/>
      <c r="G5" s="76"/>
      <c r="H5" s="76"/>
      <c r="I5" s="155"/>
      <c r="J5" s="76"/>
      <c r="N5" s="51" t="e">
        <f>IF(AND(OR(LEFT(#REF!,1)="&lt;",COUNTIF(Blanks,#REF!)&gt;0)),CheckErr,CheckOK)</f>
        <v>#REF!</v>
      </c>
    </row>
    <row r="6" spans="1:18" s="70" customFormat="1" hidden="1" outlineLevel="2">
      <c r="A6" s="198" t="s">
        <v>99</v>
      </c>
      <c r="B6" s="199"/>
      <c r="C6" s="199"/>
      <c r="D6" s="197"/>
      <c r="E6" s="197"/>
      <c r="F6" s="197"/>
      <c r="G6" s="75"/>
      <c r="H6" s="75"/>
      <c r="I6" s="156"/>
      <c r="J6" s="75"/>
      <c r="N6" s="51"/>
    </row>
    <row r="7" spans="1:18" s="70" customFormat="1" hidden="1" outlineLevel="2">
      <c r="A7" s="198" t="s">
        <v>128</v>
      </c>
      <c r="B7" s="199"/>
      <c r="C7" s="199"/>
      <c r="D7" s="197"/>
      <c r="E7" s="197"/>
      <c r="F7" s="197"/>
      <c r="G7" s="75"/>
      <c r="H7" s="75"/>
      <c r="I7" s="156"/>
      <c r="J7" s="75"/>
      <c r="O7" s="51"/>
    </row>
    <row r="8" spans="1:18" s="70" customFormat="1" hidden="1" outlineLevel="2">
      <c r="A8" s="198" t="s">
        <v>129</v>
      </c>
      <c r="B8" s="199"/>
      <c r="C8" s="199"/>
      <c r="D8" s="197"/>
      <c r="E8" s="197"/>
      <c r="F8" s="197"/>
      <c r="G8" s="75"/>
      <c r="H8" s="75"/>
      <c r="I8" s="156"/>
      <c r="J8" s="75"/>
      <c r="P8" s="51"/>
    </row>
    <row r="9" spans="1:18" s="70" customFormat="1" ht="12.75" customHeight="1" outlineLevel="1" collapsed="1">
      <c r="A9" s="194" t="s">
        <v>126</v>
      </c>
      <c r="B9" s="194"/>
      <c r="C9" s="194"/>
      <c r="D9" s="193"/>
      <c r="E9" s="168"/>
      <c r="F9" s="164"/>
      <c r="G9" s="164"/>
      <c r="H9" s="164"/>
      <c r="I9" s="164"/>
      <c r="J9" s="164"/>
      <c r="N9" s="164"/>
    </row>
    <row r="10" spans="1:18" s="70" customFormat="1" ht="12.75" customHeight="1" outlineLevel="1">
      <c r="D10" s="208"/>
      <c r="E10" s="208"/>
      <c r="F10" s="208"/>
      <c r="G10" s="208"/>
      <c r="H10" s="208"/>
      <c r="I10" s="208"/>
      <c r="J10" s="208"/>
      <c r="N10" s="167"/>
    </row>
    <row r="11" spans="1:18" s="70" customFormat="1" ht="15.75" customHeight="1" outlineLevel="1">
      <c r="A11" s="74"/>
      <c r="B11" s="74"/>
      <c r="C11" s="74"/>
      <c r="D11" s="200"/>
      <c r="E11" s="200"/>
      <c r="F11" s="165" t="str">
        <f>"Comments to action: "&amp;CommentsToAction</f>
        <v>Comments to action: 9</v>
      </c>
      <c r="G11" s="166"/>
      <c r="H11" s="201" t="str">
        <f>"Comments to sign-off: " &amp; CommentsToSignOff</f>
        <v>Comments to sign-off: 34</v>
      </c>
      <c r="I11" s="202"/>
      <c r="J11" s="203"/>
      <c r="M11" s="167"/>
      <c r="N11" s="168"/>
      <c r="O11" s="167"/>
      <c r="P11" s="167"/>
    </row>
    <row r="12" spans="1:18" s="70" customFormat="1" ht="27" customHeight="1" outlineLevel="1">
      <c r="A12" s="73" t="s">
        <v>114</v>
      </c>
      <c r="B12" s="73"/>
      <c r="C12" s="73"/>
      <c r="F12" s="150">
        <f>COUNTA(F14:F1075)</f>
        <v>128</v>
      </c>
      <c r="G12" s="108"/>
      <c r="H12" s="108"/>
      <c r="I12" s="150"/>
      <c r="J12" s="110"/>
      <c r="K12" s="108">
        <f>COUNTIF($O14:$O1075,CheckErr)</f>
        <v>9</v>
      </c>
      <c r="L12" s="108"/>
      <c r="M12" s="108">
        <f>COUNTIF($P14:$P1075,CheckErr)</f>
        <v>34</v>
      </c>
      <c r="N12" s="109"/>
      <c r="O12" s="108"/>
    </row>
    <row r="13" spans="1:18" ht="68.25" customHeight="1">
      <c r="A13" s="69" t="s">
        <v>113</v>
      </c>
      <c r="B13" s="85" t="s">
        <v>134</v>
      </c>
      <c r="C13" s="85" t="s">
        <v>133</v>
      </c>
      <c r="D13" s="103" t="s">
        <v>125</v>
      </c>
      <c r="E13" s="103" t="s">
        <v>573</v>
      </c>
      <c r="F13" s="151" t="s">
        <v>124</v>
      </c>
      <c r="G13" s="87" t="s">
        <v>123</v>
      </c>
      <c r="H13" s="86" t="s">
        <v>122</v>
      </c>
      <c r="I13" s="157" t="s">
        <v>111</v>
      </c>
      <c r="J13" s="101" t="s">
        <v>110</v>
      </c>
      <c r="K13" s="102" t="s">
        <v>109</v>
      </c>
      <c r="L13" s="83" t="s">
        <v>121</v>
      </c>
      <c r="M13" s="84" t="s">
        <v>108</v>
      </c>
      <c r="N13" s="107" t="s">
        <v>112</v>
      </c>
      <c r="O13" s="106" t="s">
        <v>93</v>
      </c>
      <c r="P13" s="106" t="s">
        <v>107</v>
      </c>
    </row>
    <row r="14" spans="1:18" ht="54">
      <c r="A14" s="68">
        <v>1</v>
      </c>
      <c r="B14" s="68" t="s">
        <v>876</v>
      </c>
      <c r="C14" s="68" t="s">
        <v>574</v>
      </c>
      <c r="D14" s="68" t="s">
        <v>575</v>
      </c>
      <c r="E14" s="68" t="s">
        <v>575</v>
      </c>
      <c r="F14" s="152" t="s">
        <v>871</v>
      </c>
      <c r="G14"/>
      <c r="H14" s="177" t="s">
        <v>884</v>
      </c>
      <c r="I14" s="4" t="s">
        <v>907</v>
      </c>
      <c r="J14" s="91" t="s">
        <v>87</v>
      </c>
      <c r="K14" s="91" t="s">
        <v>883</v>
      </c>
      <c r="L14"/>
      <c r="M14" s="58"/>
      <c r="N14" s="66" t="e">
        <f>IF(OR(AND(CodeFileListUsed="Yes",#REF!="",COUNTA(B14:B14,#REF!)&lt;&gt;0),AND(COUNTA(B14:B14,#REF!)&lt;&gt;0, COUNTA(B14:B14,#REF!)&lt;&gt;COUNTA(B$13:C$13,D$13:F$13))),CheckErr,CheckOK)</f>
        <v>#REF!</v>
      </c>
      <c r="O14" s="50" t="e">
        <f>IF(OR(ISBLANK(#REF!), AND(NOT(ISBLANK(#REF!)),OR(AND(#REF!="Accepted",OR(#REF!="Y",#REF!="y")),#REF!="Noted",#REF!="Duplicate",AND(#REF!="Rejected",NOT(ISBLANK(#REF!)))))),CheckOK,CheckErr)</f>
        <v>#REF!</v>
      </c>
      <c r="P14" s="50" t="str">
        <f>IF(OR(ISBLANK(#REF!),NOT(ISBLANK(#REF!))),CheckOK,CheckErr)</f>
        <v/>
      </c>
    </row>
    <row r="15" spans="1:18">
      <c r="A15" s="68">
        <f t="shared" ref="A15:A46" si="0">A14+1</f>
        <v>2</v>
      </c>
      <c r="B15" s="68" t="s">
        <v>876</v>
      </c>
      <c r="C15" s="68" t="s">
        <v>576</v>
      </c>
      <c r="D15" s="68">
        <v>1.4</v>
      </c>
      <c r="E15" s="68" t="s">
        <v>577</v>
      </c>
      <c r="F15" s="152" t="s">
        <v>578</v>
      </c>
      <c r="G15"/>
      <c r="H15" s="177" t="s">
        <v>884</v>
      </c>
      <c r="I15" s="91" t="s">
        <v>900</v>
      </c>
      <c r="J15" s="91" t="s">
        <v>87</v>
      </c>
      <c r="K15" s="178" t="s">
        <v>883</v>
      </c>
      <c r="L15"/>
      <c r="M15" s="58"/>
      <c r="N15" s="66" t="e">
        <f>IF(OR(AND(CodeFileListUsed="Yes",#REF!="",COUNTA(B15:B15,#REF!)&lt;&gt;0),AND(COUNTA(B15:B15,#REF!)&lt;&gt;0, COUNTA(B15:B15,#REF!)&lt;&gt;COUNTA(B$13:C$13,D$13:F$13))),CheckErr,CheckOK)</f>
        <v>#REF!</v>
      </c>
      <c r="O15" s="50" t="e">
        <f>IF(OR(ISBLANK(#REF!), AND(NOT(ISBLANK(#REF!)),OR(AND(#REF!="Accepted",OR(#REF!="Y",#REF!="y")),#REF!="Noted",#REF!="Duplicate",AND(#REF!="Rejected",NOT(ISBLANK(#REF!)))))),CheckOK,CheckErr)</f>
        <v>#REF!</v>
      </c>
      <c r="P15" s="50" t="str">
        <f>IF(OR(ISBLANK(#REF!),NOT(ISBLANK(#REF!))),CheckOK,CheckErr)</f>
        <v/>
      </c>
    </row>
    <row r="16" spans="1:18" ht="54">
      <c r="A16" s="57">
        <f t="shared" si="0"/>
        <v>3</v>
      </c>
      <c r="B16" s="68" t="s">
        <v>876</v>
      </c>
      <c r="C16" s="68" t="s">
        <v>579</v>
      </c>
      <c r="D16" s="68">
        <v>1.5</v>
      </c>
      <c r="E16" s="68" t="s">
        <v>580</v>
      </c>
      <c r="F16" s="152" t="s">
        <v>872</v>
      </c>
      <c r="G16"/>
      <c r="H16" s="177" t="s">
        <v>884</v>
      </c>
      <c r="I16" s="4" t="s">
        <v>1019</v>
      </c>
      <c r="J16" s="91" t="s">
        <v>87</v>
      </c>
      <c r="K16" s="178" t="s">
        <v>883</v>
      </c>
      <c r="L16"/>
      <c r="M16" s="58"/>
      <c r="N16" s="66" t="e">
        <f>IF(OR(AND(CodeFileListUsed="Yes",#REF!="",COUNTA(B16:B16,#REF!)&lt;&gt;0),AND(COUNTA(B16:B16,#REF!)&lt;&gt;0, COUNTA(B16:B16,#REF!)&lt;&gt;COUNTA(B$13:C$13,D$13:F$13))),CheckErr,CheckOK)</f>
        <v>#REF!</v>
      </c>
      <c r="O16" s="50" t="e">
        <f>IF(OR(ISBLANK(#REF!), AND(NOT(ISBLANK(#REF!)),OR(AND(#REF!="Accepted",OR(#REF!="Y",#REF!="y")),#REF!="Noted",#REF!="Duplicate",AND(#REF!="Rejected",NOT(ISBLANK(#REF!)))))),CheckOK,CheckErr)</f>
        <v>#REF!</v>
      </c>
      <c r="P16" s="50" t="str">
        <f>IF(OR(ISBLANK(#REF!),NOT(ISBLANK(#REF!))),CheckOK,CheckErr)</f>
        <v/>
      </c>
    </row>
    <row r="17" spans="1:16">
      <c r="A17" s="57">
        <f t="shared" si="0"/>
        <v>4</v>
      </c>
      <c r="B17" s="68" t="s">
        <v>876</v>
      </c>
      <c r="C17" s="68" t="s">
        <v>581</v>
      </c>
      <c r="D17" s="68" t="s">
        <v>582</v>
      </c>
      <c r="E17" s="68" t="s">
        <v>583</v>
      </c>
      <c r="F17" s="152" t="s">
        <v>584</v>
      </c>
      <c r="G17"/>
      <c r="H17" s="177" t="s">
        <v>884</v>
      </c>
      <c r="I17" s="91" t="s">
        <v>885</v>
      </c>
      <c r="J17" s="91" t="s">
        <v>87</v>
      </c>
      <c r="K17" s="178" t="s">
        <v>883</v>
      </c>
      <c r="L17"/>
      <c r="M17" s="58"/>
      <c r="N17" s="66" t="e">
        <f>IF(OR(AND(CodeFileListUsed="Yes",#REF!="",COUNTA(B17:B17,#REF!)&lt;&gt;0),AND(COUNTA(B17:B17,#REF!)&lt;&gt;0, COUNTA(B17:B17,#REF!)&lt;&gt;COUNTA(B$13:C$13,D$13:F$13))),CheckErr,CheckOK)</f>
        <v>#REF!</v>
      </c>
      <c r="O17" s="50" t="e">
        <f>IF(OR(ISBLANK(#REF!), AND(NOT(ISBLANK(#REF!)),OR(AND(#REF!="Accepted",OR(#REF!="Y",#REF!="y")),#REF!="Noted",#REF!="Duplicate",AND(#REF!="Rejected",NOT(ISBLANK(#REF!)))))),CheckOK,CheckErr)</f>
        <v>#REF!</v>
      </c>
      <c r="P17" s="50" t="str">
        <f>IF(OR(ISBLANK(#REF!),NOT(ISBLANK(#REF!))),CheckOK,CheckErr)</f>
        <v/>
      </c>
    </row>
    <row r="18" spans="1:16">
      <c r="A18" s="57">
        <f t="shared" si="0"/>
        <v>5</v>
      </c>
      <c r="B18" s="68" t="s">
        <v>876</v>
      </c>
      <c r="C18" s="68" t="s">
        <v>585</v>
      </c>
      <c r="D18" s="68" t="s">
        <v>586</v>
      </c>
      <c r="E18" s="68" t="s">
        <v>587</v>
      </c>
      <c r="F18" s="152" t="s">
        <v>588</v>
      </c>
      <c r="G18"/>
      <c r="H18" s="177" t="s">
        <v>884</v>
      </c>
      <c r="I18" s="91" t="s">
        <v>885</v>
      </c>
      <c r="J18" s="91" t="s">
        <v>87</v>
      </c>
      <c r="K18" s="178" t="s">
        <v>883</v>
      </c>
      <c r="L18"/>
      <c r="M18" s="58"/>
      <c r="N18" s="66" t="e">
        <f>IF(OR(AND(CodeFileListUsed="Yes",#REF!="",COUNTA(B18:B18,#REF!)&lt;&gt;0),AND(COUNTA(B18:B18,#REF!)&lt;&gt;0, COUNTA(B18:B18,#REF!)&lt;&gt;COUNTA(B$13:C$13,D$13:F$13))),CheckErr,CheckOK)</f>
        <v>#REF!</v>
      </c>
      <c r="O18" s="50" t="e">
        <f>IF(OR(ISBLANK(#REF!), AND(NOT(ISBLANK(#REF!)),OR(AND(#REF!="Accepted",OR(#REF!="Y",#REF!="y")),#REF!="Noted",#REF!="Duplicate",AND(#REF!="Rejected",NOT(ISBLANK(#REF!)))))),CheckOK,CheckErr)</f>
        <v>#REF!</v>
      </c>
      <c r="P18" s="50" t="str">
        <f>IF(OR(ISBLANK(#REF!),NOT(ISBLANK(#REF!))),CheckOK,CheckErr)</f>
        <v/>
      </c>
    </row>
    <row r="19" spans="1:16" ht="108">
      <c r="A19" s="57">
        <f t="shared" si="0"/>
        <v>6</v>
      </c>
      <c r="B19" s="68" t="s">
        <v>876</v>
      </c>
      <c r="C19" s="68" t="s">
        <v>589</v>
      </c>
      <c r="D19" s="68" t="s">
        <v>586</v>
      </c>
      <c r="E19" s="68" t="s">
        <v>590</v>
      </c>
      <c r="F19" s="152" t="s">
        <v>873</v>
      </c>
      <c r="G19"/>
      <c r="H19" s="177" t="s">
        <v>884</v>
      </c>
      <c r="I19" s="4" t="s">
        <v>908</v>
      </c>
      <c r="J19" s="178" t="s">
        <v>86</v>
      </c>
      <c r="K19"/>
      <c r="L19"/>
      <c r="M19" s="58"/>
      <c r="N19" s="66" t="e">
        <f>IF(OR(AND(CodeFileListUsed="Yes",#REF!="",COUNTA(B19:B19,#REF!)&lt;&gt;0),AND(COUNTA(B19:B19,#REF!)&lt;&gt;0, COUNTA(B19:B19,#REF!)&lt;&gt;COUNTA(B$13:C$13,D$13:F$13))),CheckErr,CheckOK)</f>
        <v>#REF!</v>
      </c>
      <c r="O19" s="50" t="e">
        <f>IF(OR(ISBLANK(#REF!), AND(NOT(ISBLANK(#REF!)),OR(AND(#REF!="Accepted",OR(#REF!="Y",#REF!="y")),#REF!="Noted",#REF!="Duplicate",AND(#REF!="Rejected",NOT(ISBLANK(#REF!)))))),CheckOK,CheckErr)</f>
        <v>#REF!</v>
      </c>
      <c r="P19" s="50" t="str">
        <f>IF(OR(ISBLANK(#REF!),NOT(ISBLANK(#REF!))),CheckOK,CheckErr)</f>
        <v/>
      </c>
    </row>
    <row r="20" spans="1:16" ht="40.5">
      <c r="A20" s="57">
        <f t="shared" si="0"/>
        <v>7</v>
      </c>
      <c r="B20" s="68" t="s">
        <v>876</v>
      </c>
      <c r="C20" s="68" t="s">
        <v>591</v>
      </c>
      <c r="D20" s="68" t="s">
        <v>592</v>
      </c>
      <c r="E20" s="68" t="s">
        <v>593</v>
      </c>
      <c r="F20" s="152" t="s">
        <v>874</v>
      </c>
      <c r="G20"/>
      <c r="H20" s="179" t="s">
        <v>884</v>
      </c>
      <c r="I20" s="178" t="s">
        <v>901</v>
      </c>
      <c r="J20" s="178" t="s">
        <v>87</v>
      </c>
      <c r="K20" s="178" t="s">
        <v>883</v>
      </c>
      <c r="L20"/>
      <c r="M20" s="58"/>
      <c r="N20" s="66" t="e">
        <f>IF(OR(AND(CodeFileListUsed="Yes",#REF!="",COUNTA(B20:B20,#REF!)&lt;&gt;0),AND(COUNTA(B20:B20,#REF!)&lt;&gt;0, COUNTA(B20:B20,#REF!)&lt;&gt;COUNTA(B$13:C$13,D$13:F$13))),CheckErr,CheckOK)</f>
        <v>#REF!</v>
      </c>
      <c r="O20" s="50" t="e">
        <f>IF(OR(ISBLANK(#REF!), AND(NOT(ISBLANK(#REF!)),OR(AND(#REF!="Accepted",OR(#REF!="Y",#REF!="y")),#REF!="Noted",#REF!="Duplicate",AND(#REF!="Rejected",NOT(ISBLANK(#REF!)))))),CheckOK,CheckErr)</f>
        <v>#REF!</v>
      </c>
      <c r="P20" s="50" t="str">
        <f>IF(OR(ISBLANK(#REF!),NOT(ISBLANK(#REF!))),CheckOK,CheckErr)</f>
        <v/>
      </c>
    </row>
    <row r="21" spans="1:16" ht="40.5">
      <c r="A21" s="57">
        <f t="shared" si="0"/>
        <v>8</v>
      </c>
      <c r="B21" s="68" t="s">
        <v>876</v>
      </c>
      <c r="C21" s="68" t="s">
        <v>594</v>
      </c>
      <c r="D21" s="68" t="s">
        <v>595</v>
      </c>
      <c r="E21" s="68" t="s">
        <v>596</v>
      </c>
      <c r="F21" s="152" t="s">
        <v>875</v>
      </c>
      <c r="G21"/>
      <c r="H21" s="177" t="s">
        <v>1033</v>
      </c>
      <c r="I21" s="2" t="s">
        <v>888</v>
      </c>
      <c r="J21" t="s">
        <v>87</v>
      </c>
      <c r="K21" s="180" t="s">
        <v>883</v>
      </c>
      <c r="L21"/>
      <c r="M21" s="58"/>
      <c r="N21" s="66" t="e">
        <f>IF(OR(AND(CodeFileListUsed="Yes",#REF!="",COUNTA(B21:B21,#REF!)&lt;&gt;0),AND(COUNTA(B21:B21,#REF!)&lt;&gt;0, COUNTA(B21:B21,#REF!)&lt;&gt;COUNTA(B$13:C$13,D$13:F$13))),CheckErr,CheckOK)</f>
        <v>#REF!</v>
      </c>
      <c r="O21" s="50" t="e">
        <f>IF(OR(ISBLANK(#REF!), AND(NOT(ISBLANK(#REF!)),OR(AND(#REF!="Accepted",OR(#REF!="Y",#REF!="y")),#REF!="Noted",#REF!="Duplicate",AND(#REF!="Rejected",NOT(ISBLANK(#REF!)))))),CheckOK,CheckErr)</f>
        <v>#REF!</v>
      </c>
      <c r="P21" s="50" t="str">
        <f>IF(OR(ISBLANK(#REF!),NOT(ISBLANK(#REF!))),CheckOK,CheckErr)</f>
        <v/>
      </c>
    </row>
    <row r="22" spans="1:16" ht="135">
      <c r="A22" s="57">
        <f t="shared" si="0"/>
        <v>9</v>
      </c>
      <c r="B22" s="68" t="s">
        <v>876</v>
      </c>
      <c r="C22" s="68" t="s">
        <v>597</v>
      </c>
      <c r="D22" s="68" t="s">
        <v>598</v>
      </c>
      <c r="E22" s="68" t="s">
        <v>599</v>
      </c>
      <c r="F22" s="152" t="s">
        <v>600</v>
      </c>
      <c r="G22"/>
      <c r="H22" s="179" t="s">
        <v>884</v>
      </c>
      <c r="I22" s="4" t="s">
        <v>909</v>
      </c>
      <c r="J22" s="181" t="s">
        <v>86</v>
      </c>
      <c r="K22" s="181"/>
      <c r="L22"/>
      <c r="M22" s="58"/>
      <c r="N22" s="66" t="e">
        <f>IF(OR(AND(CodeFileListUsed="Yes",#REF!="",COUNTA(B22:B22,#REF!)&lt;&gt;0),AND(COUNTA(B22:B22,#REF!)&lt;&gt;0, COUNTA(B22:B22,#REF!)&lt;&gt;COUNTA(B$13:C$13,D$13:F$13))),CheckErr,CheckOK)</f>
        <v>#REF!</v>
      </c>
      <c r="O22" s="50" t="e">
        <f>IF(OR(ISBLANK(#REF!), AND(NOT(ISBLANK(#REF!)),OR(AND(#REF!="Accepted",OR(#REF!="Y",#REF!="y")),#REF!="Noted",#REF!="Duplicate",AND(#REF!="Rejected",NOT(ISBLANK(#REF!)))))),CheckOK,CheckErr)</f>
        <v>#REF!</v>
      </c>
      <c r="P22" s="50" t="str">
        <f>IF(OR(ISBLANK(#REF!),NOT(ISBLANK(#REF!))),CheckOK,CheckErr)</f>
        <v/>
      </c>
    </row>
    <row r="23" spans="1:16" ht="54">
      <c r="A23" s="57">
        <f t="shared" si="0"/>
        <v>10</v>
      </c>
      <c r="B23" s="68" t="s">
        <v>876</v>
      </c>
      <c r="C23" s="68" t="s">
        <v>601</v>
      </c>
      <c r="D23" s="68">
        <v>3.9</v>
      </c>
      <c r="E23" s="68" t="s">
        <v>602</v>
      </c>
      <c r="F23" s="152" t="s">
        <v>603</v>
      </c>
      <c r="G23"/>
      <c r="H23" s="177" t="s">
        <v>884</v>
      </c>
      <c r="I23" s="3" t="s">
        <v>898</v>
      </c>
      <c r="J23" t="s">
        <v>87</v>
      </c>
      <c r="K23" t="s">
        <v>883</v>
      </c>
      <c r="L23"/>
      <c r="M23" s="58"/>
      <c r="N23" s="66" t="e">
        <f>IF(OR(AND(CodeFileListUsed="Yes",#REF!="",COUNTA(B23:B23,#REF!)&lt;&gt;0),AND(COUNTA(B23:B23,#REF!)&lt;&gt;0, COUNTA(B23:B23,#REF!)&lt;&gt;COUNTA(B$13:C$13,D$13:F$13))),CheckErr,CheckOK)</f>
        <v>#REF!</v>
      </c>
      <c r="O23" s="50" t="e">
        <f>IF(OR(ISBLANK(#REF!), AND(NOT(ISBLANK(#REF!)),OR(AND(#REF!="Accepted",OR(#REF!="Y",#REF!="y")),#REF!="Noted",#REF!="Duplicate",AND(#REF!="Rejected",NOT(ISBLANK(#REF!)))))),CheckOK,CheckErr)</f>
        <v>#REF!</v>
      </c>
      <c r="P23" s="50" t="str">
        <f>IF(OR(ISBLANK(#REF!),NOT(ISBLANK(#REF!))),CheckOK,CheckErr)</f>
        <v/>
      </c>
    </row>
    <row r="24" spans="1:16" ht="310.5">
      <c r="A24" s="57">
        <f t="shared" si="0"/>
        <v>11</v>
      </c>
      <c r="B24" s="68" t="s">
        <v>876</v>
      </c>
      <c r="C24" s="68" t="s">
        <v>604</v>
      </c>
      <c r="D24" s="68" t="s">
        <v>605</v>
      </c>
      <c r="E24" s="68" t="s">
        <v>606</v>
      </c>
      <c r="F24" s="152" t="s">
        <v>881</v>
      </c>
      <c r="G24"/>
      <c r="H24" s="177" t="s">
        <v>884</v>
      </c>
      <c r="I24" s="4" t="s">
        <v>1055</v>
      </c>
      <c r="J24" t="s">
        <v>85</v>
      </c>
      <c r="K24" s="180" t="s">
        <v>883</v>
      </c>
      <c r="L24"/>
      <c r="M24" s="58"/>
      <c r="N24" s="66" t="e">
        <f>IF(OR(AND(CodeFileListUsed="Yes",#REF!="",COUNTA(B24:B24,#REF!)&lt;&gt;0),AND(COUNTA(B24:B24,#REF!)&lt;&gt;0, COUNTA(B24:B24,#REF!)&lt;&gt;COUNTA(B$13:C$13,D$13:F$13))),CheckErr,CheckOK)</f>
        <v>#REF!</v>
      </c>
      <c r="O24" s="50" t="e">
        <f>IF(OR(ISBLANK(#REF!), AND(NOT(ISBLANK(#REF!)),OR(AND(#REF!="Accepted",OR(#REF!="Y",#REF!="y")),#REF!="Noted",#REF!="Duplicate",AND(#REF!="Rejected",NOT(ISBLANK(#REF!)))))),CheckOK,CheckErr)</f>
        <v>#REF!</v>
      </c>
      <c r="P24" s="50" t="str">
        <f>IF(OR(ISBLANK(#REF!),NOT(ISBLANK(#REF!))),CheckOK,CheckErr)</f>
        <v/>
      </c>
    </row>
    <row r="25" spans="1:16">
      <c r="A25" s="57">
        <f t="shared" si="0"/>
        <v>12</v>
      </c>
      <c r="B25" s="68" t="s">
        <v>876</v>
      </c>
      <c r="C25" s="68" t="s">
        <v>607</v>
      </c>
      <c r="D25" s="68">
        <v>6.1</v>
      </c>
      <c r="E25" s="68" t="s">
        <v>608</v>
      </c>
      <c r="F25" s="152" t="s">
        <v>609</v>
      </c>
      <c r="G25"/>
      <c r="H25" s="177" t="s">
        <v>884</v>
      </c>
      <c r="I25" t="s">
        <v>888</v>
      </c>
      <c r="J25" s="176" t="s">
        <v>87</v>
      </c>
      <c r="K25" s="176" t="s">
        <v>883</v>
      </c>
      <c r="L25"/>
      <c r="M25" s="58"/>
      <c r="N25" s="66" t="e">
        <f>IF(OR(AND(CodeFileListUsed="Yes",#REF!="",COUNTA(B25:B25,#REF!)&lt;&gt;0),AND(COUNTA(B25:B25,#REF!)&lt;&gt;0, COUNTA(B25:B25,#REF!)&lt;&gt;COUNTA(B$13:C$13,D$13:F$13))),CheckErr,CheckOK)</f>
        <v>#REF!</v>
      </c>
      <c r="O25" s="50" t="e">
        <f>IF(OR(ISBLANK(#REF!), AND(NOT(ISBLANK(#REF!)),OR(AND(#REF!="Accepted",OR(#REF!="Y",#REF!="y")),#REF!="Noted",#REF!="Duplicate",AND(#REF!="Rejected",NOT(ISBLANK(#REF!)))))),CheckOK,CheckErr)</f>
        <v>#REF!</v>
      </c>
      <c r="P25" s="50" t="str">
        <f>IF(OR(ISBLANK(#REF!),NOT(ISBLANK(#REF!))),CheckOK,CheckErr)</f>
        <v/>
      </c>
    </row>
    <row r="26" spans="1:16" ht="27">
      <c r="A26" s="57">
        <f t="shared" si="0"/>
        <v>13</v>
      </c>
      <c r="B26" s="68" t="s">
        <v>876</v>
      </c>
      <c r="C26" s="68" t="s">
        <v>610</v>
      </c>
      <c r="D26" s="68" t="s">
        <v>611</v>
      </c>
      <c r="E26" s="68" t="s">
        <v>612</v>
      </c>
      <c r="F26" s="152" t="s">
        <v>613</v>
      </c>
      <c r="G26"/>
      <c r="H26" s="177" t="s">
        <v>884</v>
      </c>
      <c r="I26" s="4" t="s">
        <v>888</v>
      </c>
      <c r="J26" s="91" t="s">
        <v>87</v>
      </c>
      <c r="K26" s="178" t="s">
        <v>883</v>
      </c>
      <c r="L26"/>
      <c r="M26" s="58"/>
      <c r="N26" s="66" t="e">
        <f>IF(OR(AND(CodeFileListUsed="Yes",#REF!="",COUNTA(B26:B26,#REF!)&lt;&gt;0),AND(COUNTA(B26:B26,#REF!)&lt;&gt;0, COUNTA(B26:B26,#REF!)&lt;&gt;COUNTA(B$13:C$13,D$13:F$13))),CheckErr,CheckOK)</f>
        <v>#REF!</v>
      </c>
      <c r="O26" s="50" t="e">
        <f>IF(OR(ISBLANK(#REF!), AND(NOT(ISBLANK(#REF!)),OR(AND(#REF!="Accepted",OR(#REF!="Y",#REF!="y")),#REF!="Noted",#REF!="Duplicate",AND(#REF!="Rejected",NOT(ISBLANK(#REF!)))))),CheckOK,CheckErr)</f>
        <v>#REF!</v>
      </c>
      <c r="P26" s="50" t="str">
        <f>IF(OR(ISBLANK(#REF!),NOT(ISBLANK(#REF!))),CheckOK,CheckErr)</f>
        <v/>
      </c>
    </row>
    <row r="27" spans="1:16" ht="67.5">
      <c r="A27" s="57">
        <f t="shared" si="0"/>
        <v>14</v>
      </c>
      <c r="B27" s="68" t="s">
        <v>876</v>
      </c>
      <c r="C27" s="68" t="s">
        <v>614</v>
      </c>
      <c r="D27" s="68" t="s">
        <v>615</v>
      </c>
      <c r="E27" s="68" t="s">
        <v>616</v>
      </c>
      <c r="F27" s="152" t="s">
        <v>617</v>
      </c>
      <c r="G27"/>
      <c r="H27" s="177" t="s">
        <v>884</v>
      </c>
      <c r="I27" s="4" t="s">
        <v>917</v>
      </c>
      <c r="J27" t="s">
        <v>86</v>
      </c>
      <c r="K27"/>
      <c r="L27"/>
      <c r="M27" s="58"/>
      <c r="N27" s="66" t="e">
        <f>IF(OR(AND(CodeFileListUsed="Yes",#REF!="",COUNTA(B27:B27,#REF!)&lt;&gt;0),AND(COUNTA(B27:B27,#REF!)&lt;&gt;0, COUNTA(B27:B27,#REF!)&lt;&gt;COUNTA(B$13:C$13,D$13:F$13))),CheckErr,CheckOK)</f>
        <v>#REF!</v>
      </c>
      <c r="O27" s="50" t="e">
        <f>IF(OR(ISBLANK(#REF!), AND(NOT(ISBLANK(#REF!)),OR(AND(#REF!="Accepted",OR(#REF!="Y",#REF!="y")),#REF!="Noted",#REF!="Duplicate",AND(#REF!="Rejected",NOT(ISBLANK(#REF!)))))),CheckOK,CheckErr)</f>
        <v>#REF!</v>
      </c>
      <c r="P27" s="50" t="str">
        <f>IF(OR(ISBLANK(#REF!),NOT(ISBLANK(#REF!))),CheckOK,CheckErr)</f>
        <v/>
      </c>
    </row>
    <row r="28" spans="1:16">
      <c r="A28" s="57">
        <f t="shared" si="0"/>
        <v>15</v>
      </c>
      <c r="B28" s="68" t="s">
        <v>876</v>
      </c>
      <c r="C28" s="68" t="s">
        <v>618</v>
      </c>
      <c r="D28" s="68" t="s">
        <v>615</v>
      </c>
      <c r="E28" s="68" t="s">
        <v>619</v>
      </c>
      <c r="F28" s="152" t="s">
        <v>620</v>
      </c>
      <c r="G28"/>
      <c r="H28" s="177" t="s">
        <v>884</v>
      </c>
      <c r="I28" t="s">
        <v>888</v>
      </c>
      <c r="J28" s="176" t="s">
        <v>87</v>
      </c>
      <c r="K28" s="176" t="s">
        <v>883</v>
      </c>
      <c r="L28"/>
      <c r="M28" s="58"/>
      <c r="N28" s="66" t="e">
        <f>IF(OR(AND(CodeFileListUsed="Yes",#REF!="",COUNTA(B28:B28,#REF!)&lt;&gt;0),AND(COUNTA(B28:B28,#REF!)&lt;&gt;0, COUNTA(B28:B28,#REF!)&lt;&gt;COUNTA(B$13:C$13,D$13:F$13))),CheckErr,CheckOK)</f>
        <v>#REF!</v>
      </c>
      <c r="O28" s="50" t="e">
        <f>IF(OR(ISBLANK(#REF!), AND(NOT(ISBLANK(#REF!)),OR(AND(#REF!="Accepted",OR(#REF!="Y",#REF!="y")),#REF!="Noted",#REF!="Duplicate",AND(#REF!="Rejected",NOT(ISBLANK(#REF!)))))),CheckOK,CheckErr)</f>
        <v>#REF!</v>
      </c>
      <c r="P28" s="50" t="str">
        <f>IF(OR(ISBLANK(#REF!),NOT(ISBLANK(#REF!))),CheckOK,CheckErr)</f>
        <v/>
      </c>
    </row>
    <row r="29" spans="1:16" ht="54">
      <c r="A29" s="57">
        <f t="shared" si="0"/>
        <v>16</v>
      </c>
      <c r="B29" s="68" t="s">
        <v>876</v>
      </c>
      <c r="C29" s="68" t="s">
        <v>621</v>
      </c>
      <c r="D29" s="68" t="s">
        <v>622</v>
      </c>
      <c r="E29" s="68" t="s">
        <v>623</v>
      </c>
      <c r="F29" s="152" t="s">
        <v>624</v>
      </c>
      <c r="G29"/>
      <c r="H29" s="177" t="s">
        <v>884</v>
      </c>
      <c r="I29" s="4" t="s">
        <v>918</v>
      </c>
      <c r="J29" t="s">
        <v>86</v>
      </c>
      <c r="K29"/>
      <c r="L29"/>
      <c r="M29" s="58"/>
      <c r="N29" s="66" t="e">
        <f>IF(OR(AND(CodeFileListUsed="Yes",#REF!="",COUNTA(B29:B29,#REF!)&lt;&gt;0),AND(COUNTA(B29:B29,#REF!)&lt;&gt;0, COUNTA(B29:B29,#REF!)&lt;&gt;COUNTA(B$13:C$13,D$13:F$13))),CheckErr,CheckOK)</f>
        <v>#REF!</v>
      </c>
      <c r="O29" s="50" t="e">
        <f>IF(OR(ISBLANK(#REF!), AND(NOT(ISBLANK(#REF!)),OR(AND(#REF!="Accepted",OR(#REF!="Y",#REF!="y")),#REF!="Noted",#REF!="Duplicate",AND(#REF!="Rejected",NOT(ISBLANK(#REF!)))))),CheckOK,CheckErr)</f>
        <v>#REF!</v>
      </c>
      <c r="P29" s="50" t="str">
        <f>IF(OR(ISBLANK(#REF!),NOT(ISBLANK(#REF!))),CheckOK,CheckErr)</f>
        <v/>
      </c>
    </row>
    <row r="30" spans="1:16" ht="67.5">
      <c r="A30" s="57">
        <f t="shared" si="0"/>
        <v>17</v>
      </c>
      <c r="B30" s="68" t="s">
        <v>876</v>
      </c>
      <c r="C30" s="68" t="s">
        <v>625</v>
      </c>
      <c r="D30" s="68" t="s">
        <v>626</v>
      </c>
      <c r="E30" s="68" t="s">
        <v>627</v>
      </c>
      <c r="F30" s="152" t="s">
        <v>628</v>
      </c>
      <c r="G30"/>
      <c r="H30" s="177" t="s">
        <v>884</v>
      </c>
      <c r="I30" t="s">
        <v>895</v>
      </c>
      <c r="J30" t="s">
        <v>87</v>
      </c>
      <c r="K30" s="176" t="s">
        <v>883</v>
      </c>
      <c r="L30"/>
      <c r="M30" s="58"/>
      <c r="N30" s="66" t="e">
        <f>IF(OR(AND(CodeFileListUsed="Yes",#REF!="",COUNTA(B30:B30,#REF!)&lt;&gt;0),AND(COUNTA(B30:B30,#REF!)&lt;&gt;0, COUNTA(B30:B30,#REF!)&lt;&gt;COUNTA(B$13:C$13,D$13:F$13))),CheckErr,CheckOK)</f>
        <v>#REF!</v>
      </c>
      <c r="O30" s="50" t="e">
        <f>IF(OR(ISBLANK(#REF!), AND(NOT(ISBLANK(#REF!)),OR(AND(#REF!="Accepted",OR(#REF!="Y",#REF!="y")),#REF!="Noted",#REF!="Duplicate",AND(#REF!="Rejected",NOT(ISBLANK(#REF!)))))),CheckOK,CheckErr)</f>
        <v>#REF!</v>
      </c>
      <c r="P30" s="50" t="str">
        <f>IF(OR(ISBLANK(#REF!),NOT(ISBLANK(#REF!))),CheckOK,CheckErr)</f>
        <v/>
      </c>
    </row>
    <row r="31" spans="1:16">
      <c r="A31" s="57">
        <f t="shared" si="0"/>
        <v>18</v>
      </c>
      <c r="B31" s="68" t="s">
        <v>876</v>
      </c>
      <c r="C31" s="68" t="s">
        <v>629</v>
      </c>
      <c r="D31" s="68" t="s">
        <v>630</v>
      </c>
      <c r="E31" s="68" t="s">
        <v>631</v>
      </c>
      <c r="F31" s="152" t="s">
        <v>632</v>
      </c>
      <c r="G31"/>
      <c r="H31" s="177" t="s">
        <v>884</v>
      </c>
      <c r="I31" t="s">
        <v>887</v>
      </c>
      <c r="J31" s="176" t="s">
        <v>87</v>
      </c>
      <c r="K31" s="176" t="s">
        <v>883</v>
      </c>
      <c r="L31"/>
      <c r="M31" s="58"/>
      <c r="N31" s="66" t="e">
        <f>IF(OR(AND(CodeFileListUsed="Yes",#REF!="",COUNTA(B31:B31,#REF!)&lt;&gt;0),AND(COUNTA(B31:B31,#REF!)&lt;&gt;0, COUNTA(B31:B31,#REF!)&lt;&gt;COUNTA(B$13:C$13,D$13:F$13))),CheckErr,CheckOK)</f>
        <v>#REF!</v>
      </c>
      <c r="O31" s="50" t="e">
        <f>IF(OR(ISBLANK(#REF!), AND(NOT(ISBLANK(#REF!)),OR(AND(#REF!="Accepted",OR(#REF!="Y",#REF!="y")),#REF!="Noted",#REF!="Duplicate",AND(#REF!="Rejected",NOT(ISBLANK(#REF!)))))),CheckOK,CheckErr)</f>
        <v>#REF!</v>
      </c>
      <c r="P31" s="50" t="str">
        <f>IF(OR(ISBLANK(#REF!),NOT(ISBLANK(#REF!))),CheckOK,CheckErr)</f>
        <v/>
      </c>
    </row>
    <row r="32" spans="1:16" ht="40.5">
      <c r="A32" s="57">
        <f t="shared" si="0"/>
        <v>19</v>
      </c>
      <c r="B32" s="68" t="s">
        <v>876</v>
      </c>
      <c r="C32" s="68" t="s">
        <v>633</v>
      </c>
      <c r="D32" s="68" t="s">
        <v>630</v>
      </c>
      <c r="E32" s="68" t="s">
        <v>575</v>
      </c>
      <c r="F32" s="152" t="s">
        <v>634</v>
      </c>
      <c r="G32"/>
      <c r="H32" s="177" t="s">
        <v>884</v>
      </c>
      <c r="I32" s="4" t="s">
        <v>888</v>
      </c>
      <c r="J32" s="91" t="s">
        <v>87</v>
      </c>
      <c r="K32" s="178" t="s">
        <v>883</v>
      </c>
      <c r="L32"/>
      <c r="M32" s="58"/>
      <c r="N32" s="66" t="e">
        <f>IF(OR(AND(CodeFileListUsed="Yes",#REF!="",COUNTA(B32:B32,#REF!)&lt;&gt;0),AND(COUNTA(B32:B32,#REF!)&lt;&gt;0, COUNTA(B32:B32,#REF!)&lt;&gt;COUNTA(B$13:C$13,D$13:F$13))),CheckErr,CheckOK)</f>
        <v>#REF!</v>
      </c>
      <c r="O32" s="50" t="e">
        <f>IF(OR(ISBLANK(#REF!), AND(NOT(ISBLANK(#REF!)),OR(AND(#REF!="Accepted",OR(#REF!="Y",#REF!="y")),#REF!="Noted",#REF!="Duplicate",AND(#REF!="Rejected",NOT(ISBLANK(#REF!)))))),CheckOK,CheckErr)</f>
        <v>#REF!</v>
      </c>
      <c r="P32" s="50" t="str">
        <f>IF(OR(ISBLANK(#REF!),NOT(ISBLANK(#REF!))),CheckOK,CheckErr)</f>
        <v/>
      </c>
    </row>
    <row r="33" spans="1:16">
      <c r="A33" s="57">
        <f t="shared" si="0"/>
        <v>20</v>
      </c>
      <c r="B33" s="68" t="s">
        <v>876</v>
      </c>
      <c r="C33" s="68" t="s">
        <v>635</v>
      </c>
      <c r="D33" s="68" t="s">
        <v>636</v>
      </c>
      <c r="E33" s="68" t="s">
        <v>637</v>
      </c>
      <c r="F33" s="152" t="s">
        <v>638</v>
      </c>
      <c r="G33"/>
      <c r="H33" s="177" t="s">
        <v>884</v>
      </c>
      <c r="I33" s="91" t="s">
        <v>885</v>
      </c>
      <c r="J33" s="91" t="s">
        <v>87</v>
      </c>
      <c r="K33" s="178" t="s">
        <v>883</v>
      </c>
      <c r="L33"/>
      <c r="M33" s="58"/>
      <c r="N33" s="66" t="e">
        <f>IF(OR(AND(CodeFileListUsed="Yes",#REF!="",COUNTA(B33:B33,#REF!)&lt;&gt;0),AND(COUNTA(B33:B33,#REF!)&lt;&gt;0, COUNTA(B33:B33,#REF!)&lt;&gt;COUNTA(B$13:C$13,D$13:F$13))),CheckErr,CheckOK)</f>
        <v>#REF!</v>
      </c>
      <c r="O33" s="50" t="e">
        <f>IF(OR(ISBLANK(#REF!), AND(NOT(ISBLANK(#REF!)),OR(AND(#REF!="Accepted",OR(#REF!="Y",#REF!="y")),#REF!="Noted",#REF!="Duplicate",AND(#REF!="Rejected",NOT(ISBLANK(#REF!)))))),CheckOK,CheckErr)</f>
        <v>#REF!</v>
      </c>
      <c r="P33" s="50" t="str">
        <f>IF(OR(ISBLANK(#REF!),NOT(ISBLANK(#REF!))),CheckOK,CheckErr)</f>
        <v/>
      </c>
    </row>
    <row r="34" spans="1:16" ht="54">
      <c r="A34" s="57">
        <f t="shared" si="0"/>
        <v>21</v>
      </c>
      <c r="B34" s="68" t="s">
        <v>876</v>
      </c>
      <c r="C34" s="68" t="s">
        <v>639</v>
      </c>
      <c r="D34" s="68" t="s">
        <v>640</v>
      </c>
      <c r="E34" s="68" t="s">
        <v>641</v>
      </c>
      <c r="F34" s="152" t="s">
        <v>642</v>
      </c>
      <c r="G34"/>
      <c r="H34" s="177" t="s">
        <v>884</v>
      </c>
      <c r="I34" s="4" t="s">
        <v>916</v>
      </c>
      <c r="J34" s="91" t="s">
        <v>87</v>
      </c>
      <c r="K34" s="91" t="s">
        <v>883</v>
      </c>
      <c r="L34"/>
      <c r="M34" s="58"/>
      <c r="N34" s="66" t="e">
        <f>IF(OR(AND(CodeFileListUsed="Yes",#REF!="",COUNTA(B34:B34,#REF!)&lt;&gt;0),AND(COUNTA(B34:B34,#REF!)&lt;&gt;0, COUNTA(B34:B34,#REF!)&lt;&gt;COUNTA(B$13:C$13,D$13:F$13))),CheckErr,CheckOK)</f>
        <v>#REF!</v>
      </c>
      <c r="O34" s="50" t="e">
        <f>IF(OR(ISBLANK(#REF!), AND(NOT(ISBLANK(#REF!)),OR(AND(#REF!="Accepted",OR(#REF!="Y",#REF!="y")),#REF!="Noted",#REF!="Duplicate",AND(#REF!="Rejected",NOT(ISBLANK(#REF!)))))),CheckOK,CheckErr)</f>
        <v>#REF!</v>
      </c>
      <c r="P34" s="50" t="str">
        <f>IF(OR(ISBLANK(#REF!),NOT(ISBLANK(#REF!))),CheckOK,CheckErr)</f>
        <v/>
      </c>
    </row>
    <row r="35" spans="1:16" ht="54">
      <c r="A35" s="57">
        <f t="shared" si="0"/>
        <v>22</v>
      </c>
      <c r="B35" s="68" t="s">
        <v>876</v>
      </c>
      <c r="C35" s="68" t="s">
        <v>643</v>
      </c>
      <c r="D35" s="68" t="s">
        <v>640</v>
      </c>
      <c r="E35" s="68" t="s">
        <v>644</v>
      </c>
      <c r="F35" s="152" t="s">
        <v>645</v>
      </c>
      <c r="G35"/>
      <c r="H35" s="177" t="s">
        <v>884</v>
      </c>
      <c r="I35" s="3" t="s">
        <v>889</v>
      </c>
      <c r="J35" t="s">
        <v>86</v>
      </c>
      <c r="K35"/>
      <c r="L35"/>
      <c r="M35" s="58"/>
      <c r="N35" s="66" t="e">
        <f>IF(OR(AND(CodeFileListUsed="Yes",#REF!="",COUNTA(B35:B35,#REF!)&lt;&gt;0),AND(COUNTA(B35:B35,#REF!)&lt;&gt;0, COUNTA(B35:B35,#REF!)&lt;&gt;COUNTA(B$13:C$13,D$13:F$13))),CheckErr,CheckOK)</f>
        <v>#REF!</v>
      </c>
      <c r="O35" s="50" t="e">
        <f>IF(OR(ISBLANK(#REF!), AND(NOT(ISBLANK(#REF!)),OR(AND(#REF!="Accepted",OR(#REF!="Y",#REF!="y")),#REF!="Noted",#REF!="Duplicate",AND(#REF!="Rejected",NOT(ISBLANK(#REF!)))))),CheckOK,CheckErr)</f>
        <v>#REF!</v>
      </c>
      <c r="P35" s="50" t="str">
        <f>IF(OR(ISBLANK(#REF!),NOT(ISBLANK(#REF!))),CheckOK,CheckErr)</f>
        <v/>
      </c>
    </row>
    <row r="36" spans="1:16" ht="27">
      <c r="A36" s="57">
        <f t="shared" si="0"/>
        <v>23</v>
      </c>
      <c r="B36" s="68" t="s">
        <v>876</v>
      </c>
      <c r="C36" s="68" t="s">
        <v>646</v>
      </c>
      <c r="D36" s="68">
        <v>10</v>
      </c>
      <c r="E36" s="68" t="s">
        <v>647</v>
      </c>
      <c r="F36" s="152" t="s">
        <v>648</v>
      </c>
      <c r="G36"/>
      <c r="H36" s="177" t="s">
        <v>1033</v>
      </c>
      <c r="I36" s="2" t="s">
        <v>888</v>
      </c>
      <c r="J36" t="s">
        <v>87</v>
      </c>
      <c r="K36" t="s">
        <v>883</v>
      </c>
      <c r="L36"/>
      <c r="M36" s="58"/>
      <c r="N36" s="66" t="e">
        <f>IF(OR(AND(CodeFileListUsed="Yes",#REF!="",COUNTA(B36:B36,#REF!)&lt;&gt;0),AND(COUNTA(B36:B36,#REF!)&lt;&gt;0, COUNTA(B36:B36,#REF!)&lt;&gt;COUNTA(B$13:C$13,D$13:F$13))),CheckErr,CheckOK)</f>
        <v>#REF!</v>
      </c>
      <c r="O36" s="50" t="e">
        <f>IF(OR(ISBLANK(#REF!), AND(NOT(ISBLANK(#REF!)),OR(AND(#REF!="Accepted",OR(#REF!="Y",#REF!="y")),#REF!="Noted",#REF!="Duplicate",AND(#REF!="Rejected",NOT(ISBLANK(#REF!)))))),CheckOK,CheckErr)</f>
        <v>#REF!</v>
      </c>
      <c r="P36" s="50" t="str">
        <f>IF(OR(ISBLANK(#REF!),NOT(ISBLANK(#REF!))),CheckOK,CheckErr)</f>
        <v/>
      </c>
    </row>
    <row r="37" spans="1:16" ht="94.5">
      <c r="A37" s="57">
        <f t="shared" si="0"/>
        <v>24</v>
      </c>
      <c r="B37" s="68" t="s">
        <v>876</v>
      </c>
      <c r="C37" s="68" t="s">
        <v>649</v>
      </c>
      <c r="D37" s="68">
        <v>11.1</v>
      </c>
      <c r="E37" s="68" t="s">
        <v>650</v>
      </c>
      <c r="F37" s="152" t="s">
        <v>651</v>
      </c>
      <c r="G37"/>
      <c r="H37"/>
      <c r="I37" s="4" t="s">
        <v>1021</v>
      </c>
      <c r="J37" t="s">
        <v>86</v>
      </c>
      <c r="K37"/>
      <c r="L37"/>
      <c r="M37" s="58"/>
      <c r="N37" s="66" t="e">
        <f>IF(OR(AND(CodeFileListUsed="Yes",#REF!="",COUNTA(B37:B37,#REF!)&lt;&gt;0),AND(COUNTA(B37:B37,#REF!)&lt;&gt;0, COUNTA(B37:B37,#REF!)&lt;&gt;COUNTA(B$13:C$13,D$13:F$13))),CheckErr,CheckOK)</f>
        <v>#REF!</v>
      </c>
      <c r="O37" s="50" t="e">
        <f>IF(OR(ISBLANK(#REF!), AND(NOT(ISBLANK(#REF!)),OR(AND(#REF!="Accepted",OR(#REF!="Y",#REF!="y")),#REF!="Noted",#REF!="Duplicate",AND(#REF!="Rejected",NOT(ISBLANK(#REF!)))))),CheckOK,CheckErr)</f>
        <v>#REF!</v>
      </c>
      <c r="P37" s="50" t="str">
        <f>IF(OR(ISBLANK(#REF!),NOT(ISBLANK(#REF!))),CheckOK,CheckErr)</f>
        <v/>
      </c>
    </row>
    <row r="38" spans="1:16" ht="270">
      <c r="A38" s="57">
        <f t="shared" si="0"/>
        <v>25</v>
      </c>
      <c r="B38" s="68" t="s">
        <v>876</v>
      </c>
      <c r="C38" s="68" t="s">
        <v>652</v>
      </c>
      <c r="D38" s="68">
        <v>11.2</v>
      </c>
      <c r="E38" s="68" t="s">
        <v>653</v>
      </c>
      <c r="F38" s="152" t="s">
        <v>880</v>
      </c>
      <c r="G38"/>
      <c r="H38"/>
      <c r="I38"/>
      <c r="J38" t="s">
        <v>85</v>
      </c>
      <c r="K38" s="91" t="s">
        <v>883</v>
      </c>
      <c r="L38"/>
      <c r="M38" s="58"/>
      <c r="N38" s="66" t="e">
        <f>IF(OR(AND(CodeFileListUsed="Yes",#REF!="",COUNTA(B38:B38,#REF!)&lt;&gt;0),AND(COUNTA(B38:B38,#REF!)&lt;&gt;0, COUNTA(B38:B38,#REF!)&lt;&gt;COUNTA(B$13:C$13,D$13:F$13))),CheckErr,CheckOK)</f>
        <v>#REF!</v>
      </c>
      <c r="O38" s="50" t="e">
        <f>IF(OR(ISBLANK(#REF!), AND(NOT(ISBLANK(#REF!)),OR(AND(#REF!="Accepted",OR(#REF!="Y",#REF!="y")),#REF!="Noted",#REF!="Duplicate",AND(#REF!="Rejected",NOT(ISBLANK(#REF!)))))),CheckOK,CheckErr)</f>
        <v>#REF!</v>
      </c>
      <c r="P38" s="50" t="str">
        <f>IF(OR(ISBLANK(#REF!),NOT(ISBLANK(#REF!))),CheckOK,CheckErr)</f>
        <v/>
      </c>
    </row>
    <row r="39" spans="1:16" ht="40.5">
      <c r="A39" s="57">
        <f t="shared" si="0"/>
        <v>26</v>
      </c>
      <c r="B39" s="68" t="s">
        <v>876</v>
      </c>
      <c r="C39" s="68" t="s">
        <v>654</v>
      </c>
      <c r="D39" s="68" t="s">
        <v>655</v>
      </c>
      <c r="E39" s="68" t="s">
        <v>612</v>
      </c>
      <c r="F39" s="152" t="s">
        <v>656</v>
      </c>
      <c r="G39"/>
      <c r="H39"/>
      <c r="I39" s="2" t="s">
        <v>1046</v>
      </c>
      <c r="J39"/>
      <c r="K39"/>
      <c r="L39"/>
      <c r="M39" s="58"/>
      <c r="N39" s="66" t="e">
        <f>IF(OR(AND(CodeFileListUsed="Yes",#REF!="",COUNTA(B39:B39,#REF!)&lt;&gt;0),AND(COUNTA(B39:B39,#REF!)&lt;&gt;0, COUNTA(B39:B39,#REF!)&lt;&gt;COUNTA(B$13:C$13,D$13:F$13))),CheckErr,CheckOK)</f>
        <v>#REF!</v>
      </c>
      <c r="O39" s="50" t="e">
        <f>IF(OR(ISBLANK(#REF!), AND(NOT(ISBLANK(#REF!)),OR(AND(#REF!="Accepted",OR(#REF!="Y",#REF!="y")),#REF!="Noted",#REF!="Duplicate",AND(#REF!="Rejected",NOT(ISBLANK(#REF!)))))),CheckOK,CheckErr)</f>
        <v>#REF!</v>
      </c>
      <c r="P39" s="50" t="str">
        <f>IF(OR(ISBLANK(#REF!),NOT(ISBLANK(#REF!))),CheckOK,CheckErr)</f>
        <v/>
      </c>
    </row>
    <row r="40" spans="1:16" ht="27">
      <c r="A40" s="57">
        <f t="shared" si="0"/>
        <v>27</v>
      </c>
      <c r="B40" s="68" t="s">
        <v>876</v>
      </c>
      <c r="C40" s="68" t="s">
        <v>657</v>
      </c>
      <c r="D40" s="68" t="s">
        <v>575</v>
      </c>
      <c r="E40" s="68" t="s">
        <v>612</v>
      </c>
      <c r="F40" s="152" t="s">
        <v>658</v>
      </c>
      <c r="G40"/>
      <c r="H40" s="177" t="s">
        <v>884</v>
      </c>
      <c r="I40" s="4" t="s">
        <v>1022</v>
      </c>
      <c r="J40" t="s">
        <v>86</v>
      </c>
      <c r="K40"/>
      <c r="L40"/>
      <c r="M40" s="58"/>
      <c r="N40" s="66" t="e">
        <f>IF(OR(AND(CodeFileListUsed="Yes",#REF!="",COUNTA(B40:B40,#REF!)&lt;&gt;0),AND(COUNTA(B40:B40,#REF!)&lt;&gt;0, COUNTA(B40:B40,#REF!)&lt;&gt;COUNTA(B$13:C$13,D$13:F$13))),CheckErr,CheckOK)</f>
        <v>#REF!</v>
      </c>
      <c r="O40" s="50" t="e">
        <f>IF(OR(ISBLANK(#REF!), AND(NOT(ISBLANK(#REF!)),OR(AND(#REF!="Accepted",OR(#REF!="Y",#REF!="y")),#REF!="Noted",#REF!="Duplicate",AND(#REF!="Rejected",NOT(ISBLANK(#REF!)))))),CheckOK,CheckErr)</f>
        <v>#REF!</v>
      </c>
      <c r="P40" s="50" t="str">
        <f>IF(OR(ISBLANK(#REF!),NOT(ISBLANK(#REF!))),CheckOK,CheckErr)</f>
        <v/>
      </c>
    </row>
    <row r="41" spans="1:16" ht="270">
      <c r="A41" s="57">
        <f t="shared" si="0"/>
        <v>28</v>
      </c>
      <c r="B41" s="68" t="s">
        <v>876</v>
      </c>
      <c r="C41" s="68" t="s">
        <v>659</v>
      </c>
      <c r="D41" s="68" t="s">
        <v>575</v>
      </c>
      <c r="E41" s="68" t="s">
        <v>612</v>
      </c>
      <c r="F41" s="152" t="s">
        <v>660</v>
      </c>
      <c r="G41"/>
      <c r="H41" s="177" t="s">
        <v>1033</v>
      </c>
      <c r="I41" s="182" t="s">
        <v>1034</v>
      </c>
      <c r="J41" t="s">
        <v>87</v>
      </c>
      <c r="K41" t="s">
        <v>883</v>
      </c>
      <c r="L41"/>
      <c r="M41" s="58"/>
      <c r="N41" s="66" t="e">
        <f>IF(OR(AND(CodeFileListUsed="Yes",#REF!="",COUNTA(B41:B41,#REF!)&lt;&gt;0),AND(COUNTA(B41:B41,#REF!)&lt;&gt;0, COUNTA(B41:B41,#REF!)&lt;&gt;COUNTA(B$13:C$13,D$13:F$13))),CheckErr,CheckOK)</f>
        <v>#REF!</v>
      </c>
      <c r="O41" s="50" t="e">
        <f>IF(OR(ISBLANK(#REF!), AND(NOT(ISBLANK(#REF!)),OR(AND(#REF!="Accepted",OR(#REF!="Y",#REF!="y")),#REF!="Noted",#REF!="Duplicate",AND(#REF!="Rejected",NOT(ISBLANK(#REF!)))))),CheckOK,CheckErr)</f>
        <v>#REF!</v>
      </c>
      <c r="P41" s="50" t="str">
        <f>IF(OR(ISBLANK(#REF!),NOT(ISBLANK(#REF!))),CheckOK,CheckErr)</f>
        <v/>
      </c>
    </row>
    <row r="42" spans="1:16">
      <c r="A42" s="57">
        <f t="shared" si="0"/>
        <v>29</v>
      </c>
      <c r="B42" s="68" t="s">
        <v>877</v>
      </c>
      <c r="C42" s="68" t="s">
        <v>661</v>
      </c>
      <c r="D42" s="68" t="s">
        <v>662</v>
      </c>
      <c r="E42" s="68">
        <v>1</v>
      </c>
      <c r="F42" s="152" t="s">
        <v>663</v>
      </c>
      <c r="G42"/>
      <c r="H42" s="177" t="s">
        <v>884</v>
      </c>
      <c r="I42" s="91" t="s">
        <v>885</v>
      </c>
      <c r="J42" t="s">
        <v>87</v>
      </c>
      <c r="K42" s="176" t="s">
        <v>883</v>
      </c>
      <c r="L42"/>
      <c r="M42" s="58"/>
      <c r="N42" s="66" t="e">
        <f>IF(OR(AND(CodeFileListUsed="Yes",#REF!="",COUNTA(B42:B42,#REF!)&lt;&gt;0),AND(COUNTA(B42:B42,#REF!)&lt;&gt;0, COUNTA(B42:B42,#REF!)&lt;&gt;COUNTA(B$13:C$13,D$13:F$13))),CheckErr,CheckOK)</f>
        <v>#REF!</v>
      </c>
      <c r="O42" s="50" t="e">
        <f>IF(OR(ISBLANK(#REF!), AND(NOT(ISBLANK(#REF!)),OR(AND(#REF!="Accepted",OR(#REF!="Y",#REF!="y")),#REF!="Noted",#REF!="Duplicate",AND(#REF!="Rejected",NOT(ISBLANK(#REF!)))))),CheckOK,CheckErr)</f>
        <v>#REF!</v>
      </c>
      <c r="P42" s="50" t="str">
        <f>IF(OR(ISBLANK(#REF!),NOT(ISBLANK(#REF!))),CheckOK,CheckErr)</f>
        <v/>
      </c>
    </row>
    <row r="43" spans="1:16" ht="40.5">
      <c r="A43" s="57">
        <f t="shared" si="0"/>
        <v>30</v>
      </c>
      <c r="B43" s="68" t="s">
        <v>877</v>
      </c>
      <c r="C43" s="68" t="s">
        <v>664</v>
      </c>
      <c r="D43" s="68" t="s">
        <v>662</v>
      </c>
      <c r="E43" s="68">
        <v>1</v>
      </c>
      <c r="F43" s="152" t="s">
        <v>665</v>
      </c>
      <c r="G43"/>
      <c r="H43" s="177" t="s">
        <v>884</v>
      </c>
      <c r="I43" s="4" t="s">
        <v>1051</v>
      </c>
      <c r="J43" t="s">
        <v>85</v>
      </c>
      <c r="K43" s="91" t="s">
        <v>883</v>
      </c>
      <c r="L43"/>
      <c r="M43" s="58"/>
      <c r="N43" s="66" t="e">
        <f>IF(OR(AND(CodeFileListUsed="Yes",#REF!="",COUNTA(B43:B43,#REF!)&lt;&gt;0),AND(COUNTA(B43:B43,#REF!)&lt;&gt;0, COUNTA(B43:B43,#REF!)&lt;&gt;COUNTA(B$13:C$13,D$13:F$13))),CheckErr,CheckOK)</f>
        <v>#REF!</v>
      </c>
      <c r="O43" s="50" t="e">
        <f>IF(OR(ISBLANK(#REF!), AND(NOT(ISBLANK(#REF!)),OR(AND(#REF!="Accepted",OR(#REF!="Y",#REF!="y")),#REF!="Noted",#REF!="Duplicate",AND(#REF!="Rejected",NOT(ISBLANK(#REF!)))))),CheckOK,CheckErr)</f>
        <v>#REF!</v>
      </c>
      <c r="P43" s="50" t="str">
        <f>IF(OR(ISBLANK(#REF!),NOT(ISBLANK(#REF!))),CheckOK,CheckErr)</f>
        <v/>
      </c>
    </row>
    <row r="44" spans="1:16" ht="27">
      <c r="A44" s="57">
        <f t="shared" si="0"/>
        <v>31</v>
      </c>
      <c r="B44" s="68" t="s">
        <v>877</v>
      </c>
      <c r="C44" s="68" t="s">
        <v>666</v>
      </c>
      <c r="D44" s="68" t="s">
        <v>667</v>
      </c>
      <c r="E44" s="68" t="s">
        <v>668</v>
      </c>
      <c r="F44" s="152" t="s">
        <v>669</v>
      </c>
      <c r="G44"/>
      <c r="H44" s="177" t="s">
        <v>884</v>
      </c>
      <c r="I44" s="91" t="s">
        <v>913</v>
      </c>
      <c r="J44" s="91" t="s">
        <v>87</v>
      </c>
      <c r="K44" s="178" t="s">
        <v>883</v>
      </c>
      <c r="L44"/>
      <c r="M44" s="58"/>
      <c r="N44" s="66" t="e">
        <f>IF(OR(AND(CodeFileListUsed="Yes",#REF!="",COUNTA(B44:B44,#REF!)&lt;&gt;0),AND(COUNTA(B44:B44,#REF!)&lt;&gt;0, COUNTA(B44:B44,#REF!)&lt;&gt;COUNTA(B$13:C$13,D$13:F$13))),CheckErr,CheckOK)</f>
        <v>#REF!</v>
      </c>
      <c r="O44" s="50" t="e">
        <f>IF(OR(ISBLANK(#REF!), AND(NOT(ISBLANK(#REF!)),OR(AND(#REF!="Accepted",OR(#REF!="Y",#REF!="y")),#REF!="Noted",#REF!="Duplicate",AND(#REF!="Rejected",NOT(ISBLANK(#REF!)))))),CheckOK,CheckErr)</f>
        <v>#REF!</v>
      </c>
      <c r="P44" s="50" t="str">
        <f>IF(OR(ISBLANK(#REF!),NOT(ISBLANK(#REF!))),CheckOK,CheckErr)</f>
        <v/>
      </c>
    </row>
    <row r="45" spans="1:16">
      <c r="A45" s="57">
        <f t="shared" si="0"/>
        <v>32</v>
      </c>
      <c r="B45" s="68" t="s">
        <v>877</v>
      </c>
      <c r="C45" s="68" t="s">
        <v>670</v>
      </c>
      <c r="D45" s="68" t="s">
        <v>667</v>
      </c>
      <c r="E45" s="68" t="s">
        <v>671</v>
      </c>
      <c r="F45" s="152" t="s">
        <v>672</v>
      </c>
      <c r="G45"/>
      <c r="H45" s="177" t="s">
        <v>884</v>
      </c>
      <c r="I45" s="91" t="s">
        <v>888</v>
      </c>
      <c r="J45" s="91" t="s">
        <v>87</v>
      </c>
      <c r="K45" s="178" t="s">
        <v>883</v>
      </c>
      <c r="L45"/>
      <c r="M45" s="58"/>
      <c r="N45" s="66" t="e">
        <f>IF(OR(AND(CodeFileListUsed="Yes",#REF!="",COUNTA(B45:B45,#REF!)&lt;&gt;0),AND(COUNTA(B45:B45,#REF!)&lt;&gt;0, COUNTA(B45:B45,#REF!)&lt;&gt;COUNTA(B$13:C$13,D$13:F$13))),CheckErr,CheckOK)</f>
        <v>#REF!</v>
      </c>
      <c r="O45" s="50" t="e">
        <f>IF(OR(ISBLANK(#REF!), AND(NOT(ISBLANK(#REF!)),OR(AND(#REF!="Accepted",OR(#REF!="Y",#REF!="y")),#REF!="Noted",#REF!="Duplicate",AND(#REF!="Rejected",NOT(ISBLANK(#REF!)))))),CheckOK,CheckErr)</f>
        <v>#REF!</v>
      </c>
      <c r="P45" s="50" t="str">
        <f>IF(OR(ISBLANK(#REF!),NOT(ISBLANK(#REF!))),CheckOK,CheckErr)</f>
        <v/>
      </c>
    </row>
    <row r="46" spans="1:16">
      <c r="A46" s="57">
        <f t="shared" si="0"/>
        <v>33</v>
      </c>
      <c r="B46" s="68" t="s">
        <v>877</v>
      </c>
      <c r="C46" s="68" t="s">
        <v>673</v>
      </c>
      <c r="D46" s="68">
        <v>1.1000000000000001</v>
      </c>
      <c r="E46" s="68" t="s">
        <v>674</v>
      </c>
      <c r="F46" s="152" t="s">
        <v>675</v>
      </c>
      <c r="G46"/>
      <c r="H46" s="177" t="s">
        <v>884</v>
      </c>
      <c r="I46" s="91" t="s">
        <v>901</v>
      </c>
      <c r="J46" s="91" t="s">
        <v>87</v>
      </c>
      <c r="K46" s="178" t="s">
        <v>883</v>
      </c>
      <c r="L46"/>
      <c r="M46" s="58"/>
      <c r="N46" s="66" t="e">
        <f>IF(OR(AND(CodeFileListUsed="Yes",#REF!="",COUNTA(B46:B46,#REF!)&lt;&gt;0),AND(COUNTA(B46:B46,#REF!)&lt;&gt;0, COUNTA(B46:B46,#REF!)&lt;&gt;COUNTA(B$13:C$13,D$13:F$13))),CheckErr,CheckOK)</f>
        <v>#REF!</v>
      </c>
      <c r="O46" s="50" t="e">
        <f>IF(OR(ISBLANK(#REF!), AND(NOT(ISBLANK(#REF!)),OR(AND(#REF!="Accepted",OR(#REF!="Y",#REF!="y")),#REF!="Noted",#REF!="Duplicate",AND(#REF!="Rejected",NOT(ISBLANK(#REF!)))))),CheckOK,CheckErr)</f>
        <v>#REF!</v>
      </c>
      <c r="P46" s="50" t="str">
        <f>IF(OR(ISBLANK(#REF!),NOT(ISBLANK(#REF!))),CheckOK,CheckErr)</f>
        <v/>
      </c>
    </row>
    <row r="47" spans="1:16" ht="54">
      <c r="A47" s="57">
        <f t="shared" ref="A47:A78" si="1">A46+1</f>
        <v>34</v>
      </c>
      <c r="B47" s="68" t="s">
        <v>877</v>
      </c>
      <c r="C47" s="68" t="s">
        <v>676</v>
      </c>
      <c r="D47" s="68">
        <v>1.4</v>
      </c>
      <c r="E47" s="68" t="s">
        <v>677</v>
      </c>
      <c r="F47" s="152" t="s">
        <v>678</v>
      </c>
      <c r="G47"/>
      <c r="H47" s="177" t="s">
        <v>884</v>
      </c>
      <c r="I47" s="4" t="s">
        <v>902</v>
      </c>
      <c r="J47" s="91" t="s">
        <v>87</v>
      </c>
      <c r="K47" s="91" t="s">
        <v>883</v>
      </c>
      <c r="L47"/>
      <c r="M47" s="58"/>
      <c r="N47" s="66" t="e">
        <f>IF(OR(AND(CodeFileListUsed="Yes",#REF!="",COUNTA(B47:B47,#REF!)&lt;&gt;0),AND(COUNTA(B47:B47,#REF!)&lt;&gt;0, COUNTA(B47:B47,#REF!)&lt;&gt;COUNTA(B$13:C$13,D$13:F$13))),CheckErr,CheckOK)</f>
        <v>#REF!</v>
      </c>
      <c r="O47" s="50" t="e">
        <f>IF(OR(ISBLANK(#REF!), AND(NOT(ISBLANK(#REF!)),OR(AND(#REF!="Accepted",OR(#REF!="Y",#REF!="y")),#REF!="Noted",#REF!="Duplicate",AND(#REF!="Rejected",NOT(ISBLANK(#REF!)))))),CheckOK,CheckErr)</f>
        <v>#REF!</v>
      </c>
      <c r="P47" s="50" t="str">
        <f>IF(OR(ISBLANK(#REF!),NOT(ISBLANK(#REF!))),CheckOK,CheckErr)</f>
        <v/>
      </c>
    </row>
    <row r="48" spans="1:16" ht="27">
      <c r="A48" s="57">
        <f t="shared" si="1"/>
        <v>35</v>
      </c>
      <c r="B48" s="68" t="s">
        <v>877</v>
      </c>
      <c r="C48" s="68" t="s">
        <v>679</v>
      </c>
      <c r="D48" s="68">
        <v>1.4</v>
      </c>
      <c r="E48" s="68" t="s">
        <v>677</v>
      </c>
      <c r="F48" s="152" t="s">
        <v>680</v>
      </c>
      <c r="G48"/>
      <c r="H48" s="177" t="s">
        <v>884</v>
      </c>
      <c r="I48" s="91" t="s">
        <v>1018</v>
      </c>
      <c r="J48" s="91" t="s">
        <v>87</v>
      </c>
      <c r="K48" s="178" t="s">
        <v>883</v>
      </c>
      <c r="L48"/>
      <c r="M48" s="58"/>
      <c r="N48" s="66" t="e">
        <f>IF(OR(AND(CodeFileListUsed="Yes",#REF!="",COUNTA(B48:B48,#REF!)&lt;&gt;0),AND(COUNTA(B48:B48,#REF!)&lt;&gt;0, COUNTA(B48:B48,#REF!)&lt;&gt;COUNTA(B$13:C$13,D$13:F$13))),CheckErr,CheckOK)</f>
        <v>#REF!</v>
      </c>
      <c r="O48" s="50" t="e">
        <f>IF(OR(ISBLANK(#REF!), AND(NOT(ISBLANK(#REF!)),OR(AND(#REF!="Accepted",OR(#REF!="Y",#REF!="y")),#REF!="Noted",#REF!="Duplicate",AND(#REF!="Rejected",NOT(ISBLANK(#REF!)))))),CheckOK,CheckErr)</f>
        <v>#REF!</v>
      </c>
      <c r="P48" s="50" t="str">
        <f>IF(OR(ISBLANK(#REF!),NOT(ISBLANK(#REF!))),CheckOK,CheckErr)</f>
        <v/>
      </c>
    </row>
    <row r="49" spans="1:16" ht="27">
      <c r="A49" s="57">
        <f t="shared" si="1"/>
        <v>36</v>
      </c>
      <c r="B49" s="68" t="s">
        <v>877</v>
      </c>
      <c r="C49" s="68" t="s">
        <v>681</v>
      </c>
      <c r="D49" s="68">
        <v>1.5</v>
      </c>
      <c r="E49" s="68" t="s">
        <v>682</v>
      </c>
      <c r="F49" s="152" t="s">
        <v>683</v>
      </c>
      <c r="G49"/>
      <c r="H49" s="177" t="s">
        <v>884</v>
      </c>
      <c r="I49" s="91" t="s">
        <v>901</v>
      </c>
      <c r="J49" s="91" t="s">
        <v>87</v>
      </c>
      <c r="K49" s="178" t="s">
        <v>883</v>
      </c>
      <c r="L49"/>
      <c r="M49" s="58"/>
      <c r="N49" s="66" t="e">
        <f>IF(OR(AND(CodeFileListUsed="Yes",#REF!="",COUNTA(B49:B49,#REF!)&lt;&gt;0),AND(COUNTA(B49:B49,#REF!)&lt;&gt;0, COUNTA(B49:B49,#REF!)&lt;&gt;COUNTA(B$13:C$13,D$13:F$13))),CheckErr,CheckOK)</f>
        <v>#REF!</v>
      </c>
      <c r="O49" s="50" t="e">
        <f>IF(OR(ISBLANK(#REF!), AND(NOT(ISBLANK(#REF!)),OR(AND(#REF!="Accepted",OR(#REF!="Y",#REF!="y")),#REF!="Noted",#REF!="Duplicate",AND(#REF!="Rejected",NOT(ISBLANK(#REF!)))))),CheckOK,CheckErr)</f>
        <v>#REF!</v>
      </c>
      <c r="P49" s="50" t="str">
        <f>IF(OR(ISBLANK(#REF!),NOT(ISBLANK(#REF!))),CheckOK,CheckErr)</f>
        <v/>
      </c>
    </row>
    <row r="50" spans="1:16" ht="54">
      <c r="A50" s="57">
        <f t="shared" si="1"/>
        <v>37</v>
      </c>
      <c r="B50" s="68" t="s">
        <v>877</v>
      </c>
      <c r="C50" s="68" t="s">
        <v>684</v>
      </c>
      <c r="D50" s="68">
        <v>1.5</v>
      </c>
      <c r="E50" s="68" t="s">
        <v>685</v>
      </c>
      <c r="F50" s="152" t="s">
        <v>686</v>
      </c>
      <c r="G50"/>
      <c r="H50" s="179" t="s">
        <v>884</v>
      </c>
      <c r="I50" s="91" t="s">
        <v>888</v>
      </c>
      <c r="J50" s="178" t="s">
        <v>87</v>
      </c>
      <c r="K50" s="178" t="s">
        <v>883</v>
      </c>
      <c r="L50"/>
      <c r="M50" s="58"/>
      <c r="N50" s="66" t="e">
        <f>IF(OR(AND(CodeFileListUsed="Yes",#REF!="",COUNTA(B50:B50,#REF!)&lt;&gt;0),AND(COUNTA(B50:B50,#REF!)&lt;&gt;0, COUNTA(B50:B50,#REF!)&lt;&gt;COUNTA(B$13:C$13,D$13:F$13))),CheckErr,CheckOK)</f>
        <v>#REF!</v>
      </c>
      <c r="O50" s="50" t="e">
        <f>IF(OR(ISBLANK(#REF!), AND(NOT(ISBLANK(#REF!)),OR(AND(#REF!="Accepted",OR(#REF!="Y",#REF!="y")),#REF!="Noted",#REF!="Duplicate",AND(#REF!="Rejected",NOT(ISBLANK(#REF!)))))),CheckOK,CheckErr)</f>
        <v>#REF!</v>
      </c>
      <c r="P50" s="50" t="str">
        <f>IF(OR(ISBLANK(#REF!),NOT(ISBLANK(#REF!))),CheckOK,CheckErr)</f>
        <v/>
      </c>
    </row>
    <row r="51" spans="1:16" ht="27">
      <c r="A51" s="57">
        <f t="shared" si="1"/>
        <v>38</v>
      </c>
      <c r="B51" s="68" t="s">
        <v>877</v>
      </c>
      <c r="C51" s="68" t="s">
        <v>687</v>
      </c>
      <c r="D51" s="68" t="s">
        <v>688</v>
      </c>
      <c r="E51" s="68" t="s">
        <v>689</v>
      </c>
      <c r="F51" s="152" t="s">
        <v>690</v>
      </c>
      <c r="G51"/>
      <c r="H51" s="177" t="s">
        <v>884</v>
      </c>
      <c r="I51" s="91" t="s">
        <v>1017</v>
      </c>
      <c r="J51" s="91" t="s">
        <v>87</v>
      </c>
      <c r="K51" s="178" t="s">
        <v>883</v>
      </c>
      <c r="L51"/>
      <c r="M51" s="58"/>
      <c r="N51" s="66" t="e">
        <f>IF(OR(AND(CodeFileListUsed="Yes",#REF!="",COUNTA(B51:B51,#REF!)&lt;&gt;0),AND(COUNTA(B51:B51,#REF!)&lt;&gt;0, COUNTA(B51:B51,#REF!)&lt;&gt;COUNTA(B$13:C$13,D$13:F$13))),CheckErr,CheckOK)</f>
        <v>#REF!</v>
      </c>
      <c r="O51" s="50" t="e">
        <f>IF(OR(ISBLANK(#REF!), AND(NOT(ISBLANK(#REF!)),OR(AND(#REF!="Accepted",OR(#REF!="Y",#REF!="y")),#REF!="Noted",#REF!="Duplicate",AND(#REF!="Rejected",NOT(ISBLANK(#REF!)))))),CheckOK,CheckErr)</f>
        <v>#REF!</v>
      </c>
      <c r="P51" s="50" t="str">
        <f>IF(OR(ISBLANK(#REF!),NOT(ISBLANK(#REF!))),CheckOK,CheckErr)</f>
        <v/>
      </c>
    </row>
    <row r="52" spans="1:16" ht="81">
      <c r="A52" s="57">
        <f t="shared" si="1"/>
        <v>39</v>
      </c>
      <c r="B52" s="68" t="s">
        <v>877</v>
      </c>
      <c r="C52" s="68" t="s">
        <v>691</v>
      </c>
      <c r="D52" s="68" t="s">
        <v>692</v>
      </c>
      <c r="E52" s="68" t="s">
        <v>693</v>
      </c>
      <c r="F52" s="152" t="s">
        <v>694</v>
      </c>
      <c r="G52"/>
      <c r="H52" s="177" t="s">
        <v>884</v>
      </c>
      <c r="I52" s="4" t="s">
        <v>1023</v>
      </c>
      <c r="J52" t="s">
        <v>86</v>
      </c>
      <c r="K52"/>
      <c r="L52"/>
      <c r="M52" s="58"/>
      <c r="N52" s="66" t="e">
        <f>IF(OR(AND(CodeFileListUsed="Yes",#REF!="",COUNTA(B52:B52,#REF!)&lt;&gt;0),AND(COUNTA(B52:B52,#REF!)&lt;&gt;0, COUNTA(B52:B52,#REF!)&lt;&gt;COUNTA(B$13:C$13,D$13:F$13))),CheckErr,CheckOK)</f>
        <v>#REF!</v>
      </c>
      <c r="O52" s="50" t="e">
        <f>IF(OR(ISBLANK(#REF!), AND(NOT(ISBLANK(#REF!)),OR(AND(#REF!="Accepted",OR(#REF!="Y",#REF!="y")),#REF!="Noted",#REF!="Duplicate",AND(#REF!="Rejected",NOT(ISBLANK(#REF!)))))),CheckOK,CheckErr)</f>
        <v>#REF!</v>
      </c>
      <c r="P52" s="50" t="str">
        <f>IF(OR(ISBLANK(#REF!),NOT(ISBLANK(#REF!))),CheckOK,CheckErr)</f>
        <v/>
      </c>
    </row>
    <row r="53" spans="1:16" ht="67.5">
      <c r="A53" s="57">
        <f t="shared" si="1"/>
        <v>40</v>
      </c>
      <c r="B53" s="68" t="s">
        <v>877</v>
      </c>
      <c r="C53" s="68" t="s">
        <v>695</v>
      </c>
      <c r="D53" s="68" t="s">
        <v>692</v>
      </c>
      <c r="E53" s="68" t="s">
        <v>696</v>
      </c>
      <c r="F53" s="152" t="s">
        <v>697</v>
      </c>
      <c r="G53"/>
      <c r="H53" s="177" t="s">
        <v>884</v>
      </c>
      <c r="I53" s="91" t="s">
        <v>901</v>
      </c>
      <c r="J53" s="91" t="s">
        <v>87</v>
      </c>
      <c r="K53" s="178" t="s">
        <v>883</v>
      </c>
      <c r="L53"/>
      <c r="M53" s="58"/>
      <c r="N53" s="66" t="e">
        <f>IF(OR(AND(CodeFileListUsed="Yes",#REF!="",COUNTA(B53:B53,#REF!)&lt;&gt;0),AND(COUNTA(B53:B53,#REF!)&lt;&gt;0, COUNTA(B53:B53,#REF!)&lt;&gt;COUNTA(B$13:C$13,D$13:F$13))),CheckErr,CheckOK)</f>
        <v>#REF!</v>
      </c>
      <c r="O53" s="50" t="e">
        <f>IF(OR(ISBLANK(#REF!), AND(NOT(ISBLANK(#REF!)),OR(AND(#REF!="Accepted",OR(#REF!="Y",#REF!="y")),#REF!="Noted",#REF!="Duplicate",AND(#REF!="Rejected",NOT(ISBLANK(#REF!)))))),CheckOK,CheckErr)</f>
        <v>#REF!</v>
      </c>
      <c r="P53" s="50" t="str">
        <f>IF(OR(ISBLANK(#REF!),NOT(ISBLANK(#REF!))),CheckOK,CheckErr)</f>
        <v/>
      </c>
    </row>
    <row r="54" spans="1:16">
      <c r="A54" s="57">
        <f t="shared" si="1"/>
        <v>41</v>
      </c>
      <c r="B54" s="68" t="s">
        <v>877</v>
      </c>
      <c r="C54" s="68" t="s">
        <v>698</v>
      </c>
      <c r="D54" s="68">
        <v>1.6</v>
      </c>
      <c r="E54" s="68" t="s">
        <v>699</v>
      </c>
      <c r="F54" s="152" t="s">
        <v>700</v>
      </c>
      <c r="G54"/>
      <c r="H54" s="177" t="s">
        <v>884</v>
      </c>
      <c r="I54" s="4" t="s">
        <v>901</v>
      </c>
      <c r="J54" s="91" t="s">
        <v>87</v>
      </c>
      <c r="K54" s="91" t="s">
        <v>883</v>
      </c>
      <c r="L54"/>
      <c r="M54" s="58"/>
      <c r="N54" s="66" t="e">
        <f>IF(OR(AND(CodeFileListUsed="Yes",#REF!="",COUNTA(B54:B54,#REF!)&lt;&gt;0),AND(COUNTA(B54:B54,#REF!)&lt;&gt;0, COUNTA(B54:B54,#REF!)&lt;&gt;COUNTA(B$13:C$13,D$13:F$13))),CheckErr,CheckOK)</f>
        <v>#REF!</v>
      </c>
      <c r="O54" s="50" t="e">
        <f>IF(OR(ISBLANK(#REF!), AND(NOT(ISBLANK(#REF!)),OR(AND(#REF!="Accepted",OR(#REF!="Y",#REF!="y")),#REF!="Noted",#REF!="Duplicate",AND(#REF!="Rejected",NOT(ISBLANK(#REF!)))))),CheckOK,CheckErr)</f>
        <v>#REF!</v>
      </c>
      <c r="P54" s="50" t="str">
        <f>IF(OR(ISBLANK(#REF!),NOT(ISBLANK(#REF!))),CheckOK,CheckErr)</f>
        <v/>
      </c>
    </row>
    <row r="55" spans="1:16">
      <c r="A55" s="57">
        <f t="shared" si="1"/>
        <v>42</v>
      </c>
      <c r="B55" s="68" t="s">
        <v>877</v>
      </c>
      <c r="C55" s="68" t="s">
        <v>701</v>
      </c>
      <c r="D55" s="68" t="s">
        <v>702</v>
      </c>
      <c r="E55" s="68">
        <v>6</v>
      </c>
      <c r="F55" s="152" t="s">
        <v>703</v>
      </c>
      <c r="G55"/>
      <c r="H55" s="177" t="s">
        <v>884</v>
      </c>
      <c r="I55" s="91" t="s">
        <v>888</v>
      </c>
      <c r="J55" s="91" t="s">
        <v>87</v>
      </c>
      <c r="K55" s="178" t="s">
        <v>883</v>
      </c>
      <c r="L55"/>
      <c r="M55" s="58"/>
      <c r="N55" s="66" t="e">
        <f>IF(OR(AND(CodeFileListUsed="Yes",#REF!="",COUNTA(B55:B55,#REF!)&lt;&gt;0),AND(COUNTA(B55:B55,#REF!)&lt;&gt;0, COUNTA(B55:B55,#REF!)&lt;&gt;COUNTA(B$13:C$13,D$13:F$13))),CheckErr,CheckOK)</f>
        <v>#REF!</v>
      </c>
      <c r="O55" s="50" t="e">
        <f>IF(OR(ISBLANK(#REF!), AND(NOT(ISBLANK(#REF!)),OR(AND(#REF!="Accepted",OR(#REF!="Y",#REF!="y")),#REF!="Noted",#REF!="Duplicate",AND(#REF!="Rejected",NOT(ISBLANK(#REF!)))))),CheckOK,CheckErr)</f>
        <v>#REF!</v>
      </c>
      <c r="P55" s="50" t="str">
        <f>IF(OR(ISBLANK(#REF!),NOT(ISBLANK(#REF!))),CheckOK,CheckErr)</f>
        <v/>
      </c>
    </row>
    <row r="56" spans="1:16" ht="94.5">
      <c r="A56" s="57">
        <f t="shared" si="1"/>
        <v>43</v>
      </c>
      <c r="B56" s="68" t="s">
        <v>877</v>
      </c>
      <c r="C56" s="68" t="s">
        <v>704</v>
      </c>
      <c r="D56" s="68" t="s">
        <v>667</v>
      </c>
      <c r="E56" s="68" t="s">
        <v>705</v>
      </c>
      <c r="F56" s="152" t="s">
        <v>706</v>
      </c>
      <c r="G56"/>
      <c r="H56" s="177" t="s">
        <v>884</v>
      </c>
      <c r="I56" s="4" t="s">
        <v>919</v>
      </c>
      <c r="J56" t="s">
        <v>85</v>
      </c>
      <c r="K56" s="91" t="s">
        <v>883</v>
      </c>
      <c r="L56"/>
      <c r="M56" s="58"/>
      <c r="N56" s="66" t="e">
        <f>IF(OR(AND(CodeFileListUsed="Yes",#REF!="",COUNTA(B56:B56,#REF!)&lt;&gt;0),AND(COUNTA(B56:B56,#REF!)&lt;&gt;0, COUNTA(B56:B56,#REF!)&lt;&gt;COUNTA(B$13:C$13,D$13:F$13))),CheckErr,CheckOK)</f>
        <v>#REF!</v>
      </c>
      <c r="O56" s="50" t="e">
        <f>IF(OR(ISBLANK(#REF!), AND(NOT(ISBLANK(#REF!)),OR(AND(#REF!="Accepted",OR(#REF!="Y",#REF!="y")),#REF!="Noted",#REF!="Duplicate",AND(#REF!="Rejected",NOT(ISBLANK(#REF!)))))),CheckOK,CheckErr)</f>
        <v>#REF!</v>
      </c>
      <c r="P56" s="50" t="str">
        <f>IF(OR(ISBLANK(#REF!),NOT(ISBLANK(#REF!))),CheckOK,CheckErr)</f>
        <v/>
      </c>
    </row>
    <row r="57" spans="1:16">
      <c r="A57" s="57">
        <f t="shared" si="1"/>
        <v>44</v>
      </c>
      <c r="B57" s="68" t="s">
        <v>877</v>
      </c>
      <c r="C57" s="68" t="s">
        <v>707</v>
      </c>
      <c r="D57" s="68">
        <v>1.8</v>
      </c>
      <c r="E57" s="68" t="s">
        <v>708</v>
      </c>
      <c r="F57" s="152" t="s">
        <v>709</v>
      </c>
      <c r="G57"/>
      <c r="H57" s="177" t="s">
        <v>884</v>
      </c>
      <c r="I57" s="91" t="s">
        <v>888</v>
      </c>
      <c r="J57" s="91" t="s">
        <v>87</v>
      </c>
      <c r="K57" s="178" t="s">
        <v>883</v>
      </c>
      <c r="L57"/>
      <c r="M57" s="58"/>
      <c r="N57" s="66" t="e">
        <f>IF(OR(AND(CodeFileListUsed="Yes",#REF!="",COUNTA(B57:B57,#REF!)&lt;&gt;0),AND(COUNTA(B57:B57,#REF!)&lt;&gt;0, COUNTA(B57:B57,#REF!)&lt;&gt;COUNTA(B$13:C$13,D$13:F$13))),CheckErr,CheckOK)</f>
        <v>#REF!</v>
      </c>
      <c r="O57" s="50" t="e">
        <f>IF(OR(ISBLANK(#REF!), AND(NOT(ISBLANK(#REF!)),OR(AND(#REF!="Accepted",OR(#REF!="Y",#REF!="y")),#REF!="Noted",#REF!="Duplicate",AND(#REF!="Rejected",NOT(ISBLANK(#REF!)))))),CheckOK,CheckErr)</f>
        <v>#REF!</v>
      </c>
      <c r="P57" s="50" t="str">
        <f>IF(OR(ISBLANK(#REF!),NOT(ISBLANK(#REF!))),CheckOK,CheckErr)</f>
        <v/>
      </c>
    </row>
    <row r="58" spans="1:16" ht="67.5">
      <c r="A58" s="57">
        <f t="shared" si="1"/>
        <v>45</v>
      </c>
      <c r="B58" s="68" t="s">
        <v>877</v>
      </c>
      <c r="C58" s="68" t="s">
        <v>710</v>
      </c>
      <c r="D58" s="68">
        <v>1.8</v>
      </c>
      <c r="E58" s="68" t="s">
        <v>711</v>
      </c>
      <c r="F58" s="152" t="s">
        <v>712</v>
      </c>
      <c r="G58"/>
      <c r="H58" s="177" t="s">
        <v>884</v>
      </c>
      <c r="I58" s="4" t="s">
        <v>920</v>
      </c>
      <c r="J58" s="91" t="s">
        <v>87</v>
      </c>
      <c r="K58" s="91" t="s">
        <v>883</v>
      </c>
      <c r="L58"/>
      <c r="M58" s="58"/>
      <c r="N58" s="66" t="e">
        <f>IF(OR(AND(CodeFileListUsed="Yes",#REF!="",COUNTA(B58:B58,#REF!)&lt;&gt;0),AND(COUNTA(B58:B58,#REF!)&lt;&gt;0, COUNTA(B58:B58,#REF!)&lt;&gt;COUNTA(B$13:C$13,D$13:F$13))),CheckErr,CheckOK)</f>
        <v>#REF!</v>
      </c>
      <c r="O58" s="50" t="e">
        <f>IF(OR(ISBLANK(#REF!), AND(NOT(ISBLANK(#REF!)),OR(AND(#REF!="Accepted",OR(#REF!="Y",#REF!="y")),#REF!="Noted",#REF!="Duplicate",AND(#REF!="Rejected",NOT(ISBLANK(#REF!)))))),CheckOK,CheckErr)</f>
        <v>#REF!</v>
      </c>
      <c r="P58" s="50" t="str">
        <f>IF(OR(ISBLANK(#REF!),NOT(ISBLANK(#REF!))),CheckOK,CheckErr)</f>
        <v/>
      </c>
    </row>
    <row r="59" spans="1:16" ht="94.5">
      <c r="A59" s="57">
        <f t="shared" si="1"/>
        <v>46</v>
      </c>
      <c r="B59" s="68" t="s">
        <v>877</v>
      </c>
      <c r="C59" s="68" t="s">
        <v>713</v>
      </c>
      <c r="D59" s="68" t="s">
        <v>714</v>
      </c>
      <c r="E59" s="68" t="s">
        <v>715</v>
      </c>
      <c r="F59" s="152" t="s">
        <v>716</v>
      </c>
      <c r="G59"/>
      <c r="H59" s="91" t="s">
        <v>884</v>
      </c>
      <c r="I59" s="4" t="s">
        <v>925</v>
      </c>
      <c r="J59" s="91" t="s">
        <v>87</v>
      </c>
      <c r="K59" s="178" t="s">
        <v>883</v>
      </c>
      <c r="L59"/>
      <c r="M59" s="58"/>
      <c r="N59" s="66" t="e">
        <f>IF(OR(AND(CodeFileListUsed="Yes",#REF!="",COUNTA(B59:B59,#REF!)&lt;&gt;0),AND(COUNTA(B59:B59,#REF!)&lt;&gt;0, COUNTA(B59:B59,#REF!)&lt;&gt;COUNTA(B$13:C$13,D$13:F$13))),CheckErr,CheckOK)</f>
        <v>#REF!</v>
      </c>
      <c r="O59" s="50" t="e">
        <f>IF(OR(ISBLANK(#REF!), AND(NOT(ISBLANK(#REF!)),OR(AND(#REF!="Accepted",OR(#REF!="Y",#REF!="y")),#REF!="Noted",#REF!="Duplicate",AND(#REF!="Rejected",NOT(ISBLANK(#REF!)))))),CheckOK,CheckErr)</f>
        <v>#REF!</v>
      </c>
      <c r="P59" s="50" t="str">
        <f>IF(OR(ISBLANK(#REF!),NOT(ISBLANK(#REF!))),CheckOK,CheckErr)</f>
        <v/>
      </c>
    </row>
    <row r="60" spans="1:16">
      <c r="A60" s="57">
        <f t="shared" si="1"/>
        <v>47</v>
      </c>
      <c r="B60" s="68" t="s">
        <v>877</v>
      </c>
      <c r="C60" s="68" t="s">
        <v>717</v>
      </c>
      <c r="D60" s="68" t="s">
        <v>718</v>
      </c>
      <c r="E60" s="68" t="s">
        <v>719</v>
      </c>
      <c r="F60" s="152" t="s">
        <v>720</v>
      </c>
      <c r="G60"/>
      <c r="H60" s="177" t="s">
        <v>884</v>
      </c>
      <c r="I60" s="91" t="s">
        <v>885</v>
      </c>
      <c r="J60" s="91" t="s">
        <v>87</v>
      </c>
      <c r="K60" s="178" t="s">
        <v>883</v>
      </c>
      <c r="L60"/>
      <c r="M60" s="58"/>
      <c r="N60" s="66" t="e">
        <f>IF(OR(AND(CodeFileListUsed="Yes",#REF!="",COUNTA(B60:B60,#REF!)&lt;&gt;0),AND(COUNTA(B60:B60,#REF!)&lt;&gt;0, COUNTA(B60:B60,#REF!)&lt;&gt;COUNTA(B$13:C$13,D$13:F$13))),CheckErr,CheckOK)</f>
        <v>#REF!</v>
      </c>
      <c r="O60" s="50" t="e">
        <f>IF(OR(ISBLANK(#REF!), AND(NOT(ISBLANK(#REF!)),OR(AND(#REF!="Accepted",OR(#REF!="Y",#REF!="y")),#REF!="Noted",#REF!="Duplicate",AND(#REF!="Rejected",NOT(ISBLANK(#REF!)))))),CheckOK,CheckErr)</f>
        <v>#REF!</v>
      </c>
      <c r="P60" s="50" t="str">
        <f>IF(OR(ISBLANK(#REF!),NOT(ISBLANK(#REF!))),CheckOK,CheckErr)</f>
        <v/>
      </c>
    </row>
    <row r="61" spans="1:16" ht="40.5">
      <c r="A61" s="57">
        <f t="shared" si="1"/>
        <v>48</v>
      </c>
      <c r="B61" s="68" t="s">
        <v>877</v>
      </c>
      <c r="C61" s="68" t="s">
        <v>721</v>
      </c>
      <c r="D61" s="68" t="s">
        <v>722</v>
      </c>
      <c r="E61" s="68" t="s">
        <v>723</v>
      </c>
      <c r="F61" s="152" t="s">
        <v>724</v>
      </c>
      <c r="G61"/>
      <c r="H61" s="177" t="s">
        <v>884</v>
      </c>
      <c r="I61" s="91" t="s">
        <v>885</v>
      </c>
      <c r="J61" s="91" t="s">
        <v>87</v>
      </c>
      <c r="K61" s="178" t="s">
        <v>883</v>
      </c>
      <c r="L61"/>
      <c r="M61" s="58"/>
      <c r="N61" s="66" t="e">
        <f>IF(OR(AND(CodeFileListUsed="Yes",#REF!="",COUNTA(B61:B61,#REF!)&lt;&gt;0),AND(COUNTA(B61:B61,#REF!)&lt;&gt;0, COUNTA(B61:B61,#REF!)&lt;&gt;COUNTA(B$13:C$13,D$13:F$13))),CheckErr,CheckOK)</f>
        <v>#REF!</v>
      </c>
      <c r="O61" s="50" t="e">
        <f>IF(OR(ISBLANK(#REF!), AND(NOT(ISBLANK(#REF!)),OR(AND(#REF!="Accepted",OR(#REF!="Y",#REF!="y")),#REF!="Noted",#REF!="Duplicate",AND(#REF!="Rejected",NOT(ISBLANK(#REF!)))))),CheckOK,CheckErr)</f>
        <v>#REF!</v>
      </c>
      <c r="P61" s="50" t="str">
        <f>IF(OR(ISBLANK(#REF!),NOT(ISBLANK(#REF!))),CheckOK,CheckErr)</f>
        <v/>
      </c>
    </row>
    <row r="62" spans="1:16">
      <c r="A62" s="57">
        <f t="shared" si="1"/>
        <v>49</v>
      </c>
      <c r="B62" s="68" t="s">
        <v>877</v>
      </c>
      <c r="C62" s="68" t="s">
        <v>725</v>
      </c>
      <c r="D62" s="68" t="s">
        <v>726</v>
      </c>
      <c r="E62" s="68" t="s">
        <v>727</v>
      </c>
      <c r="F62" s="152" t="s">
        <v>728</v>
      </c>
      <c r="G62"/>
      <c r="H62" s="177" t="s">
        <v>884</v>
      </c>
      <c r="I62" s="91" t="s">
        <v>921</v>
      </c>
      <c r="J62" s="91" t="s">
        <v>86</v>
      </c>
      <c r="K62"/>
      <c r="L62"/>
      <c r="M62" s="58"/>
      <c r="N62" s="66" t="e">
        <f>IF(OR(AND(CodeFileListUsed="Yes",#REF!="",COUNTA(B62:B62,#REF!)&lt;&gt;0),AND(COUNTA(B62:B62,#REF!)&lt;&gt;0, COUNTA(B62:B62,#REF!)&lt;&gt;COUNTA(B$13:C$13,D$13:F$13))),CheckErr,CheckOK)</f>
        <v>#REF!</v>
      </c>
      <c r="O62" s="50" t="e">
        <f>IF(OR(ISBLANK(#REF!), AND(NOT(ISBLANK(#REF!)),OR(AND(#REF!="Accepted",OR(#REF!="Y",#REF!="y")),#REF!="Noted",#REF!="Duplicate",AND(#REF!="Rejected",NOT(ISBLANK(#REF!)))))),CheckOK,CheckErr)</f>
        <v>#REF!</v>
      </c>
      <c r="P62" s="50" t="str">
        <f>IF(OR(ISBLANK(#REF!),NOT(ISBLANK(#REF!))),CheckOK,CheckErr)</f>
        <v/>
      </c>
    </row>
    <row r="63" spans="1:16" ht="27">
      <c r="A63" s="57">
        <f t="shared" si="1"/>
        <v>50</v>
      </c>
      <c r="B63" s="68" t="s">
        <v>877</v>
      </c>
      <c r="C63" s="68" t="s">
        <v>729</v>
      </c>
      <c r="D63" s="68" t="s">
        <v>730</v>
      </c>
      <c r="E63" s="68" t="s">
        <v>731</v>
      </c>
      <c r="F63" s="152" t="s">
        <v>732</v>
      </c>
      <c r="G63"/>
      <c r="H63" s="177" t="s">
        <v>884</v>
      </c>
      <c r="I63" s="91" t="s">
        <v>922</v>
      </c>
      <c r="J63" s="91" t="s">
        <v>85</v>
      </c>
      <c r="K63" s="178" t="s">
        <v>883</v>
      </c>
      <c r="L63"/>
      <c r="M63" s="58"/>
      <c r="N63" s="66" t="e">
        <f>IF(OR(AND(CodeFileListUsed="Yes",#REF!="",COUNTA(B63:B63,#REF!)&lt;&gt;0),AND(COUNTA(B63:B63,#REF!)&lt;&gt;0, COUNTA(B63:B63,#REF!)&lt;&gt;COUNTA(B$13:C$13,D$13:F$13))),CheckErr,CheckOK)</f>
        <v>#REF!</v>
      </c>
      <c r="O63" s="50" t="e">
        <f>IF(OR(ISBLANK(#REF!), AND(NOT(ISBLANK(#REF!)),OR(AND(#REF!="Accepted",OR(#REF!="Y",#REF!="y")),#REF!="Noted",#REF!="Duplicate",AND(#REF!="Rejected",NOT(ISBLANK(#REF!)))))),CheckOK,CheckErr)</f>
        <v>#REF!</v>
      </c>
      <c r="P63" s="50" t="str">
        <f>IF(OR(ISBLANK(#REF!),NOT(ISBLANK(#REF!))),CheckOK,CheckErr)</f>
        <v/>
      </c>
    </row>
    <row r="64" spans="1:16" ht="27">
      <c r="A64" s="57">
        <f t="shared" si="1"/>
        <v>51</v>
      </c>
      <c r="B64" s="68" t="s">
        <v>877</v>
      </c>
      <c r="C64" s="68" t="s">
        <v>733</v>
      </c>
      <c r="D64" s="68" t="s">
        <v>734</v>
      </c>
      <c r="E64" s="68">
        <v>14</v>
      </c>
      <c r="F64" s="152" t="s">
        <v>735</v>
      </c>
      <c r="G64"/>
      <c r="H64" s="177" t="s">
        <v>884</v>
      </c>
      <c r="I64" s="4" t="s">
        <v>915</v>
      </c>
      <c r="J64" s="91" t="s">
        <v>87</v>
      </c>
      <c r="K64" s="91" t="s">
        <v>883</v>
      </c>
      <c r="L64"/>
      <c r="M64" s="58"/>
      <c r="N64" s="66" t="e">
        <f>IF(OR(AND(CodeFileListUsed="Yes",#REF!="",COUNTA(B64:B64,#REF!)&lt;&gt;0),AND(COUNTA(B64:B64,#REF!)&lt;&gt;0, COUNTA(B64:B64,#REF!)&lt;&gt;COUNTA(B$13:C$13,D$13:F$13))),CheckErr,CheckOK)</f>
        <v>#REF!</v>
      </c>
      <c r="O64" s="50" t="e">
        <f>IF(OR(ISBLANK(#REF!), AND(NOT(ISBLANK(#REF!)),OR(AND(#REF!="Accepted",OR(#REF!="Y",#REF!="y")),#REF!="Noted",#REF!="Duplicate",AND(#REF!="Rejected",NOT(ISBLANK(#REF!)))))),CheckOK,CheckErr)</f>
        <v>#REF!</v>
      </c>
      <c r="P64" s="50" t="str">
        <f>IF(OR(ISBLANK(#REF!),NOT(ISBLANK(#REF!))),CheckOK,CheckErr)</f>
        <v/>
      </c>
    </row>
    <row r="65" spans="1:16">
      <c r="A65" s="57">
        <f t="shared" si="1"/>
        <v>52</v>
      </c>
      <c r="B65" s="68" t="s">
        <v>877</v>
      </c>
      <c r="C65" s="68" t="s">
        <v>736</v>
      </c>
      <c r="D65" s="68">
        <v>1.1100000000000001</v>
      </c>
      <c r="E65" s="68">
        <v>15</v>
      </c>
      <c r="F65" s="152" t="s">
        <v>737</v>
      </c>
      <c r="G65"/>
      <c r="H65" s="91" t="s">
        <v>884</v>
      </c>
      <c r="I65" s="91" t="s">
        <v>914</v>
      </c>
      <c r="J65" s="178" t="s">
        <v>87</v>
      </c>
      <c r="K65" s="178" t="s">
        <v>883</v>
      </c>
      <c r="L65"/>
      <c r="M65" s="58"/>
      <c r="N65" s="66" t="e">
        <f>IF(OR(AND(CodeFileListUsed="Yes",#REF!="",COUNTA(B65:B65,#REF!)&lt;&gt;0),AND(COUNTA(B65:B65,#REF!)&lt;&gt;0, COUNTA(B65:B65,#REF!)&lt;&gt;COUNTA(B$13:C$13,D$13:F$13))),CheckErr,CheckOK)</f>
        <v>#REF!</v>
      </c>
      <c r="O65" s="50" t="e">
        <f>IF(OR(ISBLANK(#REF!), AND(NOT(ISBLANK(#REF!)),OR(AND(#REF!="Accepted",OR(#REF!="Y",#REF!="y")),#REF!="Noted",#REF!="Duplicate",AND(#REF!="Rejected",NOT(ISBLANK(#REF!)))))),CheckOK,CheckErr)</f>
        <v>#REF!</v>
      </c>
      <c r="P65" s="50" t="str">
        <f>IF(OR(ISBLANK(#REF!),NOT(ISBLANK(#REF!))),CheckOK,CheckErr)</f>
        <v/>
      </c>
    </row>
    <row r="66" spans="1:16">
      <c r="A66" s="57">
        <f t="shared" si="1"/>
        <v>53</v>
      </c>
      <c r="B66" s="68" t="s">
        <v>877</v>
      </c>
      <c r="C66" s="68" t="s">
        <v>738</v>
      </c>
      <c r="D66" s="68">
        <v>11.2</v>
      </c>
      <c r="E66" s="68">
        <v>67</v>
      </c>
      <c r="F66" s="152" t="s">
        <v>739</v>
      </c>
      <c r="G66"/>
      <c r="H66" s="91" t="s">
        <v>884</v>
      </c>
      <c r="I66" s="91" t="s">
        <v>885</v>
      </c>
      <c r="J66" s="178" t="s">
        <v>87</v>
      </c>
      <c r="K66" s="178" t="s">
        <v>883</v>
      </c>
      <c r="L66"/>
      <c r="M66" s="58"/>
      <c r="N66" s="66" t="e">
        <f>IF(OR(AND(CodeFileListUsed="Yes",#REF!="",COUNTA(B66:B66,#REF!)&lt;&gt;0),AND(COUNTA(B66:B66,#REF!)&lt;&gt;0, COUNTA(B66:B66,#REF!)&lt;&gt;COUNTA(B$13:C$13,D$13:F$13))),CheckErr,CheckOK)</f>
        <v>#REF!</v>
      </c>
      <c r="O66" s="50" t="e">
        <f>IF(OR(ISBLANK(#REF!), AND(NOT(ISBLANK(#REF!)),OR(AND(#REF!="Accepted",OR(#REF!="Y",#REF!="y")),#REF!="Noted",#REF!="Duplicate",AND(#REF!="Rejected",NOT(ISBLANK(#REF!)))))),CheckOK,CheckErr)</f>
        <v>#REF!</v>
      </c>
      <c r="P66" s="50" t="str">
        <f>IF(OR(ISBLANK(#REF!),NOT(ISBLANK(#REF!))),CheckOK,CheckErr)</f>
        <v/>
      </c>
    </row>
    <row r="67" spans="1:16" ht="40.5">
      <c r="A67" s="57">
        <f t="shared" si="1"/>
        <v>54</v>
      </c>
      <c r="B67" s="68" t="s">
        <v>877</v>
      </c>
      <c r="C67" s="68" t="s">
        <v>740</v>
      </c>
      <c r="D67" s="68" t="s">
        <v>741</v>
      </c>
      <c r="E67" s="68">
        <v>66</v>
      </c>
      <c r="F67" s="152" t="s">
        <v>742</v>
      </c>
      <c r="G67"/>
      <c r="H67"/>
      <c r="I67" s="182" t="s">
        <v>1047</v>
      </c>
      <c r="J67"/>
      <c r="K67"/>
      <c r="L67"/>
      <c r="M67" s="58"/>
      <c r="N67" s="66" t="e">
        <f>IF(OR(AND(CodeFileListUsed="Yes",#REF!="",COUNTA(B67:B67,#REF!)&lt;&gt;0),AND(COUNTA(B67:B67,#REF!)&lt;&gt;0, COUNTA(B67:B67,#REF!)&lt;&gt;COUNTA(B$13:C$13,D$13:F$13))),CheckErr,CheckOK)</f>
        <v>#REF!</v>
      </c>
      <c r="O67" s="50" t="e">
        <f>IF(OR(ISBLANK(#REF!), AND(NOT(ISBLANK(#REF!)),OR(AND(#REF!="Accepted",OR(#REF!="Y",#REF!="y")),#REF!="Noted",#REF!="Duplicate",AND(#REF!="Rejected",NOT(ISBLANK(#REF!)))))),CheckOK,CheckErr)</f>
        <v>#REF!</v>
      </c>
      <c r="P67" s="50" t="str">
        <f>IF(OR(ISBLANK(#REF!),NOT(ISBLANK(#REF!))),CheckOK,CheckErr)</f>
        <v/>
      </c>
    </row>
    <row r="68" spans="1:16" ht="94.5">
      <c r="A68" s="57">
        <f t="shared" si="1"/>
        <v>55</v>
      </c>
      <c r="B68" s="68" t="s">
        <v>877</v>
      </c>
      <c r="C68" s="68" t="s">
        <v>743</v>
      </c>
      <c r="D68" s="68">
        <v>9</v>
      </c>
      <c r="E68" s="68">
        <v>63</v>
      </c>
      <c r="F68" s="152" t="s">
        <v>744</v>
      </c>
      <c r="G68"/>
      <c r="H68" s="91" t="s">
        <v>884</v>
      </c>
      <c r="I68" s="4" t="s">
        <v>925</v>
      </c>
      <c r="J68" s="91" t="s">
        <v>87</v>
      </c>
      <c r="K68" s="178" t="s">
        <v>883</v>
      </c>
      <c r="L68"/>
      <c r="M68" s="58"/>
      <c r="N68" s="66" t="e">
        <f>IF(OR(AND(CodeFileListUsed="Yes",#REF!="",COUNTA(B68:B68,#REF!)&lt;&gt;0),AND(COUNTA(B68:B68,#REF!)&lt;&gt;0, COUNTA(B68:B68,#REF!)&lt;&gt;COUNTA(B$13:C$13,D$13:F$13))),CheckErr,CheckOK)</f>
        <v>#REF!</v>
      </c>
      <c r="O68" s="50" t="e">
        <f>IF(OR(ISBLANK(#REF!), AND(NOT(ISBLANK(#REF!)),OR(AND(#REF!="Accepted",OR(#REF!="Y",#REF!="y")),#REF!="Noted",#REF!="Duplicate",AND(#REF!="Rejected",NOT(ISBLANK(#REF!)))))),CheckOK,CheckErr)</f>
        <v>#REF!</v>
      </c>
      <c r="P68" s="50" t="str">
        <f>IF(OR(ISBLANK(#REF!),NOT(ISBLANK(#REF!))),CheckOK,CheckErr)</f>
        <v/>
      </c>
    </row>
    <row r="69" spans="1:16" ht="27">
      <c r="A69" s="57">
        <f t="shared" si="1"/>
        <v>56</v>
      </c>
      <c r="B69" s="68" t="s">
        <v>877</v>
      </c>
      <c r="C69" s="68" t="s">
        <v>745</v>
      </c>
      <c r="D69" s="68" t="s">
        <v>746</v>
      </c>
      <c r="E69" s="68" t="s">
        <v>747</v>
      </c>
      <c r="F69" s="152" t="s">
        <v>748</v>
      </c>
      <c r="G69"/>
      <c r="H69" s="177" t="s">
        <v>884</v>
      </c>
      <c r="I69" s="91" t="s">
        <v>886</v>
      </c>
      <c r="J69" s="178" t="s">
        <v>86</v>
      </c>
      <c r="K69"/>
      <c r="L69"/>
      <c r="M69" s="58"/>
      <c r="N69" s="66" t="e">
        <f>IF(OR(AND(CodeFileListUsed="Yes",#REF!="",COUNTA(B69:B69,#REF!)&lt;&gt;0),AND(COUNTA(B69:B69,#REF!)&lt;&gt;0, COUNTA(B69:B69,#REF!)&lt;&gt;COUNTA(B$13:C$13,D$13:F$13))),CheckErr,CheckOK)</f>
        <v>#REF!</v>
      </c>
      <c r="O69" s="50" t="e">
        <f>IF(OR(ISBLANK(#REF!), AND(NOT(ISBLANK(#REF!)),OR(AND(#REF!="Accepted",OR(#REF!="Y",#REF!="y")),#REF!="Noted",#REF!="Duplicate",AND(#REF!="Rejected",NOT(ISBLANK(#REF!)))))),CheckOK,CheckErr)</f>
        <v>#REF!</v>
      </c>
      <c r="P69" s="50" t="str">
        <f>IF(OR(ISBLANK(#REF!),NOT(ISBLANK(#REF!))),CheckOK,CheckErr)</f>
        <v/>
      </c>
    </row>
    <row r="70" spans="1:16" ht="27">
      <c r="A70" s="57">
        <f t="shared" si="1"/>
        <v>57</v>
      </c>
      <c r="B70" s="68" t="s">
        <v>878</v>
      </c>
      <c r="C70" s="68" t="s">
        <v>749</v>
      </c>
      <c r="D70" s="68">
        <v>1.2</v>
      </c>
      <c r="E70" s="68" t="s">
        <v>750</v>
      </c>
      <c r="F70" s="152" t="s">
        <v>751</v>
      </c>
      <c r="G70"/>
      <c r="H70" s="177" t="s">
        <v>884</v>
      </c>
      <c r="I70" s="91" t="s">
        <v>901</v>
      </c>
      <c r="J70" s="91" t="s">
        <v>87</v>
      </c>
      <c r="K70" s="178" t="s">
        <v>883</v>
      </c>
      <c r="L70"/>
      <c r="M70" s="58"/>
      <c r="N70" s="66" t="e">
        <f>IF(OR(AND(CodeFileListUsed="Yes",#REF!="",COUNTA(B70:B70,#REF!)&lt;&gt;0),AND(COUNTA(B70:B70,#REF!)&lt;&gt;0, COUNTA(B70:B70,#REF!)&lt;&gt;COUNTA(B$13:C$13,D$13:F$13))),CheckErr,CheckOK)</f>
        <v>#REF!</v>
      </c>
      <c r="O70" s="50" t="e">
        <f>IF(OR(ISBLANK(#REF!), AND(NOT(ISBLANK(#REF!)),OR(AND(#REF!="Accepted",OR(#REF!="Y",#REF!="y")),#REF!="Noted",#REF!="Duplicate",AND(#REF!="Rejected",NOT(ISBLANK(#REF!)))))),CheckOK,CheckErr)</f>
        <v>#REF!</v>
      </c>
      <c r="P70" s="50" t="str">
        <f>IF(OR(ISBLANK(#REF!),NOT(ISBLANK(#REF!))),CheckOK,CheckErr)</f>
        <v/>
      </c>
    </row>
    <row r="71" spans="1:16" ht="94.5">
      <c r="A71" s="57">
        <f t="shared" si="1"/>
        <v>58</v>
      </c>
      <c r="B71" s="68" t="s">
        <v>878</v>
      </c>
      <c r="C71" s="68" t="s">
        <v>752</v>
      </c>
      <c r="D71" s="68">
        <v>1.2</v>
      </c>
      <c r="E71" s="68" t="s">
        <v>753</v>
      </c>
      <c r="F71" s="152" t="s">
        <v>754</v>
      </c>
      <c r="G71"/>
      <c r="H71" s="177" t="s">
        <v>884</v>
      </c>
      <c r="I71" s="4" t="s">
        <v>923</v>
      </c>
      <c r="J71" s="91" t="s">
        <v>87</v>
      </c>
      <c r="K71" s="91" t="s">
        <v>883</v>
      </c>
      <c r="L71"/>
      <c r="M71" s="58"/>
      <c r="N71" s="66" t="e">
        <f>IF(OR(AND(CodeFileListUsed="Yes",#REF!="",COUNTA(B71:B71,#REF!)&lt;&gt;0),AND(COUNTA(B71:B71,#REF!)&lt;&gt;0, COUNTA(B71:B71,#REF!)&lt;&gt;COUNTA(B$13:C$13,D$13:F$13))),CheckErr,CheckOK)</f>
        <v>#REF!</v>
      </c>
      <c r="O71" s="50" t="e">
        <f>IF(OR(ISBLANK(#REF!), AND(NOT(ISBLANK(#REF!)),OR(AND(#REF!="Accepted",OR(#REF!="Y",#REF!="y")),#REF!="Noted",#REF!="Duplicate",AND(#REF!="Rejected",NOT(ISBLANK(#REF!)))))),CheckOK,CheckErr)</f>
        <v>#REF!</v>
      </c>
      <c r="P71" s="50" t="str">
        <f>IF(OR(ISBLANK(#REF!),NOT(ISBLANK(#REF!))),CheckOK,CheckErr)</f>
        <v/>
      </c>
    </row>
    <row r="72" spans="1:16">
      <c r="A72" s="57">
        <f t="shared" si="1"/>
        <v>59</v>
      </c>
      <c r="B72" s="68" t="s">
        <v>878</v>
      </c>
      <c r="C72" s="68" t="s">
        <v>755</v>
      </c>
      <c r="D72" s="68">
        <v>1.4</v>
      </c>
      <c r="E72" s="68" t="s">
        <v>756</v>
      </c>
      <c r="F72" s="152" t="s">
        <v>757</v>
      </c>
      <c r="G72"/>
      <c r="H72" s="177" t="s">
        <v>884</v>
      </c>
      <c r="I72" s="91" t="s">
        <v>903</v>
      </c>
      <c r="J72" s="91" t="s">
        <v>87</v>
      </c>
      <c r="K72" s="178" t="s">
        <v>883</v>
      </c>
      <c r="L72"/>
      <c r="M72" s="58"/>
      <c r="N72" s="66" t="e">
        <f>IF(OR(AND(CodeFileListUsed="Yes",#REF!="",COUNTA(B72:B72,#REF!)&lt;&gt;0),AND(COUNTA(B72:B72,#REF!)&lt;&gt;0, COUNTA(B72:B72,#REF!)&lt;&gt;COUNTA(B$13:C$13,D$13:F$13))),CheckErr,CheckOK)</f>
        <v>#REF!</v>
      </c>
      <c r="O72" s="50" t="e">
        <f>IF(OR(ISBLANK(#REF!), AND(NOT(ISBLANK(#REF!)),OR(AND(#REF!="Accepted",OR(#REF!="Y",#REF!="y")),#REF!="Noted",#REF!="Duplicate",AND(#REF!="Rejected",NOT(ISBLANK(#REF!)))))),CheckOK,CheckErr)</f>
        <v>#REF!</v>
      </c>
      <c r="P72" s="50" t="str">
        <f>IF(OR(ISBLANK(#REF!),NOT(ISBLANK(#REF!))),CheckOK,CheckErr)</f>
        <v/>
      </c>
    </row>
    <row r="73" spans="1:16" ht="54">
      <c r="A73" s="57">
        <f t="shared" si="1"/>
        <v>60</v>
      </c>
      <c r="B73" s="68" t="s">
        <v>878</v>
      </c>
      <c r="C73" s="68" t="s">
        <v>758</v>
      </c>
      <c r="D73" s="68" t="s">
        <v>688</v>
      </c>
      <c r="E73" s="68" t="s">
        <v>688</v>
      </c>
      <c r="F73" s="152" t="s">
        <v>759</v>
      </c>
      <c r="G73"/>
      <c r="H73" s="177" t="s">
        <v>884</v>
      </c>
      <c r="I73" s="91" t="s">
        <v>910</v>
      </c>
      <c r="J73" t="s">
        <v>86</v>
      </c>
      <c r="K73" s="180"/>
      <c r="L73"/>
      <c r="M73" s="58"/>
      <c r="N73" s="66" t="e">
        <f>IF(OR(AND(CodeFileListUsed="Yes",#REF!="",COUNTA(B73:B73,#REF!)&lt;&gt;0),AND(COUNTA(B73:B73,#REF!)&lt;&gt;0, COUNTA(B73:B73,#REF!)&lt;&gt;COUNTA(B$13:C$13,D$13:F$13))),CheckErr,CheckOK)</f>
        <v>#REF!</v>
      </c>
      <c r="O73" s="50" t="e">
        <f>IF(OR(ISBLANK(#REF!), AND(NOT(ISBLANK(#REF!)),OR(AND(#REF!="Accepted",OR(#REF!="Y",#REF!="y")),#REF!="Noted",#REF!="Duplicate",AND(#REF!="Rejected",NOT(ISBLANK(#REF!)))))),CheckOK,CheckErr)</f>
        <v>#REF!</v>
      </c>
      <c r="P73" s="50" t="str">
        <f>IF(OR(ISBLANK(#REF!),NOT(ISBLANK(#REF!))),CheckOK,CheckErr)</f>
        <v/>
      </c>
    </row>
    <row r="74" spans="1:16" ht="27">
      <c r="A74" s="57">
        <f t="shared" si="1"/>
        <v>61</v>
      </c>
      <c r="B74" s="68" t="s">
        <v>878</v>
      </c>
      <c r="C74" s="68" t="s">
        <v>760</v>
      </c>
      <c r="D74" s="68" t="s">
        <v>761</v>
      </c>
      <c r="E74" s="68" t="s">
        <v>762</v>
      </c>
      <c r="F74" s="152" t="s">
        <v>763</v>
      </c>
      <c r="G74"/>
      <c r="H74" s="177" t="s">
        <v>884</v>
      </c>
      <c r="I74" s="91" t="s">
        <v>885</v>
      </c>
      <c r="J74" s="91" t="s">
        <v>87</v>
      </c>
      <c r="K74" s="178" t="s">
        <v>883</v>
      </c>
      <c r="L74"/>
      <c r="M74" s="58"/>
      <c r="N74" s="66" t="e">
        <f>IF(OR(AND(CodeFileListUsed="Yes",#REF!="",COUNTA(B74:B74,#REF!)&lt;&gt;0),AND(COUNTA(B74:B74,#REF!)&lt;&gt;0, COUNTA(B74:B74,#REF!)&lt;&gt;COUNTA(B$13:C$13,D$13:F$13))),CheckErr,CheckOK)</f>
        <v>#REF!</v>
      </c>
      <c r="O74" s="50" t="e">
        <f>IF(OR(ISBLANK(#REF!), AND(NOT(ISBLANK(#REF!)),OR(AND(#REF!="Accepted",OR(#REF!="Y",#REF!="y")),#REF!="Noted",#REF!="Duplicate",AND(#REF!="Rejected",NOT(ISBLANK(#REF!)))))),CheckOK,CheckErr)</f>
        <v>#REF!</v>
      </c>
      <c r="P74" s="50" t="str">
        <f>IF(OR(ISBLANK(#REF!),NOT(ISBLANK(#REF!))),CheckOK,CheckErr)</f>
        <v/>
      </c>
    </row>
    <row r="75" spans="1:16" ht="27">
      <c r="A75" s="57">
        <f t="shared" si="1"/>
        <v>62</v>
      </c>
      <c r="B75" s="68" t="s">
        <v>878</v>
      </c>
      <c r="C75" s="68" t="s">
        <v>764</v>
      </c>
      <c r="D75" s="68" t="s">
        <v>765</v>
      </c>
      <c r="E75" s="68" t="s">
        <v>766</v>
      </c>
      <c r="F75" s="152" t="s">
        <v>767</v>
      </c>
      <c r="G75"/>
      <c r="H75" s="177" t="s">
        <v>884</v>
      </c>
      <c r="I75" s="91" t="s">
        <v>885</v>
      </c>
      <c r="J75" s="91" t="s">
        <v>87</v>
      </c>
      <c r="K75" s="178" t="s">
        <v>883</v>
      </c>
      <c r="L75"/>
      <c r="M75" s="58"/>
      <c r="N75" s="66" t="e">
        <f>IF(OR(AND(CodeFileListUsed="Yes",#REF!="",COUNTA(B75:B75,#REF!)&lt;&gt;0),AND(COUNTA(B75:B75,#REF!)&lt;&gt;0, COUNTA(B75:B75,#REF!)&lt;&gt;COUNTA(B$13:C$13,D$13:F$13))),CheckErr,CheckOK)</f>
        <v>#REF!</v>
      </c>
      <c r="O75" s="50" t="e">
        <f>IF(OR(ISBLANK(#REF!), AND(NOT(ISBLANK(#REF!)),OR(AND(#REF!="Accepted",OR(#REF!="Y",#REF!="y")),#REF!="Noted",#REF!="Duplicate",AND(#REF!="Rejected",NOT(ISBLANK(#REF!)))))),CheckOK,CheckErr)</f>
        <v>#REF!</v>
      </c>
      <c r="P75" s="50" t="str">
        <f>IF(OR(ISBLANK(#REF!),NOT(ISBLANK(#REF!))),CheckOK,CheckErr)</f>
        <v/>
      </c>
    </row>
    <row r="76" spans="1:16" ht="40.5">
      <c r="A76" s="57">
        <f t="shared" si="1"/>
        <v>63</v>
      </c>
      <c r="B76" s="68" t="s">
        <v>878</v>
      </c>
      <c r="C76" s="68" t="s">
        <v>768</v>
      </c>
      <c r="D76" s="68" t="s">
        <v>769</v>
      </c>
      <c r="E76" s="68" t="s">
        <v>705</v>
      </c>
      <c r="F76" s="152" t="s">
        <v>770</v>
      </c>
      <c r="G76"/>
      <c r="H76" s="177" t="s">
        <v>884</v>
      </c>
      <c r="I76" s="91" t="s">
        <v>888</v>
      </c>
      <c r="J76" s="91" t="s">
        <v>87</v>
      </c>
      <c r="K76" s="178" t="s">
        <v>883</v>
      </c>
      <c r="L76"/>
      <c r="M76" s="58"/>
      <c r="N76" s="66" t="e">
        <f>IF(OR(AND(CodeFileListUsed="Yes",#REF!="",COUNTA(B76:B76,#REF!)&lt;&gt;0),AND(COUNTA(B76:B76,#REF!)&lt;&gt;0, COUNTA(B76:B76,#REF!)&lt;&gt;COUNTA(B$13:C$13,D$13:F$13))),CheckErr,CheckOK)</f>
        <v>#REF!</v>
      </c>
      <c r="O76" s="50" t="e">
        <f>IF(OR(ISBLANK(#REF!), AND(NOT(ISBLANK(#REF!)),OR(AND(#REF!="Accepted",OR(#REF!="Y",#REF!="y")),#REF!="Noted",#REF!="Duplicate",AND(#REF!="Rejected",NOT(ISBLANK(#REF!)))))),CheckOK,CheckErr)</f>
        <v>#REF!</v>
      </c>
      <c r="P76" s="50" t="str">
        <f>IF(OR(ISBLANK(#REF!),NOT(ISBLANK(#REF!))),CheckOK,CheckErr)</f>
        <v/>
      </c>
    </row>
    <row r="77" spans="1:16">
      <c r="A77" s="57">
        <f t="shared" si="1"/>
        <v>64</v>
      </c>
      <c r="B77" s="68" t="s">
        <v>878</v>
      </c>
      <c r="C77" s="68" t="s">
        <v>771</v>
      </c>
      <c r="D77" s="68">
        <v>1.8</v>
      </c>
      <c r="E77" s="68" t="s">
        <v>772</v>
      </c>
      <c r="F77" s="152" t="s">
        <v>773</v>
      </c>
      <c r="G77"/>
      <c r="H77" s="177" t="s">
        <v>884</v>
      </c>
      <c r="I77" s="91" t="s">
        <v>887</v>
      </c>
      <c r="J77" s="91" t="s">
        <v>87</v>
      </c>
      <c r="K77" s="178" t="s">
        <v>883</v>
      </c>
      <c r="L77"/>
      <c r="M77" s="58"/>
      <c r="N77" s="66" t="e">
        <f>IF(OR(AND(CodeFileListUsed="Yes",#REF!="",COUNTA(B77:B77,#REF!)&lt;&gt;0),AND(COUNTA(B77:B77,#REF!)&lt;&gt;0, COUNTA(B77:B77,#REF!)&lt;&gt;COUNTA(B$13:C$13,D$13:F$13))),CheckErr,CheckOK)</f>
        <v>#REF!</v>
      </c>
      <c r="O77" s="50" t="e">
        <f>IF(OR(ISBLANK(#REF!), AND(NOT(ISBLANK(#REF!)),OR(AND(#REF!="Accepted",OR(#REF!="Y",#REF!="y")),#REF!="Noted",#REF!="Duplicate",AND(#REF!="Rejected",NOT(ISBLANK(#REF!)))))),CheckOK,CheckErr)</f>
        <v>#REF!</v>
      </c>
      <c r="P77" s="50" t="str">
        <f>IF(OR(ISBLANK(#REF!),NOT(ISBLANK(#REF!))),CheckOK,CheckErr)</f>
        <v/>
      </c>
    </row>
    <row r="78" spans="1:16" ht="54">
      <c r="A78" s="57">
        <f t="shared" si="1"/>
        <v>65</v>
      </c>
      <c r="B78" s="68" t="s">
        <v>878</v>
      </c>
      <c r="C78" s="68" t="s">
        <v>774</v>
      </c>
      <c r="D78" s="68">
        <v>1.8</v>
      </c>
      <c r="E78" s="68" t="s">
        <v>775</v>
      </c>
      <c r="F78" s="152" t="s">
        <v>776</v>
      </c>
      <c r="G78"/>
      <c r="H78" s="177" t="s">
        <v>884</v>
      </c>
      <c r="I78" s="91" t="s">
        <v>885</v>
      </c>
      <c r="J78" s="91" t="s">
        <v>87</v>
      </c>
      <c r="K78" s="178" t="s">
        <v>883</v>
      </c>
      <c r="L78"/>
      <c r="M78" s="58"/>
      <c r="N78" s="66" t="e">
        <f>IF(OR(AND(CodeFileListUsed="Yes",#REF!="",COUNTA(B78:B78,#REF!)&lt;&gt;0),AND(COUNTA(B78:B78,#REF!)&lt;&gt;0, COUNTA(B78:B78,#REF!)&lt;&gt;COUNTA(B$13:C$13,D$13:F$13))),CheckErr,CheckOK)</f>
        <v>#REF!</v>
      </c>
      <c r="O78" s="50" t="e">
        <f>IF(OR(ISBLANK(#REF!), AND(NOT(ISBLANK(#REF!)),OR(AND(#REF!="Accepted",OR(#REF!="Y",#REF!="y")),#REF!="Noted",#REF!="Duplicate",AND(#REF!="Rejected",NOT(ISBLANK(#REF!)))))),CheckOK,CheckErr)</f>
        <v>#REF!</v>
      </c>
      <c r="P78" s="50" t="str">
        <f>IF(OR(ISBLANK(#REF!),NOT(ISBLANK(#REF!))),CheckOK,CheckErr)</f>
        <v/>
      </c>
    </row>
    <row r="79" spans="1:16">
      <c r="A79" s="57">
        <f t="shared" ref="A79:A110" si="2">A78+1</f>
        <v>66</v>
      </c>
      <c r="B79" s="68" t="s">
        <v>878</v>
      </c>
      <c r="C79" s="68" t="s">
        <v>777</v>
      </c>
      <c r="D79" s="68">
        <v>1.8</v>
      </c>
      <c r="E79" s="68" t="s">
        <v>778</v>
      </c>
      <c r="F79" s="152" t="s">
        <v>779</v>
      </c>
      <c r="G79"/>
      <c r="H79" s="177" t="s">
        <v>884</v>
      </c>
      <c r="I79" s="91" t="s">
        <v>887</v>
      </c>
      <c r="J79" s="91" t="s">
        <v>87</v>
      </c>
      <c r="K79" s="178" t="s">
        <v>883</v>
      </c>
      <c r="L79"/>
      <c r="M79" s="58"/>
      <c r="N79" s="66" t="e">
        <f>IF(OR(AND(CodeFileListUsed="Yes",#REF!="",COUNTA(B79:B79,#REF!)&lt;&gt;0),AND(COUNTA(B79:B79,#REF!)&lt;&gt;0, COUNTA(B79:B79,#REF!)&lt;&gt;COUNTA(B$13:C$13,D$13:F$13))),CheckErr,CheckOK)</f>
        <v>#REF!</v>
      </c>
      <c r="O79" s="50" t="e">
        <f>IF(OR(ISBLANK(#REF!), AND(NOT(ISBLANK(#REF!)),OR(AND(#REF!="Accepted",OR(#REF!="Y",#REF!="y")),#REF!="Noted",#REF!="Duplicate",AND(#REF!="Rejected",NOT(ISBLANK(#REF!)))))),CheckOK,CheckErr)</f>
        <v>#REF!</v>
      </c>
      <c r="P79" s="50" t="str">
        <f>IF(OR(ISBLANK(#REF!),NOT(ISBLANK(#REF!))),CheckOK,CheckErr)</f>
        <v/>
      </c>
    </row>
    <row r="80" spans="1:16" ht="40.5">
      <c r="A80" s="57">
        <f t="shared" si="2"/>
        <v>67</v>
      </c>
      <c r="B80" s="68" t="s">
        <v>878</v>
      </c>
      <c r="C80" s="68" t="s">
        <v>780</v>
      </c>
      <c r="D80" s="68">
        <v>1.8</v>
      </c>
      <c r="E80" s="68" t="s">
        <v>781</v>
      </c>
      <c r="F80" s="152" t="s">
        <v>782</v>
      </c>
      <c r="G80"/>
      <c r="H80" s="177" t="s">
        <v>884</v>
      </c>
      <c r="I80" s="4" t="s">
        <v>1036</v>
      </c>
      <c r="J80" s="91" t="s">
        <v>87</v>
      </c>
      <c r="K80" s="91" t="s">
        <v>883</v>
      </c>
      <c r="L80"/>
      <c r="M80" s="58"/>
      <c r="N80" s="66" t="e">
        <f>IF(OR(AND(CodeFileListUsed="Yes",#REF!="",COUNTA(B80:B80,#REF!)&lt;&gt;0),AND(COUNTA(B80:B80,#REF!)&lt;&gt;0, COUNTA(B80:B80,#REF!)&lt;&gt;COUNTA(B$13:C$13,D$13:F$13))),CheckErr,CheckOK)</f>
        <v>#REF!</v>
      </c>
      <c r="O80" s="50" t="e">
        <f>IF(OR(ISBLANK(#REF!), AND(NOT(ISBLANK(#REF!)),OR(AND(#REF!="Accepted",OR(#REF!="Y",#REF!="y")),#REF!="Noted",#REF!="Duplicate",AND(#REF!="Rejected",NOT(ISBLANK(#REF!)))))),CheckOK,CheckErr)</f>
        <v>#REF!</v>
      </c>
      <c r="P80" s="50" t="str">
        <f>IF(OR(ISBLANK(#REF!),NOT(ISBLANK(#REF!))),CheckOK,CheckErr)</f>
        <v/>
      </c>
    </row>
    <row r="81" spans="1:16" ht="27">
      <c r="A81" s="57">
        <f t="shared" si="2"/>
        <v>68</v>
      </c>
      <c r="B81" s="68" t="s">
        <v>878</v>
      </c>
      <c r="C81" s="68" t="s">
        <v>783</v>
      </c>
      <c r="D81" s="68">
        <v>1.8</v>
      </c>
      <c r="E81" s="68" t="s">
        <v>784</v>
      </c>
      <c r="F81" s="152" t="s">
        <v>785</v>
      </c>
      <c r="G81"/>
      <c r="H81" s="177" t="s">
        <v>884</v>
      </c>
      <c r="I81" s="91" t="s">
        <v>912</v>
      </c>
      <c r="J81" s="91" t="s">
        <v>87</v>
      </c>
      <c r="K81" s="178" t="s">
        <v>883</v>
      </c>
      <c r="L81"/>
      <c r="M81" s="58"/>
      <c r="N81" s="66" t="e">
        <f>IF(OR(AND(CodeFileListUsed="Yes",#REF!="",COUNTA(B81:B81,#REF!)&lt;&gt;0),AND(COUNTA(B81:B81,#REF!)&lt;&gt;0, COUNTA(B81:B81,#REF!)&lt;&gt;COUNTA(B$13:C$13,D$13:F$13))),CheckErr,CheckOK)</f>
        <v>#REF!</v>
      </c>
      <c r="O81" s="50" t="e">
        <f>IF(OR(ISBLANK(#REF!), AND(NOT(ISBLANK(#REF!)),OR(AND(#REF!="Accepted",OR(#REF!="Y",#REF!="y")),#REF!="Noted",#REF!="Duplicate",AND(#REF!="Rejected",NOT(ISBLANK(#REF!)))))),CheckOK,CheckErr)</f>
        <v>#REF!</v>
      </c>
      <c r="P81" s="50" t="str">
        <f>IF(OR(ISBLANK(#REF!),NOT(ISBLANK(#REF!))),CheckOK,CheckErr)</f>
        <v/>
      </c>
    </row>
    <row r="82" spans="1:16" ht="81">
      <c r="A82" s="57">
        <f t="shared" si="2"/>
        <v>69</v>
      </c>
      <c r="B82" s="68" t="s">
        <v>878</v>
      </c>
      <c r="C82" s="68" t="s">
        <v>786</v>
      </c>
      <c r="D82" s="68">
        <v>1.2</v>
      </c>
      <c r="E82" s="68" t="s">
        <v>705</v>
      </c>
      <c r="F82" s="152" t="s">
        <v>787</v>
      </c>
      <c r="G82"/>
      <c r="H82" s="91" t="s">
        <v>884</v>
      </c>
      <c r="I82" s="91" t="s">
        <v>911</v>
      </c>
      <c r="J82" s="178" t="s">
        <v>87</v>
      </c>
      <c r="K82" s="178" t="s">
        <v>883</v>
      </c>
      <c r="L82"/>
      <c r="M82" s="58"/>
      <c r="N82" s="66" t="e">
        <f>IF(OR(AND(CodeFileListUsed="Yes",#REF!="",COUNTA(B82:B82,#REF!)&lt;&gt;0),AND(COUNTA(B82:B82,#REF!)&lt;&gt;0, COUNTA(B82:B82,#REF!)&lt;&gt;COUNTA(B$13:C$13,D$13:F$13))),CheckErr,CheckOK)</f>
        <v>#REF!</v>
      </c>
      <c r="O82" s="50" t="e">
        <f>IF(OR(ISBLANK(#REF!), AND(NOT(ISBLANK(#REF!)),OR(AND(#REF!="Accepted",OR(#REF!="Y",#REF!="y")),#REF!="Noted",#REF!="Duplicate",AND(#REF!="Rejected",NOT(ISBLANK(#REF!)))))),CheckOK,CheckErr)</f>
        <v>#REF!</v>
      </c>
      <c r="P82" s="50" t="str">
        <f>IF(OR(ISBLANK(#REF!),NOT(ISBLANK(#REF!))),CheckOK,CheckErr)</f>
        <v/>
      </c>
    </row>
    <row r="83" spans="1:16" ht="54">
      <c r="A83" s="57">
        <f t="shared" si="2"/>
        <v>70</v>
      </c>
      <c r="B83" s="68" t="s">
        <v>878</v>
      </c>
      <c r="C83" s="68" t="s">
        <v>788</v>
      </c>
      <c r="D83" s="68" t="s">
        <v>726</v>
      </c>
      <c r="E83" s="68" t="s">
        <v>688</v>
      </c>
      <c r="F83" s="152" t="s">
        <v>789</v>
      </c>
      <c r="G83"/>
      <c r="H83" s="177" t="s">
        <v>884</v>
      </c>
      <c r="I83" s="4" t="s">
        <v>1024</v>
      </c>
      <c r="J83" t="s">
        <v>85</v>
      </c>
      <c r="K83" t="s">
        <v>883</v>
      </c>
      <c r="L83"/>
      <c r="M83" s="58"/>
      <c r="N83" s="66" t="e">
        <f>IF(OR(AND(CodeFileListUsed="Yes",#REF!="",COUNTA(B83:B83,#REF!)&lt;&gt;0),AND(COUNTA(B83:B83,#REF!)&lt;&gt;0, COUNTA(B83:B83,#REF!)&lt;&gt;COUNTA(B$13:C$13,D$13:F$13))),CheckErr,CheckOK)</f>
        <v>#REF!</v>
      </c>
      <c r="O83" s="50" t="e">
        <f>IF(OR(ISBLANK(#REF!), AND(NOT(ISBLANK(#REF!)),OR(AND(#REF!="Accepted",OR(#REF!="Y",#REF!="y")),#REF!="Noted",#REF!="Duplicate",AND(#REF!="Rejected",NOT(ISBLANK(#REF!)))))),CheckOK,CheckErr)</f>
        <v>#REF!</v>
      </c>
      <c r="P83" s="50" t="str">
        <f>IF(OR(ISBLANK(#REF!),NOT(ISBLANK(#REF!))),CheckOK,CheckErr)</f>
        <v/>
      </c>
    </row>
    <row r="84" spans="1:16" ht="40.5">
      <c r="A84" s="57">
        <f t="shared" si="2"/>
        <v>71</v>
      </c>
      <c r="B84" s="68" t="s">
        <v>878</v>
      </c>
      <c r="C84" s="68" t="s">
        <v>790</v>
      </c>
      <c r="D84" s="68" t="s">
        <v>791</v>
      </c>
      <c r="E84" s="68" t="s">
        <v>792</v>
      </c>
      <c r="F84" s="152" t="s">
        <v>793</v>
      </c>
      <c r="G84"/>
      <c r="H84" s="177" t="s">
        <v>884</v>
      </c>
      <c r="I84" s="3" t="s">
        <v>899</v>
      </c>
      <c r="J84" t="s">
        <v>87</v>
      </c>
      <c r="K84" t="s">
        <v>883</v>
      </c>
      <c r="L84"/>
      <c r="M84" s="58"/>
      <c r="N84" s="66" t="e">
        <f>IF(OR(AND(CodeFileListUsed="Yes",#REF!="",COUNTA(B84:B84,#REF!)&lt;&gt;0),AND(COUNTA(B84:B84,#REF!)&lt;&gt;0, COUNTA(B84:B84,#REF!)&lt;&gt;COUNTA(B$13:C$13,D$13:F$13))),CheckErr,CheckOK)</f>
        <v>#REF!</v>
      </c>
      <c r="O84" s="50" t="e">
        <f>IF(OR(ISBLANK(#REF!), AND(NOT(ISBLANK(#REF!)),OR(AND(#REF!="Accepted",OR(#REF!="Y",#REF!="y")),#REF!="Noted",#REF!="Duplicate",AND(#REF!="Rejected",NOT(ISBLANK(#REF!)))))),CheckOK,CheckErr)</f>
        <v>#REF!</v>
      </c>
      <c r="P84" s="50" t="str">
        <f>IF(OR(ISBLANK(#REF!),NOT(ISBLANK(#REF!))),CheckOK,CheckErr)</f>
        <v/>
      </c>
    </row>
    <row r="85" spans="1:16" ht="40.5">
      <c r="A85" s="57">
        <f t="shared" si="2"/>
        <v>72</v>
      </c>
      <c r="B85" s="68" t="s">
        <v>878</v>
      </c>
      <c r="C85" s="68" t="s">
        <v>794</v>
      </c>
      <c r="D85" s="68" t="s">
        <v>795</v>
      </c>
      <c r="E85" s="68" t="s">
        <v>688</v>
      </c>
      <c r="F85" s="152" t="s">
        <v>796</v>
      </c>
      <c r="G85"/>
      <c r="H85" s="177" t="s">
        <v>884</v>
      </c>
      <c r="I85" s="4" t="s">
        <v>1052</v>
      </c>
      <c r="J85" s="91" t="s">
        <v>85</v>
      </c>
      <c r="K85" s="91" t="s">
        <v>883</v>
      </c>
      <c r="L85"/>
      <c r="M85" s="58"/>
      <c r="N85" s="66" t="e">
        <f>IF(OR(AND(CodeFileListUsed="Yes",#REF!="",COUNTA(B85:B85,#REF!)&lt;&gt;0),AND(COUNTA(B85:B85,#REF!)&lt;&gt;0, COUNTA(B85:B85,#REF!)&lt;&gt;COUNTA(B$13:C$13,D$13:F$13))),CheckErr,CheckOK)</f>
        <v>#REF!</v>
      </c>
      <c r="O85" s="50" t="e">
        <f>IF(OR(ISBLANK(#REF!), AND(NOT(ISBLANK(#REF!)),OR(AND(#REF!="Accepted",OR(#REF!="Y",#REF!="y")),#REF!="Noted",#REF!="Duplicate",AND(#REF!="Rejected",NOT(ISBLANK(#REF!)))))),CheckOK,CheckErr)</f>
        <v>#REF!</v>
      </c>
      <c r="P85" s="50" t="str">
        <f>IF(OR(ISBLANK(#REF!),NOT(ISBLANK(#REF!))),CheckOK,CheckErr)</f>
        <v/>
      </c>
    </row>
    <row r="86" spans="1:16" ht="27">
      <c r="A86" s="57">
        <f t="shared" si="2"/>
        <v>73</v>
      </c>
      <c r="B86" s="68" t="s">
        <v>878</v>
      </c>
      <c r="C86" s="68" t="s">
        <v>797</v>
      </c>
      <c r="D86" s="68">
        <v>5.0999999999999996</v>
      </c>
      <c r="E86" s="68" t="s">
        <v>798</v>
      </c>
      <c r="F86" s="152" t="s">
        <v>799</v>
      </c>
      <c r="G86"/>
      <c r="H86" s="177" t="s">
        <v>884</v>
      </c>
      <c r="I86" t="s">
        <v>888</v>
      </c>
      <c r="J86" t="s">
        <v>87</v>
      </c>
      <c r="K86" s="176" t="s">
        <v>883</v>
      </c>
      <c r="L86"/>
      <c r="M86" s="58"/>
      <c r="N86" s="66" t="e">
        <f>IF(OR(AND(CodeFileListUsed="Yes",#REF!="",COUNTA(B86:B86,#REF!)&lt;&gt;0),AND(COUNTA(B86:B86,#REF!)&lt;&gt;0, COUNTA(B86:B86,#REF!)&lt;&gt;COUNTA(B$13:C$13,D$13:F$13))),CheckErr,CheckOK)</f>
        <v>#REF!</v>
      </c>
      <c r="O86" s="50" t="e">
        <f>IF(OR(ISBLANK(#REF!), AND(NOT(ISBLANK(#REF!)),OR(AND(#REF!="Accepted",OR(#REF!="Y",#REF!="y")),#REF!="Noted",#REF!="Duplicate",AND(#REF!="Rejected",NOT(ISBLANK(#REF!)))))),CheckOK,CheckErr)</f>
        <v>#REF!</v>
      </c>
      <c r="P86" s="50" t="str">
        <f>IF(OR(ISBLANK(#REF!),NOT(ISBLANK(#REF!))),CheckOK,CheckErr)</f>
        <v/>
      </c>
    </row>
    <row r="87" spans="1:16" ht="27">
      <c r="A87" s="57">
        <f t="shared" si="2"/>
        <v>74</v>
      </c>
      <c r="B87" s="68" t="s">
        <v>878</v>
      </c>
      <c r="C87" s="68" t="s">
        <v>800</v>
      </c>
      <c r="D87" s="68">
        <v>6.1</v>
      </c>
      <c r="E87" s="68" t="s">
        <v>801</v>
      </c>
      <c r="F87" s="152" t="s">
        <v>802</v>
      </c>
      <c r="G87"/>
      <c r="H87" s="177" t="s">
        <v>884</v>
      </c>
      <c r="I87" t="s">
        <v>894</v>
      </c>
      <c r="J87" s="176" t="s">
        <v>86</v>
      </c>
      <c r="K87"/>
      <c r="L87"/>
      <c r="M87" s="58"/>
      <c r="N87" s="66" t="e">
        <f>IF(OR(AND(CodeFileListUsed="Yes",#REF!="",COUNTA(B87:B87,#REF!)&lt;&gt;0),AND(COUNTA(B87:B87,#REF!)&lt;&gt;0, COUNTA(B87:B87,#REF!)&lt;&gt;COUNTA(B$13:C$13,D$13:F$13))),CheckErr,CheckOK)</f>
        <v>#REF!</v>
      </c>
      <c r="O87" s="50" t="e">
        <f>IF(OR(ISBLANK(#REF!), AND(NOT(ISBLANK(#REF!)),OR(AND(#REF!="Accepted",OR(#REF!="Y",#REF!="y")),#REF!="Noted",#REF!="Duplicate",AND(#REF!="Rejected",NOT(ISBLANK(#REF!)))))),CheckOK,CheckErr)</f>
        <v>#REF!</v>
      </c>
      <c r="P87" s="50" t="str">
        <f>IF(OR(ISBLANK(#REF!),NOT(ISBLANK(#REF!))),CheckOK,CheckErr)</f>
        <v/>
      </c>
    </row>
    <row r="88" spans="1:16" ht="40.5">
      <c r="A88" s="57">
        <f t="shared" si="2"/>
        <v>75</v>
      </c>
      <c r="B88" s="68" t="s">
        <v>878</v>
      </c>
      <c r="C88" s="68" t="s">
        <v>800</v>
      </c>
      <c r="D88" s="68" t="s">
        <v>803</v>
      </c>
      <c r="E88" s="68" t="s">
        <v>804</v>
      </c>
      <c r="F88" s="152" t="s">
        <v>805</v>
      </c>
      <c r="G88"/>
      <c r="H88" s="177" t="s">
        <v>884</v>
      </c>
      <c r="I88" s="4" t="s">
        <v>924</v>
      </c>
      <c r="J88" s="91" t="s">
        <v>87</v>
      </c>
      <c r="K88" s="91" t="s">
        <v>883</v>
      </c>
      <c r="L88"/>
      <c r="M88" s="58"/>
      <c r="N88" s="66" t="e">
        <f>IF(OR(AND(CodeFileListUsed="Yes",#REF!="",COUNTA(B88:B88,#REF!)&lt;&gt;0),AND(COUNTA(B88:B88,#REF!)&lt;&gt;0, COUNTA(B88:B88,#REF!)&lt;&gt;COUNTA(B$13:C$13,D$13:F$13))),CheckErr,CheckOK)</f>
        <v>#REF!</v>
      </c>
      <c r="O88" s="50" t="e">
        <f>IF(OR(ISBLANK(#REF!), AND(NOT(ISBLANK(#REF!)),OR(AND(#REF!="Accepted",OR(#REF!="Y",#REF!="y")),#REF!="Noted",#REF!="Duplicate",AND(#REF!="Rejected",NOT(ISBLANK(#REF!)))))),CheckOK,CheckErr)</f>
        <v>#REF!</v>
      </c>
      <c r="P88" s="50" t="str">
        <f>IF(OR(ISBLANK(#REF!),NOT(ISBLANK(#REF!))),CheckOK,CheckErr)</f>
        <v/>
      </c>
    </row>
    <row r="89" spans="1:16">
      <c r="A89" s="57">
        <f t="shared" si="2"/>
        <v>76</v>
      </c>
      <c r="B89" s="68" t="s">
        <v>878</v>
      </c>
      <c r="C89" s="68" t="s">
        <v>806</v>
      </c>
      <c r="D89" s="68" t="s">
        <v>807</v>
      </c>
      <c r="E89" s="68" t="s">
        <v>808</v>
      </c>
      <c r="F89" s="152" t="s">
        <v>809</v>
      </c>
      <c r="G89"/>
      <c r="H89" s="177" t="s">
        <v>884</v>
      </c>
      <c r="I89" t="s">
        <v>885</v>
      </c>
      <c r="J89" t="s">
        <v>87</v>
      </c>
      <c r="K89" s="176" t="s">
        <v>883</v>
      </c>
      <c r="L89"/>
      <c r="M89" s="58"/>
      <c r="N89" s="66" t="e">
        <f>IF(OR(AND(CodeFileListUsed="Yes",#REF!="",COUNTA(B89:B89,#REF!)&lt;&gt;0),AND(COUNTA(B89:B89,#REF!)&lt;&gt;0, COUNTA(B89:B89,#REF!)&lt;&gt;COUNTA(B$13:C$13,D$13:F$13))),CheckErr,CheckOK)</f>
        <v>#REF!</v>
      </c>
      <c r="O89" s="50" t="e">
        <f>IF(OR(ISBLANK(#REF!), AND(NOT(ISBLANK(#REF!)),OR(AND(#REF!="Accepted",OR(#REF!="Y",#REF!="y")),#REF!="Noted",#REF!="Duplicate",AND(#REF!="Rejected",NOT(ISBLANK(#REF!)))))),CheckOK,CheckErr)</f>
        <v>#REF!</v>
      </c>
      <c r="P89" s="50" t="str">
        <f>IF(OR(ISBLANK(#REF!),NOT(ISBLANK(#REF!))),CheckOK,CheckErr)</f>
        <v/>
      </c>
    </row>
    <row r="90" spans="1:16" ht="54">
      <c r="A90" s="57">
        <f t="shared" si="2"/>
        <v>77</v>
      </c>
      <c r="B90" s="68" t="s">
        <v>878</v>
      </c>
      <c r="C90" s="68" t="s">
        <v>810</v>
      </c>
      <c r="D90" s="68" t="s">
        <v>811</v>
      </c>
      <c r="E90" s="68" t="s">
        <v>812</v>
      </c>
      <c r="F90" s="152" t="s">
        <v>813</v>
      </c>
      <c r="G90"/>
      <c r="H90" s="177" t="s">
        <v>884</v>
      </c>
      <c r="I90" t="s">
        <v>897</v>
      </c>
      <c r="J90" t="s">
        <v>87</v>
      </c>
      <c r="K90" s="176" t="s">
        <v>883</v>
      </c>
      <c r="L90"/>
      <c r="M90" s="58"/>
      <c r="N90" s="66" t="e">
        <f>IF(OR(AND(CodeFileListUsed="Yes",#REF!="",COUNTA(B90:B90,#REF!)&lt;&gt;0),AND(COUNTA(B90:B90,#REF!)&lt;&gt;0, COUNTA(B90:B90,#REF!)&lt;&gt;COUNTA(B$13:C$13,D$13:F$13))),CheckErr,CheckOK)</f>
        <v>#REF!</v>
      </c>
      <c r="O90" s="50" t="e">
        <f>IF(OR(ISBLANK(#REF!), AND(NOT(ISBLANK(#REF!)),OR(AND(#REF!="Accepted",OR(#REF!="Y",#REF!="y")),#REF!="Noted",#REF!="Duplicate",AND(#REF!="Rejected",NOT(ISBLANK(#REF!)))))),CheckOK,CheckErr)</f>
        <v>#REF!</v>
      </c>
      <c r="P90" s="50" t="str">
        <f>IF(OR(ISBLANK(#REF!),NOT(ISBLANK(#REF!))),CheckOK,CheckErr)</f>
        <v/>
      </c>
    </row>
    <row r="91" spans="1:16" ht="81">
      <c r="A91" s="57">
        <f t="shared" si="2"/>
        <v>78</v>
      </c>
      <c r="B91" s="68" t="s">
        <v>878</v>
      </c>
      <c r="C91" s="68" t="s">
        <v>814</v>
      </c>
      <c r="D91" s="68" t="s">
        <v>811</v>
      </c>
      <c r="E91" s="68" t="s">
        <v>815</v>
      </c>
      <c r="F91" s="152" t="s">
        <v>816</v>
      </c>
      <c r="G91"/>
      <c r="H91" s="177" t="s">
        <v>884</v>
      </c>
      <c r="I91" s="3" t="s">
        <v>896</v>
      </c>
      <c r="J91" t="s">
        <v>86</v>
      </c>
      <c r="K91"/>
      <c r="L91"/>
      <c r="M91" s="58"/>
      <c r="N91" s="66" t="e">
        <f>IF(OR(AND(CodeFileListUsed="Yes",#REF!="",COUNTA(B91:B91,#REF!)&lt;&gt;0),AND(COUNTA(B91:B91,#REF!)&lt;&gt;0, COUNTA(B91:B91,#REF!)&lt;&gt;COUNTA(B$13:C$13,D$13:F$13))),CheckErr,CheckOK)</f>
        <v>#REF!</v>
      </c>
      <c r="O91" s="50" t="e">
        <f>IF(OR(ISBLANK(#REF!), AND(NOT(ISBLANK(#REF!)),OR(AND(#REF!="Accepted",OR(#REF!="Y",#REF!="y")),#REF!="Noted",#REF!="Duplicate",AND(#REF!="Rejected",NOT(ISBLANK(#REF!)))))),CheckOK,CheckErr)</f>
        <v>#REF!</v>
      </c>
      <c r="P91" s="50" t="str">
        <f>IF(OR(ISBLANK(#REF!),NOT(ISBLANK(#REF!))),CheckOK,CheckErr)</f>
        <v/>
      </c>
    </row>
    <row r="92" spans="1:16" ht="27">
      <c r="A92" s="57">
        <f t="shared" si="2"/>
        <v>79</v>
      </c>
      <c r="B92" s="68" t="s">
        <v>878</v>
      </c>
      <c r="C92" s="68" t="s">
        <v>817</v>
      </c>
      <c r="D92" s="68" t="s">
        <v>811</v>
      </c>
      <c r="E92" s="68" t="s">
        <v>818</v>
      </c>
      <c r="F92" s="152" t="s">
        <v>819</v>
      </c>
      <c r="G92"/>
      <c r="H92" s="177" t="s">
        <v>884</v>
      </c>
      <c r="I92" t="s">
        <v>885</v>
      </c>
      <c r="J92" t="s">
        <v>87</v>
      </c>
      <c r="K92" s="176" t="s">
        <v>883</v>
      </c>
      <c r="L92"/>
      <c r="M92" s="58"/>
      <c r="N92" s="66" t="e">
        <f>IF(OR(AND(CodeFileListUsed="Yes",#REF!="",COUNTA(B92:B92,#REF!)&lt;&gt;0),AND(COUNTA(B92:B92,#REF!)&lt;&gt;0, COUNTA(B92:B92,#REF!)&lt;&gt;COUNTA(B$13:C$13,D$13:F$13))),CheckErr,CheckOK)</f>
        <v>#REF!</v>
      </c>
      <c r="O92" s="50" t="e">
        <f>IF(OR(ISBLANK(#REF!), AND(NOT(ISBLANK(#REF!)),OR(AND(#REF!="Accepted",OR(#REF!="Y",#REF!="y")),#REF!="Noted",#REF!="Duplicate",AND(#REF!="Rejected",NOT(ISBLANK(#REF!)))))),CheckOK,CheckErr)</f>
        <v>#REF!</v>
      </c>
      <c r="P92" s="50" t="str">
        <f>IF(OR(ISBLANK(#REF!),NOT(ISBLANK(#REF!))),CheckOK,CheckErr)</f>
        <v/>
      </c>
    </row>
    <row r="93" spans="1:16">
      <c r="A93" s="57">
        <f t="shared" si="2"/>
        <v>80</v>
      </c>
      <c r="B93" s="68" t="s">
        <v>878</v>
      </c>
      <c r="C93" s="68" t="s">
        <v>820</v>
      </c>
      <c r="D93" s="68" t="s">
        <v>821</v>
      </c>
      <c r="E93" s="68" t="s">
        <v>822</v>
      </c>
      <c r="F93" s="152" t="s">
        <v>823</v>
      </c>
      <c r="G93"/>
      <c r="H93" s="177" t="s">
        <v>884</v>
      </c>
      <c r="I93" t="s">
        <v>891</v>
      </c>
      <c r="J93" s="176" t="s">
        <v>86</v>
      </c>
      <c r="K93"/>
      <c r="L93"/>
      <c r="M93" s="58"/>
      <c r="N93" s="66" t="e">
        <f>IF(OR(AND(CodeFileListUsed="Yes",#REF!="",COUNTA(B93:B93,#REF!)&lt;&gt;0),AND(COUNTA(B93:B93,#REF!)&lt;&gt;0, COUNTA(B93:B93,#REF!)&lt;&gt;COUNTA(B$13:C$13,D$13:F$13))),CheckErr,CheckOK)</f>
        <v>#REF!</v>
      </c>
      <c r="O93" s="50" t="e">
        <f>IF(OR(ISBLANK(#REF!), AND(NOT(ISBLANK(#REF!)),OR(AND(#REF!="Accepted",OR(#REF!="Y",#REF!="y")),#REF!="Noted",#REF!="Duplicate",AND(#REF!="Rejected",NOT(ISBLANK(#REF!)))))),CheckOK,CheckErr)</f>
        <v>#REF!</v>
      </c>
      <c r="P93" s="50" t="str">
        <f>IF(OR(ISBLANK(#REF!),NOT(ISBLANK(#REF!))),CheckOK,CheckErr)</f>
        <v/>
      </c>
    </row>
    <row r="94" spans="1:16">
      <c r="A94" s="57">
        <f t="shared" si="2"/>
        <v>81</v>
      </c>
      <c r="B94" s="68" t="s">
        <v>878</v>
      </c>
      <c r="C94" s="68" t="s">
        <v>824</v>
      </c>
      <c r="D94" s="68" t="s">
        <v>825</v>
      </c>
      <c r="E94" s="68" t="s">
        <v>688</v>
      </c>
      <c r="F94" s="152" t="s">
        <v>826</v>
      </c>
      <c r="G94"/>
      <c r="H94"/>
      <c r="I94"/>
      <c r="J94" t="s">
        <v>85</v>
      </c>
      <c r="K94" t="s">
        <v>883</v>
      </c>
      <c r="L94"/>
      <c r="M94" s="58"/>
      <c r="N94" s="66" t="e">
        <f>IF(OR(AND(CodeFileListUsed="Yes",#REF!="",COUNTA(B94:B94,#REF!)&lt;&gt;0),AND(COUNTA(B94:B94,#REF!)&lt;&gt;0, COUNTA(B94:B94,#REF!)&lt;&gt;COUNTA(B$13:C$13,D$13:F$13))),CheckErr,CheckOK)</f>
        <v>#REF!</v>
      </c>
      <c r="O94" s="50" t="e">
        <f>IF(OR(ISBLANK(#REF!), AND(NOT(ISBLANK(#REF!)),OR(AND(#REF!="Accepted",OR(#REF!="Y",#REF!="y")),#REF!="Noted",#REF!="Duplicate",AND(#REF!="Rejected",NOT(ISBLANK(#REF!)))))),CheckOK,CheckErr)</f>
        <v>#REF!</v>
      </c>
      <c r="P94" s="50" t="str">
        <f>IF(OR(ISBLANK(#REF!),NOT(ISBLANK(#REF!))),CheckOK,CheckErr)</f>
        <v/>
      </c>
    </row>
    <row r="95" spans="1:16" ht="27">
      <c r="A95" s="57">
        <f t="shared" si="2"/>
        <v>82</v>
      </c>
      <c r="B95" s="68" t="s">
        <v>878</v>
      </c>
      <c r="C95" s="68" t="s">
        <v>827</v>
      </c>
      <c r="D95" s="68" t="s">
        <v>828</v>
      </c>
      <c r="E95" s="68" t="s">
        <v>829</v>
      </c>
      <c r="F95" s="152" t="s">
        <v>830</v>
      </c>
      <c r="G95"/>
      <c r="H95" s="177" t="s">
        <v>884</v>
      </c>
      <c r="I95" s="91" t="s">
        <v>890</v>
      </c>
      <c r="J95" s="178" t="s">
        <v>86</v>
      </c>
      <c r="K95"/>
      <c r="L95"/>
      <c r="M95" s="58"/>
      <c r="N95" s="66" t="e">
        <f>IF(OR(AND(CodeFileListUsed="Yes",#REF!="",COUNTA(B95:B95,#REF!)&lt;&gt;0),AND(COUNTA(B95:B95,#REF!)&lt;&gt;0, COUNTA(B95:B95,#REF!)&lt;&gt;COUNTA(B$13:C$13,D$13:F$13))),CheckErr,CheckOK)</f>
        <v>#REF!</v>
      </c>
      <c r="O95" s="50" t="e">
        <f>IF(OR(ISBLANK(#REF!), AND(NOT(ISBLANK(#REF!)),OR(AND(#REF!="Accepted",OR(#REF!="Y",#REF!="y")),#REF!="Noted",#REF!="Duplicate",AND(#REF!="Rejected",NOT(ISBLANK(#REF!)))))),CheckOK,CheckErr)</f>
        <v>#REF!</v>
      </c>
      <c r="P95" s="50" t="str">
        <f>IF(OR(ISBLANK(#REF!),NOT(ISBLANK(#REF!))),CheckOK,CheckErr)</f>
        <v/>
      </c>
    </row>
    <row r="96" spans="1:16" ht="54">
      <c r="A96" s="57">
        <f t="shared" si="2"/>
        <v>83</v>
      </c>
      <c r="B96" s="68" t="s">
        <v>878</v>
      </c>
      <c r="C96" s="68" t="s">
        <v>831</v>
      </c>
      <c r="D96" s="68" t="s">
        <v>832</v>
      </c>
      <c r="E96" s="68" t="s">
        <v>833</v>
      </c>
      <c r="F96" s="152" t="s">
        <v>834</v>
      </c>
      <c r="G96"/>
      <c r="H96" s="177" t="s">
        <v>884</v>
      </c>
      <c r="I96" t="s">
        <v>885</v>
      </c>
      <c r="J96" t="s">
        <v>87</v>
      </c>
      <c r="K96" s="176" t="s">
        <v>883</v>
      </c>
      <c r="L96"/>
      <c r="M96" s="58"/>
      <c r="N96" s="66" t="e">
        <f>IF(OR(AND(CodeFileListUsed="Yes",#REF!="",COUNTA(B96:B96,#REF!)&lt;&gt;0),AND(COUNTA(B96:B96,#REF!)&lt;&gt;0, COUNTA(B96:B96,#REF!)&lt;&gt;COUNTA(B$13:C$13,D$13:F$13))),CheckErr,CheckOK)</f>
        <v>#REF!</v>
      </c>
      <c r="O96" s="50" t="e">
        <f>IF(OR(ISBLANK(#REF!), AND(NOT(ISBLANK(#REF!)),OR(AND(#REF!="Accepted",OR(#REF!="Y",#REF!="y")),#REF!="Noted",#REF!="Duplicate",AND(#REF!="Rejected",NOT(ISBLANK(#REF!)))))),CheckOK,CheckErr)</f>
        <v>#REF!</v>
      </c>
      <c r="P96" s="50" t="str">
        <f>IF(OR(ISBLANK(#REF!),NOT(ISBLANK(#REF!))),CheckOK,CheckErr)</f>
        <v/>
      </c>
    </row>
    <row r="97" spans="1:16">
      <c r="A97" s="57">
        <f t="shared" si="2"/>
        <v>84</v>
      </c>
      <c r="B97" s="68" t="s">
        <v>878</v>
      </c>
      <c r="C97" s="68" t="s">
        <v>835</v>
      </c>
      <c r="D97" s="68">
        <v>7</v>
      </c>
      <c r="E97" s="68" t="s">
        <v>836</v>
      </c>
      <c r="F97" s="152" t="s">
        <v>837</v>
      </c>
      <c r="G97"/>
      <c r="H97" s="177" t="s">
        <v>884</v>
      </c>
      <c r="I97" t="s">
        <v>885</v>
      </c>
      <c r="J97" t="s">
        <v>87</v>
      </c>
      <c r="K97" s="176" t="s">
        <v>883</v>
      </c>
      <c r="L97"/>
      <c r="M97" s="58"/>
      <c r="N97" s="66" t="e">
        <f>IF(OR(AND(CodeFileListUsed="Yes",#REF!="",COUNTA(B97:B97,#REF!)&lt;&gt;0),AND(COUNTA(B97:B97,#REF!)&lt;&gt;0, COUNTA(B97:B97,#REF!)&lt;&gt;COUNTA(B$13:C$13,D$13:F$13))),CheckErr,CheckOK)</f>
        <v>#REF!</v>
      </c>
      <c r="O97" s="50" t="e">
        <f>IF(OR(ISBLANK(#REF!), AND(NOT(ISBLANK(#REF!)),OR(AND(#REF!="Accepted",OR(#REF!="Y",#REF!="y")),#REF!="Noted",#REF!="Duplicate",AND(#REF!="Rejected",NOT(ISBLANK(#REF!)))))),CheckOK,CheckErr)</f>
        <v>#REF!</v>
      </c>
      <c r="P97" s="50" t="str">
        <f>IF(OR(ISBLANK(#REF!),NOT(ISBLANK(#REF!))),CheckOK,CheckErr)</f>
        <v/>
      </c>
    </row>
    <row r="98" spans="1:16" ht="40.5">
      <c r="A98" s="57">
        <f t="shared" si="2"/>
        <v>85</v>
      </c>
      <c r="B98" s="68" t="s">
        <v>878</v>
      </c>
      <c r="C98" s="68" t="s">
        <v>838</v>
      </c>
      <c r="D98" s="68" t="s">
        <v>839</v>
      </c>
      <c r="E98" s="68" t="s">
        <v>840</v>
      </c>
      <c r="F98" s="152" t="s">
        <v>841</v>
      </c>
      <c r="G98"/>
      <c r="H98" s="177" t="s">
        <v>884</v>
      </c>
      <c r="I98" t="s">
        <v>885</v>
      </c>
      <c r="J98" t="s">
        <v>87</v>
      </c>
      <c r="K98" s="176" t="s">
        <v>883</v>
      </c>
      <c r="L98"/>
      <c r="M98" s="58"/>
      <c r="N98" s="66" t="e">
        <f>IF(OR(AND(CodeFileListUsed="Yes",#REF!="",COUNTA(B98:B98,#REF!)&lt;&gt;0),AND(COUNTA(B98:B98,#REF!)&lt;&gt;0, COUNTA(B98:B98,#REF!)&lt;&gt;COUNTA(B$13:C$13,D$13:F$13))),CheckErr,CheckOK)</f>
        <v>#REF!</v>
      </c>
      <c r="O98" s="50" t="e">
        <f>IF(OR(ISBLANK(#REF!), AND(NOT(ISBLANK(#REF!)),OR(AND(#REF!="Accepted",OR(#REF!="Y",#REF!="y")),#REF!="Noted",#REF!="Duplicate",AND(#REF!="Rejected",NOT(ISBLANK(#REF!)))))),CheckOK,CheckErr)</f>
        <v>#REF!</v>
      </c>
      <c r="P98" s="50" t="str">
        <f>IF(OR(ISBLANK(#REF!),NOT(ISBLANK(#REF!))),CheckOK,CheckErr)</f>
        <v/>
      </c>
    </row>
    <row r="99" spans="1:16" ht="27">
      <c r="A99" s="57">
        <f t="shared" si="2"/>
        <v>86</v>
      </c>
      <c r="B99" s="68" t="s">
        <v>878</v>
      </c>
      <c r="C99" s="68" t="s">
        <v>842</v>
      </c>
      <c r="D99" s="68" t="s">
        <v>843</v>
      </c>
      <c r="E99" s="68" t="s">
        <v>844</v>
      </c>
      <c r="F99" s="152" t="s">
        <v>845</v>
      </c>
      <c r="G99"/>
      <c r="H99" s="177" t="s">
        <v>884</v>
      </c>
      <c r="I99" t="s">
        <v>888</v>
      </c>
      <c r="J99" t="s">
        <v>87</v>
      </c>
      <c r="K99" s="176" t="s">
        <v>883</v>
      </c>
      <c r="L99"/>
      <c r="M99" s="58"/>
      <c r="N99" s="66" t="e">
        <f>IF(OR(AND(CodeFileListUsed="Yes",#REF!="",COUNTA(B99:B99,#REF!)&lt;&gt;0),AND(COUNTA(B99:B99,#REF!)&lt;&gt;0, COUNTA(B99:B99,#REF!)&lt;&gt;COUNTA(B$13:C$13,D$13:F$13))),CheckErr,CheckOK)</f>
        <v>#REF!</v>
      </c>
      <c r="O99" s="50" t="e">
        <f>IF(OR(ISBLANK(#REF!), AND(NOT(ISBLANK(#REF!)),OR(AND(#REF!="Accepted",OR(#REF!="Y",#REF!="y")),#REF!="Noted",#REF!="Duplicate",AND(#REF!="Rejected",NOT(ISBLANK(#REF!)))))),CheckOK,CheckErr)</f>
        <v>#REF!</v>
      </c>
      <c r="P99" s="50" t="str">
        <f>IF(OR(ISBLANK(#REF!),NOT(ISBLANK(#REF!))),CheckOK,CheckErr)</f>
        <v/>
      </c>
    </row>
    <row r="100" spans="1:16" ht="40.5">
      <c r="A100" s="57">
        <f t="shared" si="2"/>
        <v>87</v>
      </c>
      <c r="B100" s="68" t="s">
        <v>878</v>
      </c>
      <c r="C100" s="68" t="s">
        <v>846</v>
      </c>
      <c r="D100" s="68">
        <v>7.1</v>
      </c>
      <c r="E100" s="68" t="s">
        <v>847</v>
      </c>
      <c r="F100" s="152" t="s">
        <v>848</v>
      </c>
      <c r="G100"/>
      <c r="H100" s="177" t="s">
        <v>884</v>
      </c>
      <c r="I100" s="3" t="s">
        <v>893</v>
      </c>
      <c r="J100" t="s">
        <v>86</v>
      </c>
      <c r="K100"/>
      <c r="L100"/>
      <c r="M100" s="58"/>
      <c r="N100" s="66" t="e">
        <f>IF(OR(AND(CodeFileListUsed="Yes",#REF!="",COUNTA(B100:B100,#REF!)&lt;&gt;0),AND(COUNTA(B100:B100,#REF!)&lt;&gt;0, COUNTA(B100:B100,#REF!)&lt;&gt;COUNTA(B$13:C$13,D$13:F$13))),CheckErr,CheckOK)</f>
        <v>#REF!</v>
      </c>
      <c r="O100" s="50" t="e">
        <f>IF(OR(ISBLANK(#REF!), AND(NOT(ISBLANK(#REF!)),OR(AND(#REF!="Accepted",OR(#REF!="Y",#REF!="y")),#REF!="Noted",#REF!="Duplicate",AND(#REF!="Rejected",NOT(ISBLANK(#REF!)))))),CheckOK,CheckErr)</f>
        <v>#REF!</v>
      </c>
      <c r="P100" s="50" t="str">
        <f>IF(OR(ISBLANK(#REF!),NOT(ISBLANK(#REF!))),CheckOK,CheckErr)</f>
        <v/>
      </c>
    </row>
    <row r="101" spans="1:16">
      <c r="A101" s="57">
        <f t="shared" si="2"/>
        <v>88</v>
      </c>
      <c r="B101" s="68" t="s">
        <v>878</v>
      </c>
      <c r="C101" s="68" t="s">
        <v>849</v>
      </c>
      <c r="D101" s="68">
        <v>7.1</v>
      </c>
      <c r="E101" s="68" t="s">
        <v>850</v>
      </c>
      <c r="F101" s="152" t="s">
        <v>851</v>
      </c>
      <c r="G101"/>
      <c r="H101" s="177" t="s">
        <v>884</v>
      </c>
      <c r="I101" t="s">
        <v>887</v>
      </c>
      <c r="J101" t="s">
        <v>87</v>
      </c>
      <c r="K101" s="176" t="s">
        <v>883</v>
      </c>
      <c r="L101"/>
      <c r="M101" s="58"/>
      <c r="N101" s="66" t="e">
        <f>IF(OR(AND(CodeFileListUsed="Yes",#REF!="",COUNTA(B101:B101,#REF!)&lt;&gt;0),AND(COUNTA(B101:B101,#REF!)&lt;&gt;0, COUNTA(B101:B101,#REF!)&lt;&gt;COUNTA(B$13:C$13,D$13:F$13))),CheckErr,CheckOK)</f>
        <v>#REF!</v>
      </c>
      <c r="O101" s="50" t="e">
        <f>IF(OR(ISBLANK(#REF!), AND(NOT(ISBLANK(#REF!)),OR(AND(#REF!="Accepted",OR(#REF!="Y",#REF!="y")),#REF!="Noted",#REF!="Duplicate",AND(#REF!="Rejected",NOT(ISBLANK(#REF!)))))),CheckOK,CheckErr)</f>
        <v>#REF!</v>
      </c>
      <c r="P101" s="50" t="str">
        <f>IF(OR(ISBLANK(#REF!),NOT(ISBLANK(#REF!))),CheckOK,CheckErr)</f>
        <v/>
      </c>
    </row>
    <row r="102" spans="1:16" ht="40.5">
      <c r="A102" s="57">
        <f t="shared" si="2"/>
        <v>89</v>
      </c>
      <c r="B102" s="68" t="s">
        <v>878</v>
      </c>
      <c r="C102" s="68" t="s">
        <v>852</v>
      </c>
      <c r="D102" s="68">
        <v>7.1</v>
      </c>
      <c r="E102" s="68" t="s">
        <v>853</v>
      </c>
      <c r="F102" s="152" t="s">
        <v>854</v>
      </c>
      <c r="G102"/>
      <c r="H102" s="177" t="s">
        <v>884</v>
      </c>
      <c r="I102" s="3" t="s">
        <v>892</v>
      </c>
      <c r="J102" t="s">
        <v>87</v>
      </c>
      <c r="K102" s="176" t="s">
        <v>883</v>
      </c>
      <c r="L102"/>
      <c r="M102" s="58"/>
      <c r="N102" s="66" t="e">
        <f>IF(OR(AND(CodeFileListUsed="Yes",#REF!="",COUNTA(B102:B102,#REF!)&lt;&gt;0),AND(COUNTA(B102:B102,#REF!)&lt;&gt;0, COUNTA(B102:B102,#REF!)&lt;&gt;COUNTA(B$13:C$13,D$13:F$13))),CheckErr,CheckOK)</f>
        <v>#REF!</v>
      </c>
      <c r="O102" s="50" t="e">
        <f>IF(OR(ISBLANK(#REF!), AND(NOT(ISBLANK(#REF!)),OR(AND(#REF!="Accepted",OR(#REF!="Y",#REF!="y")),#REF!="Noted",#REF!="Duplicate",AND(#REF!="Rejected",NOT(ISBLANK(#REF!)))))),CheckOK,CheckErr)</f>
        <v>#REF!</v>
      </c>
      <c r="P102" s="50" t="str">
        <f>IF(OR(ISBLANK(#REF!),NOT(ISBLANK(#REF!))),CheckOK,CheckErr)</f>
        <v/>
      </c>
    </row>
    <row r="103" spans="1:16" ht="27">
      <c r="A103" s="57">
        <f t="shared" si="2"/>
        <v>90</v>
      </c>
      <c r="B103" s="68" t="s">
        <v>878</v>
      </c>
      <c r="C103" s="68" t="s">
        <v>855</v>
      </c>
      <c r="D103" s="68" t="s">
        <v>856</v>
      </c>
      <c r="E103" s="68" t="s">
        <v>857</v>
      </c>
      <c r="F103" s="152" t="s">
        <v>858</v>
      </c>
      <c r="G103"/>
      <c r="H103" s="177" t="s">
        <v>884</v>
      </c>
      <c r="I103" s="91" t="s">
        <v>885</v>
      </c>
      <c r="J103" s="91" t="s">
        <v>87</v>
      </c>
      <c r="K103" s="178" t="s">
        <v>883</v>
      </c>
      <c r="L103"/>
      <c r="M103" s="58"/>
      <c r="N103" s="66" t="e">
        <f>IF(OR(AND(CodeFileListUsed="Yes",#REF!="",COUNTA(B103:B103,#REF!)&lt;&gt;0),AND(COUNTA(B103:B103,#REF!)&lt;&gt;0, COUNTA(B103:B103,#REF!)&lt;&gt;COUNTA(B$13:C$13,D$13:F$13))),CheckErr,CheckOK)</f>
        <v>#REF!</v>
      </c>
      <c r="O103" s="50" t="e">
        <f>IF(OR(ISBLANK(#REF!), AND(NOT(ISBLANK(#REF!)),OR(AND(#REF!="Accepted",OR(#REF!="Y",#REF!="y")),#REF!="Noted",#REF!="Duplicate",AND(#REF!="Rejected",NOT(ISBLANK(#REF!)))))),CheckOK,CheckErr)</f>
        <v>#REF!</v>
      </c>
      <c r="P103" s="50" t="str">
        <f>IF(OR(ISBLANK(#REF!),NOT(ISBLANK(#REF!))),CheckOK,CheckErr)</f>
        <v/>
      </c>
    </row>
    <row r="104" spans="1:16" ht="27">
      <c r="A104" s="57">
        <f t="shared" si="2"/>
        <v>91</v>
      </c>
      <c r="B104" s="68" t="s">
        <v>878</v>
      </c>
      <c r="C104" s="68" t="s">
        <v>859</v>
      </c>
      <c r="D104" s="68" t="s">
        <v>860</v>
      </c>
      <c r="E104" s="68" t="s">
        <v>861</v>
      </c>
      <c r="F104" s="152" t="s">
        <v>862</v>
      </c>
      <c r="G104"/>
      <c r="H104" s="177" t="s">
        <v>884</v>
      </c>
      <c r="I104" s="91" t="s">
        <v>887</v>
      </c>
      <c r="J104" t="s">
        <v>87</v>
      </c>
      <c r="K104" s="176" t="s">
        <v>883</v>
      </c>
      <c r="L104"/>
      <c r="M104" s="58"/>
      <c r="N104" s="66" t="e">
        <f>IF(OR(AND(CodeFileListUsed="Yes",#REF!="",COUNTA(B104:B104,#REF!)&lt;&gt;0),AND(COUNTA(B104:B104,#REF!)&lt;&gt;0, COUNTA(B104:B104,#REF!)&lt;&gt;COUNTA(B$13:C$13,D$13:F$13))),CheckErr,CheckOK)</f>
        <v>#REF!</v>
      </c>
      <c r="O104" s="50" t="e">
        <f>IF(OR(ISBLANK(#REF!), AND(NOT(ISBLANK(#REF!)),OR(AND(#REF!="Accepted",OR(#REF!="Y",#REF!="y")),#REF!="Noted",#REF!="Duplicate",AND(#REF!="Rejected",NOT(ISBLANK(#REF!)))))),CheckOK,CheckErr)</f>
        <v>#REF!</v>
      </c>
      <c r="P104" s="50" t="str">
        <f>IF(OR(ISBLANK(#REF!),NOT(ISBLANK(#REF!))),CheckOK,CheckErr)</f>
        <v/>
      </c>
    </row>
    <row r="105" spans="1:16" ht="81">
      <c r="A105" s="57">
        <f t="shared" si="2"/>
        <v>92</v>
      </c>
      <c r="B105" s="68" t="s">
        <v>878</v>
      </c>
      <c r="C105" s="68" t="s">
        <v>863</v>
      </c>
      <c r="D105" s="68" t="s">
        <v>864</v>
      </c>
      <c r="E105" s="68" t="s">
        <v>865</v>
      </c>
      <c r="F105" s="152" t="s">
        <v>866</v>
      </c>
      <c r="G105"/>
      <c r="H105"/>
      <c r="I105" s="2" t="s">
        <v>1046</v>
      </c>
      <c r="J105"/>
      <c r="K105"/>
      <c r="L105"/>
      <c r="M105" s="58"/>
      <c r="N105" s="66" t="e">
        <f>IF(OR(AND(CodeFileListUsed="Yes",#REF!="",COUNTA(B105:B105,#REF!)&lt;&gt;0),AND(COUNTA(B105:B105,#REF!)&lt;&gt;0, COUNTA(B105:B105,#REF!)&lt;&gt;COUNTA(B$13:C$13,D$13:F$13))),CheckErr,CheckOK)</f>
        <v>#REF!</v>
      </c>
      <c r="O105" s="50" t="e">
        <f>IF(OR(ISBLANK(#REF!), AND(NOT(ISBLANK(#REF!)),OR(AND(#REF!="Accepted",OR(#REF!="Y",#REF!="y")),#REF!="Noted",#REF!="Duplicate",AND(#REF!="Rejected",NOT(ISBLANK(#REF!)))))),CheckOK,CheckErr)</f>
        <v>#REF!</v>
      </c>
      <c r="P105" s="50" t="str">
        <f>IF(OR(ISBLANK(#REF!),NOT(ISBLANK(#REF!))),CheckOK,CheckErr)</f>
        <v/>
      </c>
    </row>
    <row r="106" spans="1:16" ht="40.5">
      <c r="A106" s="57">
        <f t="shared" si="2"/>
        <v>93</v>
      </c>
      <c r="B106" s="68" t="s">
        <v>878</v>
      </c>
      <c r="C106" s="68" t="s">
        <v>867</v>
      </c>
      <c r="D106" s="68" t="s">
        <v>688</v>
      </c>
      <c r="E106" s="68" t="s">
        <v>705</v>
      </c>
      <c r="F106" s="152" t="s">
        <v>868</v>
      </c>
      <c r="G106"/>
      <c r="H106"/>
      <c r="I106"/>
      <c r="J106" t="s">
        <v>85</v>
      </c>
      <c r="K106" t="s">
        <v>883</v>
      </c>
      <c r="L106"/>
      <c r="M106" s="58"/>
      <c r="N106" s="66" t="e">
        <f>IF(OR(AND(CodeFileListUsed="Yes",#REF!="",COUNTA(B106:B106,#REF!)&lt;&gt;0),AND(COUNTA(B106:B106,#REF!)&lt;&gt;0, COUNTA(B106:B106,#REF!)&lt;&gt;COUNTA(B$13:C$13,D$13:F$13))),CheckErr,CheckOK)</f>
        <v>#REF!</v>
      </c>
      <c r="O106" s="50" t="e">
        <f>IF(OR(ISBLANK(#REF!), AND(NOT(ISBLANK(#REF!)),OR(AND(#REF!="Accepted",OR(#REF!="Y",#REF!="y")),#REF!="Noted",#REF!="Duplicate",AND(#REF!="Rejected",NOT(ISBLANK(#REF!)))))),CheckOK,CheckErr)</f>
        <v>#REF!</v>
      </c>
      <c r="P106" s="50" t="str">
        <f>IF(OR(ISBLANK(#REF!),NOT(ISBLANK(#REF!))),CheckOK,CheckErr)</f>
        <v/>
      </c>
    </row>
    <row r="107" spans="1:16" ht="27">
      <c r="A107" s="57">
        <f t="shared" si="2"/>
        <v>94</v>
      </c>
      <c r="B107" s="68" t="s">
        <v>879</v>
      </c>
      <c r="C107" s="68" t="s">
        <v>926</v>
      </c>
      <c r="D107" s="68" t="s">
        <v>869</v>
      </c>
      <c r="E107" s="68">
        <v>1</v>
      </c>
      <c r="F107" s="152" t="s">
        <v>870</v>
      </c>
      <c r="G107"/>
      <c r="H107" s="177" t="s">
        <v>884</v>
      </c>
      <c r="I107" s="4" t="s">
        <v>882</v>
      </c>
      <c r="J107" t="s">
        <v>87</v>
      </c>
      <c r="K107" s="176" t="s">
        <v>883</v>
      </c>
      <c r="L107"/>
      <c r="M107" s="58"/>
      <c r="N107" s="66" t="e">
        <f>IF(OR(AND(CodeFileListUsed="Yes",#REF!="",COUNTA(B107:B107,#REF!)&lt;&gt;0),AND(COUNTA(B107:B107,#REF!)&lt;&gt;0, COUNTA(B107:B107,#REF!)&lt;&gt;COUNTA(B$13:C$13,D$13:F$13))),CheckErr,CheckOK)</f>
        <v>#REF!</v>
      </c>
      <c r="O107" s="50" t="e">
        <f>IF(OR(ISBLANK(#REF!), AND(NOT(ISBLANK(#REF!)),OR(AND(#REF!="Accepted",OR(#REF!="Y",#REF!="y")),#REF!="Noted",#REF!="Duplicate",AND(#REF!="Rejected",NOT(ISBLANK(#REF!)))))),CheckOK,CheckErr)</f>
        <v>#REF!</v>
      </c>
      <c r="P107" s="50" t="str">
        <f>IF(OR(ISBLANK(#REF!),NOT(ISBLANK(#REF!))),CheckOK,CheckErr)</f>
        <v/>
      </c>
    </row>
    <row r="108" spans="1:16" ht="54">
      <c r="A108" s="57">
        <f t="shared" si="2"/>
        <v>95</v>
      </c>
      <c r="B108" s="68" t="s">
        <v>884</v>
      </c>
      <c r="C108" s="68" t="s">
        <v>927</v>
      </c>
      <c r="D108" s="68" t="s">
        <v>904</v>
      </c>
      <c r="E108" s="68" t="s">
        <v>905</v>
      </c>
      <c r="F108" s="152" t="s">
        <v>906</v>
      </c>
      <c r="G108" s="67"/>
      <c r="H108" s="65" t="s">
        <v>884</v>
      </c>
      <c r="I108" s="152" t="s">
        <v>1037</v>
      </c>
      <c r="J108" s="65" t="s">
        <v>86</v>
      </c>
      <c r="K108" s="65" t="s">
        <v>106</v>
      </c>
      <c r="L108" s="112"/>
      <c r="M108" s="58"/>
      <c r="N108" s="66" t="e">
        <f>IF(OR(AND(CodeFileListUsed="Yes",#REF!="",COUNTA(B108:C108,D108:F108)&lt;&gt;0),AND(COUNTA(B108:C108,D108:F108)&lt;&gt;0, COUNTA(B108:C108,D108:F108)&lt;&gt;COUNTA(B$13:C$13,D$13:F$13))),CheckErr,CheckOK)</f>
        <v>#REF!</v>
      </c>
      <c r="O108" s="50" t="str">
        <f t="shared" ref="O108:O134" si="3">IF(OR(ISBLANK(F108), AND(NOT(ISBLANK(H108)),OR(AND(J108="Accepted",OR(K108="Y",K108="y")),J108="Noted",J108="Duplicate",AND(J108="Rejected",NOT(ISBLANK(I108)))))),CheckOK,CheckErr)</f>
        <v/>
      </c>
      <c r="P108" s="50" t="str">
        <f t="shared" ref="P108:P134" si="4">IF(OR(ISBLANK(F108),NOT(ISBLANK(L108))),CheckOK,CheckErr)</f>
        <v>!</v>
      </c>
    </row>
    <row r="109" spans="1:16" ht="135">
      <c r="A109" s="57">
        <f t="shared" si="2"/>
        <v>96</v>
      </c>
      <c r="B109" s="68"/>
      <c r="C109" s="68" t="s">
        <v>992</v>
      </c>
      <c r="D109" s="68" t="s">
        <v>985</v>
      </c>
      <c r="E109" s="68" t="s">
        <v>705</v>
      </c>
      <c r="F109" s="152" t="s">
        <v>991</v>
      </c>
      <c r="G109"/>
      <c r="H109" s="65" t="s">
        <v>884</v>
      </c>
      <c r="I109" s="152" t="s">
        <v>1038</v>
      </c>
      <c r="J109" s="65" t="s">
        <v>87</v>
      </c>
      <c r="K109" s="65" t="s">
        <v>883</v>
      </c>
      <c r="L109" s="112"/>
      <c r="M109" s="58"/>
      <c r="N109" s="66" t="e">
        <f>IF(OR(AND(CodeFileListUsed="Yes",#REF!="",COUNTA(B109:B109,#REF!)&lt;&gt;0),AND(COUNTA(B109:B109,#REF!)&lt;&gt;0, COUNTA(B109:B109,#REF!)&lt;&gt;COUNTA(B$13:C$13,D$13:F$13))),CheckErr,CheckOK)</f>
        <v>#REF!</v>
      </c>
      <c r="O109" s="50" t="str">
        <f>IF(OR(ISBLANK(#REF!), AND(NOT(ISBLANK(H109)),OR(AND(J109="Accepted",OR(K109="Y",K109="y")),J109="Noted",J109="Duplicate",AND(J109="Rejected",NOT(ISBLANK(I109)))))),CheckOK,CheckErr)</f>
        <v/>
      </c>
      <c r="P109" s="50" t="str">
        <f>IF(OR(ISBLANK(#REF!),NOT(ISBLANK(L109))),CheckOK,CheckErr)</f>
        <v>!</v>
      </c>
    </row>
    <row r="110" spans="1:16" ht="40.5">
      <c r="A110" s="57">
        <f t="shared" si="2"/>
        <v>97</v>
      </c>
      <c r="B110" s="68"/>
      <c r="C110" s="68" t="s">
        <v>990</v>
      </c>
      <c r="D110" s="68" t="s">
        <v>839</v>
      </c>
      <c r="E110" s="68" t="s">
        <v>705</v>
      </c>
      <c r="F110" s="152" t="s">
        <v>989</v>
      </c>
      <c r="G110"/>
      <c r="H110" s="65" t="s">
        <v>884</v>
      </c>
      <c r="I110" s="152" t="s">
        <v>887</v>
      </c>
      <c r="J110" s="65" t="s">
        <v>87</v>
      </c>
      <c r="K110" s="65" t="s">
        <v>883</v>
      </c>
      <c r="L110" s="112"/>
      <c r="M110" s="58"/>
      <c r="N110" s="66" t="e">
        <f>IF(OR(AND(CodeFileListUsed="Yes",#REF!="",COUNTA(B110:B110,#REF!)&lt;&gt;0),AND(COUNTA(B110:B110,#REF!)&lt;&gt;0, COUNTA(B110:B110,#REF!)&lt;&gt;COUNTA(B$13:C$13,D$13:F$13))),CheckErr,CheckOK)</f>
        <v>#REF!</v>
      </c>
      <c r="O110" s="50" t="str">
        <f>IF(OR(ISBLANK(#REF!), AND(NOT(ISBLANK(H110)),OR(AND(J110="Accepted",OR(K110="Y",K110="y")),J110="Noted",J110="Duplicate",AND(J110="Rejected",NOT(ISBLANK(I110)))))),CheckOK,CheckErr)</f>
        <v/>
      </c>
      <c r="P110" s="50" t="str">
        <f>IF(OR(ISBLANK(#REF!),NOT(ISBLANK(L110))),CheckOK,CheckErr)</f>
        <v>!</v>
      </c>
    </row>
    <row r="111" spans="1:16" ht="27">
      <c r="A111" s="57">
        <f t="shared" ref="A111:A142" si="5">A110+1</f>
        <v>98</v>
      </c>
      <c r="B111" s="68"/>
      <c r="C111" s="68" t="s">
        <v>988</v>
      </c>
      <c r="D111" s="68" t="s">
        <v>985</v>
      </c>
      <c r="E111" s="68" t="s">
        <v>705</v>
      </c>
      <c r="F111" s="152" t="s">
        <v>987</v>
      </c>
      <c r="G111"/>
      <c r="H111" s="65" t="s">
        <v>884</v>
      </c>
      <c r="I111" s="152" t="s">
        <v>887</v>
      </c>
      <c r="J111" s="65" t="s">
        <v>87</v>
      </c>
      <c r="K111" s="65" t="s">
        <v>883</v>
      </c>
      <c r="L111" s="112"/>
      <c r="M111" s="58"/>
      <c r="N111" s="66" t="e">
        <f>IF(OR(AND(CodeFileListUsed="Yes",#REF!="",COUNTA(B111:B111,#REF!)&lt;&gt;0),AND(COUNTA(B111:B111,#REF!)&lt;&gt;0, COUNTA(B111:B111,#REF!)&lt;&gt;COUNTA(B$13:C$13,D$13:F$13))),CheckErr,CheckOK)</f>
        <v>#REF!</v>
      </c>
      <c r="O111" s="50" t="str">
        <f>IF(OR(ISBLANK(#REF!), AND(NOT(ISBLANK(H111)),OR(AND(J111="Accepted",OR(K111="Y",K111="y")),J111="Noted",J111="Duplicate",AND(J111="Rejected",NOT(ISBLANK(I111)))))),CheckOK,CheckErr)</f>
        <v/>
      </c>
      <c r="P111" s="50" t="str">
        <f>IF(OR(ISBLANK(#REF!),NOT(ISBLANK(L111))),CheckOK,CheckErr)</f>
        <v>!</v>
      </c>
    </row>
    <row r="112" spans="1:16" ht="40.5">
      <c r="A112" s="57">
        <f t="shared" si="5"/>
        <v>99</v>
      </c>
      <c r="B112" s="68"/>
      <c r="C112" s="68" t="s">
        <v>986</v>
      </c>
      <c r="D112" s="68" t="s">
        <v>985</v>
      </c>
      <c r="E112" s="68" t="s">
        <v>705</v>
      </c>
      <c r="F112" s="152" t="s">
        <v>984</v>
      </c>
      <c r="G112"/>
      <c r="H112" s="65" t="s">
        <v>884</v>
      </c>
      <c r="I112" s="152" t="s">
        <v>901</v>
      </c>
      <c r="J112" s="65" t="s">
        <v>87</v>
      </c>
      <c r="K112" s="65" t="s">
        <v>883</v>
      </c>
      <c r="L112" s="112"/>
      <c r="M112" s="58"/>
      <c r="N112" s="66" t="e">
        <f>IF(OR(AND(CodeFileListUsed="Yes",#REF!="",COUNTA(B112:B112,#REF!)&lt;&gt;0),AND(COUNTA(B112:B112,#REF!)&lt;&gt;0, COUNTA(B112:B112,#REF!)&lt;&gt;COUNTA(B$13:C$13,D$13:F$13))),CheckErr,CheckOK)</f>
        <v>#REF!</v>
      </c>
      <c r="O112" s="50" t="str">
        <f>IF(OR(ISBLANK(#REF!), AND(NOT(ISBLANK(H112)),OR(AND(J112="Accepted",OR(K112="Y",K112="y")),J112="Noted",J112="Duplicate",AND(J112="Rejected",NOT(ISBLANK(I112)))))),CheckOK,CheckErr)</f>
        <v/>
      </c>
      <c r="P112" s="50" t="str">
        <f>IF(OR(ISBLANK(#REF!),NOT(ISBLANK(L112))),CheckOK,CheckErr)</f>
        <v>!</v>
      </c>
    </row>
    <row r="113" spans="1:16">
      <c r="A113" s="57">
        <f t="shared" si="5"/>
        <v>100</v>
      </c>
      <c r="B113" s="68"/>
      <c r="C113" s="68" t="s">
        <v>983</v>
      </c>
      <c r="D113" s="68" t="s">
        <v>640</v>
      </c>
      <c r="E113" s="68" t="s">
        <v>705</v>
      </c>
      <c r="F113" s="152" t="s">
        <v>982</v>
      </c>
      <c r="G113"/>
      <c r="H113" s="65" t="s">
        <v>884</v>
      </c>
      <c r="I113" s="152" t="s">
        <v>887</v>
      </c>
      <c r="J113" s="65" t="s">
        <v>87</v>
      </c>
      <c r="K113" s="65" t="s">
        <v>883</v>
      </c>
      <c r="L113" s="112"/>
      <c r="M113" s="58"/>
      <c r="N113" s="66" t="e">
        <f>IF(OR(AND(CodeFileListUsed="Yes",#REF!="",COUNTA(B113:B113,#REF!)&lt;&gt;0),AND(COUNTA(B113:B113,#REF!)&lt;&gt;0, COUNTA(B113:B113,#REF!)&lt;&gt;COUNTA(B$13:C$13,D$13:F$13))),CheckErr,CheckOK)</f>
        <v>#REF!</v>
      </c>
      <c r="O113" s="50" t="str">
        <f>IF(OR(ISBLANK(#REF!), AND(NOT(ISBLANK(H113)),OR(AND(J113="Accepted",OR(K113="Y",K113="y")),J113="Noted",J113="Duplicate",AND(J113="Rejected",NOT(ISBLANK(I113)))))),CheckOK,CheckErr)</f>
        <v/>
      </c>
      <c r="P113" s="50" t="str">
        <f>IF(OR(ISBLANK(#REF!),NOT(ISBLANK(L113))),CheckOK,CheckErr)</f>
        <v>!</v>
      </c>
    </row>
    <row r="114" spans="1:16" ht="175.5">
      <c r="A114" s="57">
        <f t="shared" si="5"/>
        <v>101</v>
      </c>
      <c r="B114" s="68"/>
      <c r="C114" s="68" t="s">
        <v>981</v>
      </c>
      <c r="D114" s="68" t="s">
        <v>640</v>
      </c>
      <c r="E114" s="68" t="s">
        <v>971</v>
      </c>
      <c r="F114" s="152" t="s">
        <v>980</v>
      </c>
      <c r="G114"/>
      <c r="H114" s="65" t="s">
        <v>1033</v>
      </c>
      <c r="I114" s="183" t="s">
        <v>888</v>
      </c>
      <c r="J114" s="65" t="s">
        <v>87</v>
      </c>
      <c r="K114" s="65" t="s">
        <v>883</v>
      </c>
      <c r="L114" s="112"/>
      <c r="M114" s="58"/>
      <c r="N114" s="66" t="e">
        <f>IF(OR(AND(CodeFileListUsed="Yes",#REF!="",COUNTA(B114:B114,#REF!)&lt;&gt;0),AND(COUNTA(B114:B114,#REF!)&lt;&gt;0, COUNTA(B114:B114,#REF!)&lt;&gt;COUNTA(B$13:C$13,D$13:F$13))),CheckErr,CheckOK)</f>
        <v>#REF!</v>
      </c>
      <c r="O114" s="50" t="str">
        <f>IF(OR(ISBLANK(#REF!), AND(NOT(ISBLANK(H114)),OR(AND(J114="Accepted",OR(K114="Y",K114="y")),J114="Noted",J114="Duplicate",AND(J114="Rejected",NOT(ISBLANK(I114)))))),CheckOK,CheckErr)</f>
        <v/>
      </c>
      <c r="P114" s="50" t="str">
        <f>IF(OR(ISBLANK(#REF!),NOT(ISBLANK(L114))),CheckOK,CheckErr)</f>
        <v>!</v>
      </c>
    </row>
    <row r="115" spans="1:16" ht="40.5">
      <c r="A115" s="57">
        <f t="shared" si="5"/>
        <v>102</v>
      </c>
      <c r="B115" s="68"/>
      <c r="C115" s="68" t="s">
        <v>979</v>
      </c>
      <c r="D115" s="68" t="s">
        <v>640</v>
      </c>
      <c r="E115" s="68" t="s">
        <v>971</v>
      </c>
      <c r="F115" s="152" t="s">
        <v>978</v>
      </c>
      <c r="G115"/>
      <c r="H115" s="65" t="s">
        <v>884</v>
      </c>
      <c r="I115" s="152" t="s">
        <v>1025</v>
      </c>
      <c r="J115" s="65" t="s">
        <v>86</v>
      </c>
      <c r="K115" s="65" t="s">
        <v>106</v>
      </c>
      <c r="L115" s="112"/>
      <c r="M115" s="58"/>
      <c r="N115" s="66" t="e">
        <f>IF(OR(AND(CodeFileListUsed="Yes",#REF!="",COUNTA(B115:B115,#REF!)&lt;&gt;0),AND(COUNTA(B115:B115,#REF!)&lt;&gt;0, COUNTA(B115:B115,#REF!)&lt;&gt;COUNTA(B$13:C$13,D$13:F$13))),CheckErr,CheckOK)</f>
        <v>#REF!</v>
      </c>
      <c r="O115" s="50" t="str">
        <f>IF(OR(ISBLANK(#REF!), AND(NOT(ISBLANK(H115)),OR(AND(J115="Accepted",OR(K115="Y",K115="y")),J115="Noted",J115="Duplicate",AND(J115="Rejected",NOT(ISBLANK(I115)))))),CheckOK,CheckErr)</f>
        <v/>
      </c>
      <c r="P115" s="50" t="str">
        <f>IF(OR(ISBLANK(#REF!),NOT(ISBLANK(L115))),CheckOK,CheckErr)</f>
        <v>!</v>
      </c>
    </row>
    <row r="116" spans="1:16" ht="27">
      <c r="A116" s="57">
        <f t="shared" si="5"/>
        <v>103</v>
      </c>
      <c r="B116" s="68"/>
      <c r="C116" s="68" t="s">
        <v>977</v>
      </c>
      <c r="D116" s="68" t="s">
        <v>976</v>
      </c>
      <c r="E116" s="68" t="s">
        <v>975</v>
      </c>
      <c r="F116" s="152" t="s">
        <v>974</v>
      </c>
      <c r="G116"/>
      <c r="H116" s="65" t="s">
        <v>884</v>
      </c>
      <c r="I116" s="152" t="s">
        <v>1040</v>
      </c>
      <c r="J116" s="65" t="s">
        <v>87</v>
      </c>
      <c r="K116" s="65" t="s">
        <v>883</v>
      </c>
      <c r="L116" s="112"/>
      <c r="M116" s="58"/>
      <c r="N116" s="66" t="e">
        <f>IF(OR(AND(CodeFileListUsed="Yes",#REF!="",COUNTA(B116:B116,#REF!)&lt;&gt;0),AND(COUNTA(B116:B116,#REF!)&lt;&gt;0, COUNTA(B116:B116,#REF!)&lt;&gt;COUNTA(B$13:C$13,D$13:F$13))),CheckErr,CheckOK)</f>
        <v>#REF!</v>
      </c>
      <c r="O116" s="50" t="str">
        <f>IF(OR(ISBLANK(#REF!), AND(NOT(ISBLANK(H116)),OR(AND(J116="Accepted",OR(K116="Y",K116="y")),J116="Noted",J116="Duplicate",AND(J116="Rejected",NOT(ISBLANK(I116)))))),CheckOK,CheckErr)</f>
        <v/>
      </c>
      <c r="P116" s="50" t="str">
        <f>IF(OR(ISBLANK(#REF!),NOT(ISBLANK(L116))),CheckOK,CheckErr)</f>
        <v>!</v>
      </c>
    </row>
    <row r="117" spans="1:16" ht="54">
      <c r="A117" s="57">
        <f t="shared" si="5"/>
        <v>104</v>
      </c>
      <c r="B117" s="68"/>
      <c r="C117" s="68" t="s">
        <v>973</v>
      </c>
      <c r="D117" s="68" t="s">
        <v>972</v>
      </c>
      <c r="E117" s="68" t="s">
        <v>971</v>
      </c>
      <c r="F117" s="152" t="s">
        <v>970</v>
      </c>
      <c r="G117"/>
      <c r="H117" s="65" t="s">
        <v>884</v>
      </c>
      <c r="I117" s="152" t="s">
        <v>1053</v>
      </c>
      <c r="J117" s="65" t="s">
        <v>85</v>
      </c>
      <c r="K117" s="65" t="s">
        <v>883</v>
      </c>
      <c r="L117" s="112"/>
      <c r="M117" s="58"/>
      <c r="N117" s="66" t="e">
        <f>IF(OR(AND(CodeFileListUsed="Yes",#REF!="",COUNTA(B117:B117,#REF!)&lt;&gt;0),AND(COUNTA(B117:B117,#REF!)&lt;&gt;0, COUNTA(B117:B117,#REF!)&lt;&gt;COUNTA(B$13:C$13,D$13:F$13))),CheckErr,CheckOK)</f>
        <v>#REF!</v>
      </c>
      <c r="O117" s="50" t="str">
        <f>IF(OR(ISBLANK(#REF!), AND(NOT(ISBLANK(H117)),OR(AND(J117="Accepted",OR(K117="Y",K117="y")),J117="Noted",J117="Duplicate",AND(J117="Rejected",NOT(ISBLANK(I117)))))),CheckOK,CheckErr)</f>
        <v/>
      </c>
      <c r="P117" s="50" t="str">
        <f>IF(OR(ISBLANK(#REF!),NOT(ISBLANK(L117))),CheckOK,CheckErr)</f>
        <v>!</v>
      </c>
    </row>
    <row r="118" spans="1:16" ht="162">
      <c r="A118" s="57">
        <f t="shared" si="5"/>
        <v>105</v>
      </c>
      <c r="B118" s="68"/>
      <c r="C118" s="68" t="s">
        <v>969</v>
      </c>
      <c r="D118" s="68" t="s">
        <v>640</v>
      </c>
      <c r="E118" s="68" t="s">
        <v>968</v>
      </c>
      <c r="F118" s="152" t="s">
        <v>967</v>
      </c>
      <c r="G118"/>
      <c r="H118" s="65" t="s">
        <v>884</v>
      </c>
      <c r="I118" s="152" t="s">
        <v>1039</v>
      </c>
      <c r="J118" s="65" t="s">
        <v>87</v>
      </c>
      <c r="K118" s="65" t="s">
        <v>883</v>
      </c>
      <c r="L118" s="112"/>
      <c r="M118" s="58"/>
      <c r="N118" s="66" t="e">
        <f>IF(OR(AND(CodeFileListUsed="Yes",#REF!="",COUNTA(B118:B118,#REF!)&lt;&gt;0),AND(COUNTA(B118:B118,#REF!)&lt;&gt;0, COUNTA(B118:B118,#REF!)&lt;&gt;COUNTA(B$13:C$13,D$13:F$13))),CheckErr,CheckOK)</f>
        <v>#REF!</v>
      </c>
      <c r="O118" s="50" t="str">
        <f>IF(OR(ISBLANK(#REF!), AND(NOT(ISBLANK(H118)),OR(AND(J118="Accepted",OR(K118="Y",K118="y")),J118="Noted",J118="Duplicate",AND(J118="Rejected",NOT(ISBLANK(I118)))))),CheckOK,CheckErr)</f>
        <v/>
      </c>
      <c r="P118" s="50" t="str">
        <f>IF(OR(ISBLANK(#REF!),NOT(ISBLANK(L118))),CheckOK,CheckErr)</f>
        <v>!</v>
      </c>
    </row>
    <row r="119" spans="1:16" ht="148.5">
      <c r="A119" s="57">
        <f t="shared" si="5"/>
        <v>106</v>
      </c>
      <c r="B119" s="68"/>
      <c r="C119" s="68" t="s">
        <v>966</v>
      </c>
      <c r="D119" s="68" t="s">
        <v>640</v>
      </c>
      <c r="E119" s="68" t="s">
        <v>961</v>
      </c>
      <c r="F119" s="152" t="s">
        <v>965</v>
      </c>
      <c r="G119"/>
      <c r="H119" s="65" t="s">
        <v>1033</v>
      </c>
      <c r="I119" s="183" t="s">
        <v>888</v>
      </c>
      <c r="J119" s="65" t="s">
        <v>87</v>
      </c>
      <c r="K119" s="65" t="s">
        <v>883</v>
      </c>
      <c r="L119" s="112"/>
      <c r="M119" s="58"/>
      <c r="N119" s="66" t="e">
        <f>IF(OR(AND(CodeFileListUsed="Yes",#REF!="",COUNTA(B119:B119,#REF!)&lt;&gt;0),AND(COUNTA(B119:B119,#REF!)&lt;&gt;0, COUNTA(B119:B119,#REF!)&lt;&gt;COUNTA(B$13:C$13,D$13:F$13))),CheckErr,CheckOK)</f>
        <v>#REF!</v>
      </c>
      <c r="O119" s="50" t="str">
        <f>IF(OR(ISBLANK(#REF!), AND(NOT(ISBLANK(H119)),OR(AND(J119="Accepted",OR(K119="Y",K119="y")),J119="Noted",J119="Duplicate",AND(J119="Rejected",NOT(ISBLANK(I119)))))),CheckOK,CheckErr)</f>
        <v/>
      </c>
      <c r="P119" s="50" t="str">
        <f>IF(OR(ISBLANK(#REF!),NOT(ISBLANK(L119))),CheckOK,CheckErr)</f>
        <v>!</v>
      </c>
    </row>
    <row r="120" spans="1:16" ht="270">
      <c r="A120" s="57">
        <f t="shared" si="5"/>
        <v>107</v>
      </c>
      <c r="B120" s="68"/>
      <c r="C120" s="68" t="s">
        <v>964</v>
      </c>
      <c r="D120" s="68" t="s">
        <v>640</v>
      </c>
      <c r="E120" s="68" t="s">
        <v>961</v>
      </c>
      <c r="F120" s="152" t="s">
        <v>963</v>
      </c>
      <c r="G120"/>
      <c r="H120" s="65"/>
      <c r="I120" s="183" t="s">
        <v>1035</v>
      </c>
      <c r="J120" s="65" t="s">
        <v>85</v>
      </c>
      <c r="K120" s="65" t="s">
        <v>883</v>
      </c>
      <c r="L120" s="112"/>
      <c r="M120" s="58"/>
      <c r="N120" s="66" t="e">
        <f>IF(OR(AND(CodeFileListUsed="Yes",#REF!="",COUNTA(B120:B120,#REF!)&lt;&gt;0),AND(COUNTA(B120:B120,#REF!)&lt;&gt;0, COUNTA(B120:B120,#REF!)&lt;&gt;COUNTA(B$13:C$13,D$13:F$13))),CheckErr,CheckOK)</f>
        <v>#REF!</v>
      </c>
      <c r="O120" s="50" t="str">
        <f>IF(OR(ISBLANK(#REF!), AND(NOT(ISBLANK(H120)),OR(AND(J120="Accepted",OR(K120="Y",K120="y")),J120="Noted",J120="Duplicate",AND(J120="Rejected",NOT(ISBLANK(I120)))))),CheckOK,CheckErr)</f>
        <v>!</v>
      </c>
      <c r="P120" s="50" t="str">
        <f>IF(OR(ISBLANK(#REF!),NOT(ISBLANK(L120))),CheckOK,CheckErr)</f>
        <v>!</v>
      </c>
    </row>
    <row r="121" spans="1:16" ht="108">
      <c r="A121" s="57">
        <f t="shared" si="5"/>
        <v>108</v>
      </c>
      <c r="B121" s="68"/>
      <c r="C121" s="68" t="s">
        <v>962</v>
      </c>
      <c r="D121" s="68" t="s">
        <v>640</v>
      </c>
      <c r="E121" s="68" t="s">
        <v>961</v>
      </c>
      <c r="F121" s="152" t="s">
        <v>960</v>
      </c>
      <c r="G121"/>
      <c r="H121" s="65" t="s">
        <v>884</v>
      </c>
      <c r="I121" s="152" t="s">
        <v>1041</v>
      </c>
      <c r="J121" s="65" t="s">
        <v>87</v>
      </c>
      <c r="K121" s="65" t="s">
        <v>883</v>
      </c>
      <c r="L121" s="112"/>
      <c r="M121" s="58"/>
      <c r="N121" s="66" t="e">
        <f>IF(OR(AND(CodeFileListUsed="Yes",#REF!="",COUNTA(B121:B121,#REF!)&lt;&gt;0),AND(COUNTA(B121:B121,#REF!)&lt;&gt;0, COUNTA(B121:B121,#REF!)&lt;&gt;COUNTA(B$13:C$13,D$13:F$13))),CheckErr,CheckOK)</f>
        <v>#REF!</v>
      </c>
      <c r="O121" s="50" t="str">
        <f>IF(OR(ISBLANK(#REF!), AND(NOT(ISBLANK(H121)),OR(AND(J121="Accepted",OR(K121="Y",K121="y")),J121="Noted",J121="Duplicate",AND(J121="Rejected",NOT(ISBLANK(I121)))))),CheckOK,CheckErr)</f>
        <v/>
      </c>
      <c r="P121" s="50" t="str">
        <f>IF(OR(ISBLANK(#REF!),NOT(ISBLANK(L121))),CheckOK,CheckErr)</f>
        <v>!</v>
      </c>
    </row>
    <row r="122" spans="1:16" ht="67.5">
      <c r="A122" s="57">
        <f t="shared" si="5"/>
        <v>109</v>
      </c>
      <c r="B122" s="68"/>
      <c r="C122" s="68" t="s">
        <v>959</v>
      </c>
      <c r="D122" s="68" t="s">
        <v>958</v>
      </c>
      <c r="E122" s="68" t="s">
        <v>705</v>
      </c>
      <c r="F122" s="152" t="s">
        <v>957</v>
      </c>
      <c r="G122"/>
      <c r="H122" s="65"/>
      <c r="I122" s="2" t="s">
        <v>1046</v>
      </c>
      <c r="J122" s="65"/>
      <c r="K122" s="65" t="s">
        <v>106</v>
      </c>
      <c r="L122" s="112"/>
      <c r="M122" s="58"/>
      <c r="N122" s="66" t="e">
        <f>IF(OR(AND(CodeFileListUsed="Yes",#REF!="",COUNTA(B122:B122,#REF!)&lt;&gt;0),AND(COUNTA(B122:B122,#REF!)&lt;&gt;0, COUNTA(B122:B122,#REF!)&lt;&gt;COUNTA(B$13:C$13,D$13:F$13))),CheckErr,CheckOK)</f>
        <v>#REF!</v>
      </c>
      <c r="O122" s="50" t="str">
        <f>IF(OR(ISBLANK(#REF!), AND(NOT(ISBLANK(H122)),OR(AND(J122="Accepted",OR(K122="Y",K122="y")),J122="Noted",J122="Duplicate",AND(J122="Rejected",NOT(ISBLANK(I122)))))),CheckOK,CheckErr)</f>
        <v>!</v>
      </c>
      <c r="P122" s="50" t="str">
        <f>IF(OR(ISBLANK(#REF!),NOT(ISBLANK(L122))),CheckOK,CheckErr)</f>
        <v>!</v>
      </c>
    </row>
    <row r="123" spans="1:16" ht="67.5">
      <c r="A123" s="57">
        <f t="shared" si="5"/>
        <v>110</v>
      </c>
      <c r="B123" s="68"/>
      <c r="C123" s="68" t="s">
        <v>956</v>
      </c>
      <c r="D123" s="68" t="s">
        <v>955</v>
      </c>
      <c r="E123" s="68" t="s">
        <v>705</v>
      </c>
      <c r="F123" s="152" t="s">
        <v>954</v>
      </c>
      <c r="G123"/>
      <c r="H123" s="65"/>
      <c r="I123" s="4" t="s">
        <v>1054</v>
      </c>
      <c r="J123" s="65"/>
      <c r="K123" s="65" t="s">
        <v>106</v>
      </c>
      <c r="L123" s="112"/>
      <c r="M123" s="58"/>
      <c r="N123" s="66" t="e">
        <f>IF(OR(AND(CodeFileListUsed="Yes",#REF!="",COUNTA(B123:B123,#REF!)&lt;&gt;0),AND(COUNTA(B123:B123,#REF!)&lt;&gt;0, COUNTA(B123:B123,#REF!)&lt;&gt;COUNTA(B$13:C$13,D$13:F$13))),CheckErr,CheckOK)</f>
        <v>#REF!</v>
      </c>
      <c r="O123" s="50" t="str">
        <f>IF(OR(ISBLANK(#REF!), AND(NOT(ISBLANK(H123)),OR(AND(J123="Accepted",OR(K123="Y",K123="y")),J123="Noted",J123="Duplicate",AND(J123="Rejected",NOT(ISBLANK(I123)))))),CheckOK,CheckErr)</f>
        <v>!</v>
      </c>
      <c r="P123" s="50" t="str">
        <f>IF(OR(ISBLANK(#REF!),NOT(ISBLANK(L123))),CheckOK,CheckErr)</f>
        <v>!</v>
      </c>
    </row>
    <row r="124" spans="1:16" ht="40.5">
      <c r="A124" s="57">
        <f t="shared" si="5"/>
        <v>111</v>
      </c>
      <c r="B124" s="68"/>
      <c r="C124" s="68" t="s">
        <v>953</v>
      </c>
      <c r="D124" s="68" t="s">
        <v>952</v>
      </c>
      <c r="E124" s="68" t="s">
        <v>705</v>
      </c>
      <c r="F124" s="152" t="s">
        <v>951</v>
      </c>
      <c r="G124"/>
      <c r="H124" s="65" t="s">
        <v>884</v>
      </c>
      <c r="I124" s="152" t="s">
        <v>1045</v>
      </c>
      <c r="J124" s="65" t="s">
        <v>85</v>
      </c>
      <c r="K124" s="65" t="s">
        <v>883</v>
      </c>
      <c r="L124" s="112"/>
      <c r="M124" s="58"/>
      <c r="N124" s="66" t="e">
        <f>IF(OR(AND(CodeFileListUsed="Yes",#REF!="",COUNTA(B124:B124,#REF!)&lt;&gt;0),AND(COUNTA(B124:B124,#REF!)&lt;&gt;0, COUNTA(B124:B124,#REF!)&lt;&gt;COUNTA(B$13:C$13,D$13:F$13))),CheckErr,CheckOK)</f>
        <v>#REF!</v>
      </c>
      <c r="O124" s="50" t="str">
        <f>IF(OR(ISBLANK(#REF!), AND(NOT(ISBLANK(H124)),OR(AND(J124="Accepted",OR(K124="Y",K124="y")),J124="Noted",J124="Duplicate",AND(J124="Rejected",NOT(ISBLANK(I124)))))),CheckOK,CheckErr)</f>
        <v/>
      </c>
      <c r="P124" s="50" t="str">
        <f>IF(OR(ISBLANK(#REF!),NOT(ISBLANK(L124))),CheckOK,CheckErr)</f>
        <v>!</v>
      </c>
    </row>
    <row r="125" spans="1:16" ht="40.5">
      <c r="A125" s="57">
        <f t="shared" si="5"/>
        <v>112</v>
      </c>
      <c r="B125" s="68"/>
      <c r="C125" s="68" t="s">
        <v>950</v>
      </c>
      <c r="D125" s="68" t="s">
        <v>949</v>
      </c>
      <c r="E125" s="68" t="s">
        <v>948</v>
      </c>
      <c r="F125" s="152" t="s">
        <v>993</v>
      </c>
      <c r="G125"/>
      <c r="H125" s="65" t="s">
        <v>884</v>
      </c>
      <c r="I125" s="152"/>
      <c r="J125" s="65" t="s">
        <v>85</v>
      </c>
      <c r="K125" s="65" t="s">
        <v>883</v>
      </c>
      <c r="L125" s="112"/>
      <c r="M125" s="58"/>
      <c r="N125" s="66" t="e">
        <f>IF(OR(AND(CodeFileListUsed="Yes",#REF!="",COUNTA(B125:B125,#REF!)&lt;&gt;0),AND(COUNTA(B125:B125,#REF!)&lt;&gt;0, COUNTA(B125:B125,#REF!)&lt;&gt;COUNTA(B$13:C$13,D$13:F$13))),CheckErr,CheckOK)</f>
        <v>#REF!</v>
      </c>
      <c r="O125" s="50" t="str">
        <f>IF(OR(ISBLANK(#REF!), AND(NOT(ISBLANK(H125)),OR(AND(J125="Accepted",OR(K125="Y",K125="y")),J125="Noted",J125="Duplicate",AND(J125="Rejected",NOT(ISBLANK(I125)))))),CheckOK,CheckErr)</f>
        <v/>
      </c>
      <c r="P125" s="50" t="str">
        <f>IF(OR(ISBLANK(#REF!),NOT(ISBLANK(L125))),CheckOK,CheckErr)</f>
        <v>!</v>
      </c>
    </row>
    <row r="126" spans="1:16" ht="40.5">
      <c r="A126" s="57">
        <f t="shared" si="5"/>
        <v>113</v>
      </c>
      <c r="B126" s="68"/>
      <c r="C126" s="68" t="s">
        <v>947</v>
      </c>
      <c r="D126" s="68">
        <v>1</v>
      </c>
      <c r="E126" s="68" t="s">
        <v>946</v>
      </c>
      <c r="F126" s="152" t="s">
        <v>994</v>
      </c>
      <c r="G126"/>
      <c r="H126" s="65" t="s">
        <v>884</v>
      </c>
      <c r="I126" s="152" t="s">
        <v>1038</v>
      </c>
      <c r="J126" s="65" t="s">
        <v>87</v>
      </c>
      <c r="K126" s="65" t="s">
        <v>883</v>
      </c>
      <c r="L126" s="112"/>
      <c r="M126" s="58"/>
      <c r="N126" s="66" t="e">
        <f>IF(OR(AND(CodeFileListUsed="Yes",#REF!="",COUNTA(B126:B126,#REF!)&lt;&gt;0),AND(COUNTA(B126:B126,#REF!)&lt;&gt;0, COUNTA(B126:B126,#REF!)&lt;&gt;COUNTA(B$13:C$13,D$13:F$13))),CheckErr,CheckOK)</f>
        <v>#REF!</v>
      </c>
      <c r="O126" s="50" t="str">
        <f>IF(OR(ISBLANK(#REF!), AND(NOT(ISBLANK(H126)),OR(AND(J126="Accepted",OR(K126="Y",K126="y")),J126="Noted",J126="Duplicate",AND(J126="Rejected",NOT(ISBLANK(I126)))))),CheckOK,CheckErr)</f>
        <v/>
      </c>
      <c r="P126" s="50" t="str">
        <f>IF(OR(ISBLANK(#REF!),NOT(ISBLANK(L126))),CheckOK,CheckErr)</f>
        <v>!</v>
      </c>
    </row>
    <row r="127" spans="1:16" ht="94.5">
      <c r="A127" s="57">
        <f t="shared" si="5"/>
        <v>114</v>
      </c>
      <c r="B127" s="68"/>
      <c r="C127" s="68" t="s">
        <v>945</v>
      </c>
      <c r="D127" s="68">
        <v>1</v>
      </c>
      <c r="E127" s="68" t="s">
        <v>944</v>
      </c>
      <c r="F127" s="152" t="s">
        <v>943</v>
      </c>
      <c r="G127"/>
      <c r="H127" s="65" t="s">
        <v>884</v>
      </c>
      <c r="I127" s="152" t="s">
        <v>1042</v>
      </c>
      <c r="J127" s="65" t="s">
        <v>86</v>
      </c>
      <c r="K127" s="65" t="s">
        <v>883</v>
      </c>
      <c r="L127" s="112"/>
      <c r="M127" s="58"/>
      <c r="N127" s="66" t="e">
        <f>IF(OR(AND(CodeFileListUsed="Yes",#REF!="",COUNTA(B127:B127,#REF!)&lt;&gt;0),AND(COUNTA(B127:B127,#REF!)&lt;&gt;0, COUNTA(B127:B127,#REF!)&lt;&gt;COUNTA(B$13:C$13,D$13:F$13))),CheckErr,CheckOK)</f>
        <v>#REF!</v>
      </c>
      <c r="O127" s="50" t="str">
        <f>IF(OR(ISBLANK(#REF!), AND(NOT(ISBLANK(H127)),OR(AND(J127="Accepted",OR(K127="Y",K127="y")),J127="Noted",J127="Duplicate",AND(J127="Rejected",NOT(ISBLANK(I127)))))),CheckOK,CheckErr)</f>
        <v/>
      </c>
      <c r="P127" s="50" t="str">
        <f>IF(OR(ISBLANK(#REF!),NOT(ISBLANK(L127))),CheckOK,CheckErr)</f>
        <v>!</v>
      </c>
    </row>
    <row r="128" spans="1:16" ht="67.5">
      <c r="A128" s="57">
        <f t="shared" si="5"/>
        <v>115</v>
      </c>
      <c r="B128" s="68"/>
      <c r="C128" s="68" t="s">
        <v>942</v>
      </c>
      <c r="D128" s="68">
        <v>1</v>
      </c>
      <c r="E128" s="68" t="s">
        <v>941</v>
      </c>
      <c r="F128" s="152" t="s">
        <v>1020</v>
      </c>
      <c r="G128"/>
      <c r="H128" s="65" t="s">
        <v>884</v>
      </c>
      <c r="I128" s="152" t="s">
        <v>1026</v>
      </c>
      <c r="J128" s="65" t="s">
        <v>86</v>
      </c>
      <c r="K128" s="65" t="s">
        <v>106</v>
      </c>
      <c r="L128" s="112"/>
      <c r="M128" s="58"/>
      <c r="N128" s="66" t="e">
        <f>IF(OR(AND(CodeFileListUsed="Yes",#REF!="",COUNTA(B128:B128,#REF!)&lt;&gt;0),AND(COUNTA(B128:B128,#REF!)&lt;&gt;0, COUNTA(B128:B128,#REF!)&lt;&gt;COUNTA(B$13:C$13,D$13:F$13))),CheckErr,CheckOK)</f>
        <v>#REF!</v>
      </c>
      <c r="O128" s="50" t="str">
        <f>IF(OR(ISBLANK(#REF!), AND(NOT(ISBLANK(H128)),OR(AND(J128="Accepted",OR(K128="Y",K128="y")),J128="Noted",J128="Duplicate",AND(J128="Rejected",NOT(ISBLANK(I128)))))),CheckOK,CheckErr)</f>
        <v/>
      </c>
      <c r="P128" s="50" t="str">
        <f>IF(OR(ISBLANK(#REF!),NOT(ISBLANK(L128))),CheckOK,CheckErr)</f>
        <v>!</v>
      </c>
    </row>
    <row r="129" spans="1:16" ht="135">
      <c r="A129" s="57">
        <f t="shared" si="5"/>
        <v>116</v>
      </c>
      <c r="B129" s="68"/>
      <c r="C129" s="68" t="s">
        <v>940</v>
      </c>
      <c r="D129" s="68">
        <v>1.2</v>
      </c>
      <c r="E129" s="68" t="s">
        <v>939</v>
      </c>
      <c r="F129" s="152" t="s">
        <v>995</v>
      </c>
      <c r="G129"/>
      <c r="H129" s="65" t="s">
        <v>884</v>
      </c>
      <c r="I129" s="152" t="s">
        <v>1027</v>
      </c>
      <c r="J129" s="65" t="s">
        <v>85</v>
      </c>
      <c r="K129" s="65" t="s">
        <v>883</v>
      </c>
      <c r="L129" s="112"/>
      <c r="M129" s="58"/>
      <c r="N129" s="66" t="e">
        <f>IF(OR(AND(CodeFileListUsed="Yes",#REF!="",COUNTA(B129:B129,#REF!)&lt;&gt;0),AND(COUNTA(B129:B129,#REF!)&lt;&gt;0, COUNTA(B129:B129,#REF!)&lt;&gt;COUNTA(B$13:C$13,D$13:F$13))),CheckErr,CheckOK)</f>
        <v>#REF!</v>
      </c>
      <c r="O129" s="50" t="str">
        <f>IF(OR(ISBLANK(#REF!), AND(NOT(ISBLANK(H129)),OR(AND(J129="Accepted",OR(K129="Y",K129="y")),J129="Noted",J129="Duplicate",AND(J129="Rejected",NOT(ISBLANK(I129)))))),CheckOK,CheckErr)</f>
        <v/>
      </c>
      <c r="P129" s="50" t="str">
        <f>IF(OR(ISBLANK(#REF!),NOT(ISBLANK(L129))),CheckOK,CheckErr)</f>
        <v>!</v>
      </c>
    </row>
    <row r="130" spans="1:16" ht="40.5">
      <c r="A130" s="57">
        <f t="shared" si="5"/>
        <v>117</v>
      </c>
      <c r="B130" s="68"/>
      <c r="C130" s="68" t="s">
        <v>938</v>
      </c>
      <c r="D130" s="68" t="s">
        <v>937</v>
      </c>
      <c r="E130" s="68" t="s">
        <v>936</v>
      </c>
      <c r="F130" s="152" t="s">
        <v>996</v>
      </c>
      <c r="G130"/>
      <c r="H130" s="65" t="s">
        <v>884</v>
      </c>
      <c r="I130" s="152" t="s">
        <v>1028</v>
      </c>
      <c r="J130" s="65" t="s">
        <v>86</v>
      </c>
      <c r="K130" s="65" t="s">
        <v>106</v>
      </c>
      <c r="L130" s="112"/>
      <c r="M130" s="58"/>
      <c r="N130" s="66" t="e">
        <f>IF(OR(AND(CodeFileListUsed="Yes",#REF!="",COUNTA(B130:B130,#REF!)&lt;&gt;0),AND(COUNTA(B130:B130,#REF!)&lt;&gt;0, COUNTA(B130:B130,#REF!)&lt;&gt;COUNTA(B$13:C$13,D$13:F$13))),CheckErr,CheckOK)</f>
        <v>#REF!</v>
      </c>
      <c r="O130" s="50" t="str">
        <f>IF(OR(ISBLANK(#REF!), AND(NOT(ISBLANK(H130)),OR(AND(J130="Accepted",OR(K130="Y",K130="y")),J130="Noted",J130="Duplicate",AND(J130="Rejected",NOT(ISBLANK(I130)))))),CheckOK,CheckErr)</f>
        <v/>
      </c>
      <c r="P130" s="50" t="str">
        <f>IF(OR(ISBLANK(#REF!),NOT(ISBLANK(L130))),CheckOK,CheckErr)</f>
        <v>!</v>
      </c>
    </row>
    <row r="131" spans="1:16" ht="40.5">
      <c r="A131" s="57">
        <f t="shared" si="5"/>
        <v>118</v>
      </c>
      <c r="B131" s="68"/>
      <c r="C131" s="68" t="s">
        <v>935</v>
      </c>
      <c r="D131" s="68">
        <v>1.5</v>
      </c>
      <c r="E131" s="68" t="s">
        <v>934</v>
      </c>
      <c r="F131" s="152" t="s">
        <v>933</v>
      </c>
      <c r="G131"/>
      <c r="H131" s="65" t="s">
        <v>884</v>
      </c>
      <c r="I131" s="152" t="s">
        <v>1029</v>
      </c>
      <c r="J131" s="65" t="s">
        <v>85</v>
      </c>
      <c r="K131" s="65" t="s">
        <v>883</v>
      </c>
      <c r="L131" s="112"/>
      <c r="M131" s="58"/>
      <c r="N131" s="66" t="e">
        <f>IF(OR(AND(CodeFileListUsed="Yes",#REF!="",COUNTA(B131:B131,#REF!)&lt;&gt;0),AND(COUNTA(B131:B131,#REF!)&lt;&gt;0, COUNTA(B131:B131,#REF!)&lt;&gt;COUNTA(B$13:C$13,D$13:F$13))),CheckErr,CheckOK)</f>
        <v>#REF!</v>
      </c>
      <c r="O131" s="50" t="str">
        <f>IF(OR(ISBLANK(#REF!), AND(NOT(ISBLANK(H131)),OR(AND(J131="Accepted",OR(K131="Y",K131="y")),J131="Noted",J131="Duplicate",AND(J131="Rejected",NOT(ISBLANK(I131)))))),CheckOK,CheckErr)</f>
        <v/>
      </c>
      <c r="P131" s="50" t="str">
        <f>IF(OR(ISBLANK(#REF!),NOT(ISBLANK(L131))),CheckOK,CheckErr)</f>
        <v>!</v>
      </c>
    </row>
    <row r="132" spans="1:16" ht="54">
      <c r="A132" s="57">
        <f t="shared" si="5"/>
        <v>119</v>
      </c>
      <c r="B132" s="68"/>
      <c r="C132" s="68" t="s">
        <v>932</v>
      </c>
      <c r="D132" s="68">
        <v>1.6</v>
      </c>
      <c r="E132" s="68" t="s">
        <v>931</v>
      </c>
      <c r="F132" s="152" t="s">
        <v>930</v>
      </c>
      <c r="G132"/>
      <c r="H132" s="65" t="s">
        <v>884</v>
      </c>
      <c r="I132" s="152" t="s">
        <v>1043</v>
      </c>
      <c r="J132" s="65" t="s">
        <v>87</v>
      </c>
      <c r="K132" s="65" t="s">
        <v>883</v>
      </c>
      <c r="L132" s="112"/>
      <c r="M132" s="58"/>
      <c r="N132" s="66" t="e">
        <f>IF(OR(AND(CodeFileListUsed="Yes",#REF!="",COUNTA(B132:B132,#REF!)&lt;&gt;0),AND(COUNTA(B132:B132,#REF!)&lt;&gt;0, COUNTA(B132:B132,#REF!)&lt;&gt;COUNTA(B$13:C$13,D$13:F$13))),CheckErr,CheckOK)</f>
        <v>#REF!</v>
      </c>
      <c r="O132" s="50" t="str">
        <f>IF(OR(ISBLANK(#REF!), AND(NOT(ISBLANK(H132)),OR(AND(J132="Accepted",OR(K132="Y",K132="y")),J132="Noted",J132="Duplicate",AND(J132="Rejected",NOT(ISBLANK(I132)))))),CheckOK,CheckErr)</f>
        <v/>
      </c>
      <c r="P132" s="50" t="str">
        <f>IF(OR(ISBLANK(#REF!),NOT(ISBLANK(L132))),CheckOK,CheckErr)</f>
        <v>!</v>
      </c>
    </row>
    <row r="133" spans="1:16" ht="189">
      <c r="A133" s="57">
        <f t="shared" si="5"/>
        <v>120</v>
      </c>
      <c r="B133" s="68"/>
      <c r="C133" s="68" t="s">
        <v>929</v>
      </c>
      <c r="D133" s="68" t="s">
        <v>928</v>
      </c>
      <c r="E133" s="68">
        <v>19</v>
      </c>
      <c r="F133" s="152" t="s">
        <v>997</v>
      </c>
      <c r="G133"/>
      <c r="H133" s="65"/>
      <c r="I133" s="183" t="s">
        <v>1030</v>
      </c>
      <c r="J133" s="65"/>
      <c r="K133" s="65" t="s">
        <v>106</v>
      </c>
      <c r="L133" s="112"/>
      <c r="M133" s="58"/>
      <c r="N133" s="66" t="e">
        <f>IF(OR(AND(CodeFileListUsed="Yes",#REF!="",COUNTA(B133:B133,#REF!)&lt;&gt;0),AND(COUNTA(B133:B133,#REF!)&lt;&gt;0, COUNTA(B133:B133,#REF!)&lt;&gt;COUNTA(B$13:C$13,D$13:F$13))),CheckErr,CheckOK)</f>
        <v>#REF!</v>
      </c>
      <c r="O133" s="50" t="str">
        <f>IF(OR(ISBLANK(#REF!), AND(NOT(ISBLANK(H133)),OR(AND(J133="Accepted",OR(K133="Y",K133="y")),J133="Noted",J133="Duplicate",AND(J133="Rejected",NOT(ISBLANK(I133)))))),CheckOK,CheckErr)</f>
        <v>!</v>
      </c>
      <c r="P133" s="50" t="str">
        <f>IF(OR(ISBLANK(#REF!),NOT(ISBLANK(L133))),CheckOK,CheckErr)</f>
        <v>!</v>
      </c>
    </row>
    <row r="134" spans="1:16" ht="405">
      <c r="A134" s="57">
        <f t="shared" si="5"/>
        <v>121</v>
      </c>
      <c r="B134" s="68"/>
      <c r="C134" s="68" t="s">
        <v>929</v>
      </c>
      <c r="D134" s="68" t="s">
        <v>928</v>
      </c>
      <c r="E134" s="68">
        <v>19</v>
      </c>
      <c r="F134" s="152" t="s">
        <v>998</v>
      </c>
      <c r="G134" s="67"/>
      <c r="H134" s="65"/>
      <c r="I134" s="183" t="s">
        <v>1030</v>
      </c>
      <c r="J134" s="65"/>
      <c r="K134" s="65" t="s">
        <v>106</v>
      </c>
      <c r="L134" s="112"/>
      <c r="M134" s="58"/>
      <c r="N134" s="66" t="e">
        <f>IF(OR(AND(CodeFileListUsed="Yes",#REF!="",COUNTA(B134:C134,D134:F134)&lt;&gt;0),AND(COUNTA(B134:C134,D134:F134)&lt;&gt;0, COUNTA(B134:C134,D134:F134)&lt;&gt;COUNTA(B$13:C$13,D$13:F$13))),CheckErr,CheckOK)</f>
        <v>#REF!</v>
      </c>
      <c r="O134" s="50" t="str">
        <f t="shared" si="3"/>
        <v>!</v>
      </c>
      <c r="P134" s="50" t="str">
        <f t="shared" si="4"/>
        <v>!</v>
      </c>
    </row>
    <row r="135" spans="1:16" ht="40.5">
      <c r="A135" s="57">
        <f t="shared" si="5"/>
        <v>122</v>
      </c>
      <c r="B135" s="68"/>
      <c r="C135" s="68" t="s">
        <v>1016</v>
      </c>
      <c r="D135" s="68">
        <v>6.8</v>
      </c>
      <c r="E135" s="68">
        <v>45</v>
      </c>
      <c r="F135" s="152" t="s">
        <v>1015</v>
      </c>
      <c r="G135" s="67"/>
      <c r="H135" s="65"/>
      <c r="I135" s="183" t="s">
        <v>1031</v>
      </c>
      <c r="J135" s="65"/>
      <c r="K135" s="65" t="s">
        <v>106</v>
      </c>
      <c r="L135" s="112"/>
      <c r="M135" s="58"/>
      <c r="N135" s="66" t="e">
        <f>IF(OR(AND(CodeFileListUsed="Yes",#REF!="",COUNTA(B135:B135,#REF!)&lt;&gt;0),AND(COUNTA(B135:B135,#REF!)&lt;&gt;0, COUNTA(B135:B135,#REF!)&lt;&gt;COUNTA(B$13:C$13,D$13:F$13))),CheckErr,CheckOK)</f>
        <v>#REF!</v>
      </c>
      <c r="O135" s="50" t="str">
        <f>IF(OR(ISBLANK(#REF!), AND(NOT(ISBLANK(H135)),OR(AND(J135="Accepted",OR(K135="Y",K135="y")),J135="Noted",J135="Duplicate",AND(J135="Rejected",NOT(ISBLANK(I135)))))),CheckOK,CheckErr)</f>
        <v>!</v>
      </c>
      <c r="P135" s="50" t="str">
        <f>IF(OR(ISBLANK(#REF!),NOT(ISBLANK(L135))),CheckOK,CheckErr)</f>
        <v>!</v>
      </c>
    </row>
    <row r="136" spans="1:16" ht="108">
      <c r="A136" s="57">
        <f t="shared" si="5"/>
        <v>123</v>
      </c>
      <c r="B136" s="68"/>
      <c r="C136" s="68" t="s">
        <v>1014</v>
      </c>
      <c r="D136" s="68" t="s">
        <v>1013</v>
      </c>
      <c r="E136" s="68">
        <v>52</v>
      </c>
      <c r="F136" s="152" t="s">
        <v>1012</v>
      </c>
      <c r="G136" s="67"/>
      <c r="H136" s="65" t="s">
        <v>884</v>
      </c>
      <c r="I136" s="152" t="s">
        <v>1044</v>
      </c>
      <c r="J136" s="65" t="s">
        <v>87</v>
      </c>
      <c r="K136" s="65" t="s">
        <v>883</v>
      </c>
      <c r="L136" s="112"/>
      <c r="M136" s="58"/>
      <c r="N136" s="66" t="e">
        <f>IF(OR(AND(CodeFileListUsed="Yes",#REF!="",COUNTA(B136:B136,#REF!)&lt;&gt;0),AND(COUNTA(B136:B136,#REF!)&lt;&gt;0, COUNTA(B136:B136,#REF!)&lt;&gt;COUNTA(B$13:C$13,D$13:F$13))),CheckErr,CheckOK)</f>
        <v>#REF!</v>
      </c>
      <c r="O136" s="50" t="str">
        <f>IF(OR(ISBLANK(#REF!), AND(NOT(ISBLANK(H136)),OR(AND(J136="Accepted",OR(K136="Y",K136="y")),J136="Noted",J136="Duplicate",AND(J136="Rejected",NOT(ISBLANK(I136)))))),CheckOK,CheckErr)</f>
        <v/>
      </c>
      <c r="P136" s="50" t="str">
        <f>IF(OR(ISBLANK(#REF!),NOT(ISBLANK(L136))),CheckOK,CheckErr)</f>
        <v>!</v>
      </c>
    </row>
    <row r="137" spans="1:16" ht="387" customHeight="1">
      <c r="A137" s="57">
        <f t="shared" si="5"/>
        <v>124</v>
      </c>
      <c r="B137" s="68"/>
      <c r="C137" s="68" t="s">
        <v>1011</v>
      </c>
      <c r="D137" s="68" t="s">
        <v>1010</v>
      </c>
      <c r="E137" s="68">
        <v>53</v>
      </c>
      <c r="F137" s="152" t="s">
        <v>1009</v>
      </c>
      <c r="G137" s="67"/>
      <c r="H137" s="65"/>
      <c r="I137" s="183" t="s">
        <v>1048</v>
      </c>
      <c r="J137" s="65"/>
      <c r="K137" s="65" t="s">
        <v>106</v>
      </c>
      <c r="L137" s="112"/>
      <c r="M137" s="58"/>
      <c r="N137" s="66" t="e">
        <f>IF(OR(AND(CodeFileListUsed="Yes",#REF!="",COUNTA(B137:B137,#REF!)&lt;&gt;0),AND(COUNTA(B137:B137,#REF!)&lt;&gt;0, COUNTA(B137:B137,#REF!)&lt;&gt;COUNTA(B$13:C$13,D$13:F$13))),CheckErr,CheckOK)</f>
        <v>#REF!</v>
      </c>
      <c r="O137" s="50" t="str">
        <f>IF(OR(ISBLANK(#REF!), AND(NOT(ISBLANK(H137)),OR(AND(J137="Accepted",OR(K137="Y",K137="y")),J137="Noted",J137="Duplicate",AND(J137="Rejected",NOT(ISBLANK(I137)))))),CheckOK,CheckErr)</f>
        <v>!</v>
      </c>
      <c r="P137" s="50" t="str">
        <f>IF(OR(ISBLANK(#REF!),NOT(ISBLANK(L137))),CheckOK,CheckErr)</f>
        <v>!</v>
      </c>
    </row>
    <row r="138" spans="1:16" ht="108">
      <c r="A138" s="57">
        <f t="shared" si="5"/>
        <v>125</v>
      </c>
      <c r="B138" s="68"/>
      <c r="C138" s="68" t="s">
        <v>1008</v>
      </c>
      <c r="D138" s="68" t="s">
        <v>1007</v>
      </c>
      <c r="E138" s="68">
        <v>60</v>
      </c>
      <c r="F138" s="152" t="s">
        <v>1006</v>
      </c>
      <c r="G138" s="67"/>
      <c r="H138" s="65"/>
      <c r="I138" s="183" t="s">
        <v>1032</v>
      </c>
      <c r="J138" s="65"/>
      <c r="K138" s="65" t="s">
        <v>106</v>
      </c>
      <c r="L138" s="112"/>
      <c r="M138" s="58"/>
      <c r="N138" s="66" t="e">
        <f>IF(OR(AND(CodeFileListUsed="Yes",#REF!="",COUNTA(B138:B138,#REF!)&lt;&gt;0),AND(COUNTA(B138:B138,#REF!)&lt;&gt;0, COUNTA(B138:B138,#REF!)&lt;&gt;COUNTA(B$13:C$13,D$13:F$13))),CheckErr,CheckOK)</f>
        <v>#REF!</v>
      </c>
      <c r="O138" s="50" t="str">
        <f>IF(OR(ISBLANK(#REF!), AND(NOT(ISBLANK(H138)),OR(AND(J138="Accepted",OR(K138="Y",K138="y")),J138="Noted",J138="Duplicate",AND(J138="Rejected",NOT(ISBLANK(I138)))))),CheckOK,CheckErr)</f>
        <v>!</v>
      </c>
      <c r="P138" s="50" t="str">
        <f>IF(OR(ISBLANK(#REF!),NOT(ISBLANK(L138))),CheckOK,CheckErr)</f>
        <v>!</v>
      </c>
    </row>
    <row r="139" spans="1:16" ht="40.5">
      <c r="A139" s="57">
        <f t="shared" si="5"/>
        <v>126</v>
      </c>
      <c r="B139" s="68"/>
      <c r="C139" s="68" t="s">
        <v>1005</v>
      </c>
      <c r="D139" s="68">
        <v>7.4</v>
      </c>
      <c r="E139" s="68">
        <v>60</v>
      </c>
      <c r="F139" s="152" t="s">
        <v>1004</v>
      </c>
      <c r="G139" s="67"/>
      <c r="H139" s="65" t="s">
        <v>884</v>
      </c>
      <c r="I139" s="152" t="s">
        <v>1050</v>
      </c>
      <c r="J139" s="65" t="s">
        <v>86</v>
      </c>
      <c r="K139" s="65" t="s">
        <v>106</v>
      </c>
      <c r="L139" s="112"/>
      <c r="M139" s="58"/>
      <c r="N139" s="66" t="e">
        <f>IF(OR(AND(CodeFileListUsed="Yes",#REF!="",COUNTA(B139:B139,#REF!)&lt;&gt;0),AND(COUNTA(B139:B139,#REF!)&lt;&gt;0, COUNTA(B139:B139,#REF!)&lt;&gt;COUNTA(B$13:C$13,D$13:F$13))),CheckErr,CheckOK)</f>
        <v>#REF!</v>
      </c>
      <c r="O139" s="50" t="str">
        <f>IF(OR(ISBLANK(#REF!), AND(NOT(ISBLANK(H139)),OR(AND(J139="Accepted",OR(K139="Y",K139="y")),J139="Noted",J139="Duplicate",AND(J139="Rejected",NOT(ISBLANK(I139)))))),CheckOK,CheckErr)</f>
        <v/>
      </c>
      <c r="P139" s="50" t="str">
        <f>IF(OR(ISBLANK(#REF!),NOT(ISBLANK(L139))),CheckOK,CheckErr)</f>
        <v>!</v>
      </c>
    </row>
    <row r="140" spans="1:16" ht="81">
      <c r="A140" s="57">
        <f t="shared" si="5"/>
        <v>127</v>
      </c>
      <c r="B140" s="68"/>
      <c r="C140" s="68" t="s">
        <v>1003</v>
      </c>
      <c r="D140" s="68">
        <v>8.3000000000000007</v>
      </c>
      <c r="E140" s="68">
        <v>61</v>
      </c>
      <c r="F140" s="152" t="s">
        <v>1002</v>
      </c>
      <c r="G140" s="67"/>
      <c r="H140" s="65" t="s">
        <v>884</v>
      </c>
      <c r="I140" s="152" t="s">
        <v>1050</v>
      </c>
      <c r="J140" s="65" t="s">
        <v>86</v>
      </c>
      <c r="K140" s="65" t="s">
        <v>106</v>
      </c>
      <c r="L140" s="112"/>
      <c r="M140" s="58"/>
      <c r="N140" s="66" t="e">
        <f>IF(OR(AND(CodeFileListUsed="Yes",#REF!="",COUNTA(B140:B140,#REF!)&lt;&gt;0),AND(COUNTA(B140:B140,#REF!)&lt;&gt;0, COUNTA(B140:B140,#REF!)&lt;&gt;COUNTA(B$13:C$13,D$13:F$13))),CheckErr,CheckOK)</f>
        <v>#REF!</v>
      </c>
      <c r="O140" s="50" t="str">
        <f>IF(OR(ISBLANK(#REF!), AND(NOT(ISBLANK(H140)),OR(AND(J140="Accepted",OR(K140="Y",K140="y")),J140="Noted",J140="Duplicate",AND(J140="Rejected",NOT(ISBLANK(I140)))))),CheckOK,CheckErr)</f>
        <v/>
      </c>
      <c r="P140" s="50" t="str">
        <f>IF(OR(ISBLANK(#REF!),NOT(ISBLANK(L140))),CheckOK,CheckErr)</f>
        <v>!</v>
      </c>
    </row>
    <row r="141" spans="1:16" ht="135">
      <c r="A141" s="57">
        <f t="shared" si="5"/>
        <v>128</v>
      </c>
      <c r="B141" s="68"/>
      <c r="C141" s="68" t="s">
        <v>1001</v>
      </c>
      <c r="D141" s="68" t="s">
        <v>1000</v>
      </c>
      <c r="E141" s="68">
        <v>30</v>
      </c>
      <c r="F141" s="152" t="s">
        <v>999</v>
      </c>
      <c r="G141" s="67"/>
      <c r="H141" s="65"/>
      <c r="I141" s="183" t="s">
        <v>1049</v>
      </c>
      <c r="J141" s="65"/>
      <c r="K141" s="65" t="s">
        <v>106</v>
      </c>
      <c r="L141" s="112"/>
      <c r="M141" s="58"/>
      <c r="N141" s="66" t="e">
        <f>IF(OR(AND(CodeFileListUsed="Yes",#REF!="",COUNTA(B141:B141,#REF!)&lt;&gt;0),AND(COUNTA(B141:B141,#REF!)&lt;&gt;0, COUNTA(B141:B141,#REF!)&lt;&gt;COUNTA(B$13:C$13,D$13:F$13))),CheckErr,CheckOK)</f>
        <v>#REF!</v>
      </c>
      <c r="O141" s="50" t="str">
        <f>IF(OR(ISBLANK(#REF!), AND(NOT(ISBLANK(H141)),OR(AND(J141="Accepted",OR(K141="Y",K141="y")),J141="Noted",J141="Duplicate",AND(J141="Rejected",NOT(ISBLANK(I141)))))),CheckOK,CheckErr)</f>
        <v>!</v>
      </c>
      <c r="P141" s="50" t="str">
        <f>IF(OR(ISBLANK(#REF!),NOT(ISBLANK(L141))),CheckOK,CheckErr)</f>
        <v>!</v>
      </c>
    </row>
    <row r="142" spans="1:16">
      <c r="A142" s="57">
        <f t="shared" si="5"/>
        <v>129</v>
      </c>
      <c r="B142" s="68"/>
      <c r="C142" s="68"/>
      <c r="D142" s="68"/>
      <c r="E142" s="68"/>
      <c r="F142" s="152"/>
      <c r="G142" s="67"/>
      <c r="H142" s="65"/>
      <c r="I142" s="152"/>
      <c r="J142" s="65"/>
      <c r="K142" s="65" t="s">
        <v>106</v>
      </c>
      <c r="L142" s="112"/>
      <c r="M142" s="58"/>
      <c r="N142" s="66" t="e">
        <f>IF(OR(AND(CodeFileListUsed="Yes",#REF!="",COUNTA(B142:C142,D142:F142)&lt;&gt;0),AND(COUNTA(B142:C142,D142:F142)&lt;&gt;0, COUNTA(B142:C142,D142:F142)&lt;&gt;COUNTA(B$13:C$13,D$13:F$13))),CheckErr,CheckOK)</f>
        <v>#REF!</v>
      </c>
      <c r="O142" s="50" t="str">
        <f t="shared" ref="O142:O205" si="6">IF(OR(ISBLANK(F142), AND(NOT(ISBLANK(H142)),OR(AND(J142="Accepted",OR(K142="Y",K142="y")),J142="Noted",J142="Duplicate",AND(J142="Rejected",NOT(ISBLANK(I142)))))),CheckOK,CheckErr)</f>
        <v/>
      </c>
      <c r="P142" s="50" t="str">
        <f t="shared" ref="P142:P205" si="7">IF(OR(ISBLANK(F142),NOT(ISBLANK(L142))),CheckOK,CheckErr)</f>
        <v/>
      </c>
    </row>
    <row r="143" spans="1:16">
      <c r="A143" s="57">
        <f t="shared" ref="A143:A206" si="8">A142+1</f>
        <v>130</v>
      </c>
      <c r="B143" s="68"/>
      <c r="C143" s="68"/>
      <c r="D143" s="68"/>
      <c r="E143" s="68"/>
      <c r="F143" s="152"/>
      <c r="G143" s="67"/>
      <c r="H143" s="65"/>
      <c r="I143" s="152"/>
      <c r="J143" s="65"/>
      <c r="K143" s="65" t="s">
        <v>106</v>
      </c>
      <c r="L143" s="112"/>
      <c r="M143" s="58"/>
      <c r="N143" s="66" t="e">
        <f>IF(OR(AND(CodeFileListUsed="Yes",#REF!="",COUNTA(B143:C143,D143:F143)&lt;&gt;0),AND(COUNTA(B143:C143,D143:F143)&lt;&gt;0, COUNTA(B143:C143,D143:F143)&lt;&gt;COUNTA(B$13:C$13,D$13:F$13))),CheckErr,CheckOK)</f>
        <v>#REF!</v>
      </c>
      <c r="O143" s="50" t="str">
        <f t="shared" si="6"/>
        <v/>
      </c>
      <c r="P143" s="50" t="str">
        <f t="shared" si="7"/>
        <v/>
      </c>
    </row>
    <row r="144" spans="1:16">
      <c r="A144" s="57">
        <f t="shared" si="8"/>
        <v>131</v>
      </c>
      <c r="B144" s="68"/>
      <c r="C144" s="68"/>
      <c r="D144" s="68"/>
      <c r="E144" s="68"/>
      <c r="F144" s="152"/>
      <c r="G144" s="67"/>
      <c r="H144" s="65"/>
      <c r="I144" s="152"/>
      <c r="J144" s="65"/>
      <c r="K144" s="65" t="s">
        <v>106</v>
      </c>
      <c r="L144" s="112"/>
      <c r="M144" s="58"/>
      <c r="N144" s="66" t="e">
        <f>IF(OR(AND(CodeFileListUsed="Yes",#REF!="",COUNTA(B144:C144,D144:F144)&lt;&gt;0),AND(COUNTA(B144:C144,D144:F144)&lt;&gt;0, COUNTA(B144:C144,D144:F144)&lt;&gt;COUNTA(B$13:C$13,D$13:F$13))),CheckErr,CheckOK)</f>
        <v>#REF!</v>
      </c>
      <c r="O144" s="50" t="str">
        <f t="shared" si="6"/>
        <v/>
      </c>
      <c r="P144" s="50" t="str">
        <f t="shared" si="7"/>
        <v/>
      </c>
    </row>
    <row r="145" spans="1:16">
      <c r="A145" s="57">
        <f t="shared" si="8"/>
        <v>132</v>
      </c>
      <c r="B145" s="68"/>
      <c r="C145" s="68"/>
      <c r="D145" s="68"/>
      <c r="E145" s="68"/>
      <c r="F145" s="152"/>
      <c r="G145" s="67"/>
      <c r="H145" s="65"/>
      <c r="I145" s="152"/>
      <c r="J145" s="65"/>
      <c r="K145" s="65" t="s">
        <v>106</v>
      </c>
      <c r="L145" s="112"/>
      <c r="M145" s="58"/>
      <c r="N145" s="66" t="e">
        <f>IF(OR(AND(CodeFileListUsed="Yes",#REF!="",COUNTA(B145:C145,D145:F145)&lt;&gt;0),AND(COUNTA(B145:C145,D145:F145)&lt;&gt;0, COUNTA(B145:C145,D145:F145)&lt;&gt;COUNTA(B$13:C$13,D$13:F$13))),CheckErr,CheckOK)</f>
        <v>#REF!</v>
      </c>
      <c r="O145" s="50" t="str">
        <f t="shared" si="6"/>
        <v/>
      </c>
      <c r="P145" s="50" t="str">
        <f t="shared" si="7"/>
        <v/>
      </c>
    </row>
    <row r="146" spans="1:16">
      <c r="A146" s="57">
        <f t="shared" si="8"/>
        <v>133</v>
      </c>
      <c r="B146" s="68"/>
      <c r="C146" s="68"/>
      <c r="D146" s="68"/>
      <c r="E146" s="68"/>
      <c r="F146" s="152"/>
      <c r="G146" s="67"/>
      <c r="H146" s="65"/>
      <c r="I146" s="152"/>
      <c r="J146" s="65"/>
      <c r="K146" s="65" t="s">
        <v>106</v>
      </c>
      <c r="L146" s="112"/>
      <c r="M146" s="58"/>
      <c r="N146" s="66" t="e">
        <f>IF(OR(AND(CodeFileListUsed="Yes",#REF!="",COUNTA(B146:C146,D146:F146)&lt;&gt;0),AND(COUNTA(B146:C146,D146:F146)&lt;&gt;0, COUNTA(B146:C146,D146:F146)&lt;&gt;COUNTA(B$13:C$13,D$13:F$13))),CheckErr,CheckOK)</f>
        <v>#REF!</v>
      </c>
      <c r="O146" s="50" t="str">
        <f t="shared" si="6"/>
        <v/>
      </c>
      <c r="P146" s="50" t="str">
        <f t="shared" si="7"/>
        <v/>
      </c>
    </row>
    <row r="147" spans="1:16">
      <c r="A147" s="57">
        <f t="shared" si="8"/>
        <v>134</v>
      </c>
      <c r="B147" s="68"/>
      <c r="C147" s="68"/>
      <c r="D147" s="68"/>
      <c r="E147" s="68"/>
      <c r="F147" s="152"/>
      <c r="G147" s="67"/>
      <c r="H147" s="65"/>
      <c r="I147" s="152"/>
      <c r="J147" s="65"/>
      <c r="K147" s="65" t="s">
        <v>106</v>
      </c>
      <c r="L147" s="112"/>
      <c r="M147" s="58"/>
      <c r="N147" s="66" t="e">
        <f>IF(OR(AND(CodeFileListUsed="Yes",#REF!="",COUNTA(B147:C147,D147:F147)&lt;&gt;0),AND(COUNTA(B147:C147,D147:F147)&lt;&gt;0, COUNTA(B147:C147,D147:F147)&lt;&gt;COUNTA(B$13:C$13,D$13:F$13))),CheckErr,CheckOK)</f>
        <v>#REF!</v>
      </c>
      <c r="O147" s="50" t="str">
        <f t="shared" si="6"/>
        <v/>
      </c>
      <c r="P147" s="50" t="str">
        <f t="shared" si="7"/>
        <v/>
      </c>
    </row>
    <row r="148" spans="1:16">
      <c r="A148" s="57">
        <f t="shared" si="8"/>
        <v>135</v>
      </c>
      <c r="B148" s="68"/>
      <c r="C148" s="68"/>
      <c r="D148" s="68"/>
      <c r="E148" s="68"/>
      <c r="F148" s="152"/>
      <c r="G148" s="67"/>
      <c r="H148" s="65"/>
      <c r="I148" s="152"/>
      <c r="J148" s="65"/>
      <c r="K148" s="65" t="s">
        <v>106</v>
      </c>
      <c r="L148" s="112"/>
      <c r="M148" s="58"/>
      <c r="N148" s="66" t="e">
        <f>IF(OR(AND(CodeFileListUsed="Yes",#REF!="",COUNTA(B148:C148,D148:F148)&lt;&gt;0),AND(COUNTA(B148:C148,D148:F148)&lt;&gt;0, COUNTA(B148:C148,D148:F148)&lt;&gt;COUNTA(B$13:C$13,D$13:F$13))),CheckErr,CheckOK)</f>
        <v>#REF!</v>
      </c>
      <c r="O148" s="50" t="str">
        <f t="shared" si="6"/>
        <v/>
      </c>
      <c r="P148" s="50" t="str">
        <f t="shared" si="7"/>
        <v/>
      </c>
    </row>
    <row r="149" spans="1:16">
      <c r="A149" s="57">
        <f t="shared" si="8"/>
        <v>136</v>
      </c>
      <c r="B149" s="68"/>
      <c r="C149" s="68"/>
      <c r="D149" s="68"/>
      <c r="E149" s="68"/>
      <c r="F149" s="152"/>
      <c r="G149" s="67"/>
      <c r="H149" s="65"/>
      <c r="I149" s="152"/>
      <c r="J149" s="65"/>
      <c r="K149" s="65" t="s">
        <v>106</v>
      </c>
      <c r="L149" s="112"/>
      <c r="M149" s="58"/>
      <c r="N149" s="66" t="e">
        <f>IF(OR(AND(CodeFileListUsed="Yes",#REF!="",COUNTA(B149:C149,D149:F149)&lt;&gt;0),AND(COUNTA(B149:C149,D149:F149)&lt;&gt;0, COUNTA(B149:C149,D149:F149)&lt;&gt;COUNTA(B$13:C$13,D$13:F$13))),CheckErr,CheckOK)</f>
        <v>#REF!</v>
      </c>
      <c r="O149" s="50" t="str">
        <f t="shared" si="6"/>
        <v/>
      </c>
      <c r="P149" s="50" t="str">
        <f t="shared" si="7"/>
        <v/>
      </c>
    </row>
    <row r="150" spans="1:16">
      <c r="A150" s="57">
        <f t="shared" si="8"/>
        <v>137</v>
      </c>
      <c r="B150" s="68"/>
      <c r="C150" s="68"/>
      <c r="D150" s="68"/>
      <c r="E150" s="68"/>
      <c r="F150" s="152"/>
      <c r="G150" s="67"/>
      <c r="H150" s="65"/>
      <c r="I150" s="152"/>
      <c r="J150" s="65"/>
      <c r="K150" s="65" t="s">
        <v>106</v>
      </c>
      <c r="L150" s="112"/>
      <c r="M150" s="58"/>
      <c r="N150" s="66" t="e">
        <f>IF(OR(AND(CodeFileListUsed="Yes",#REF!="",COUNTA(B150:C150,D150:F150)&lt;&gt;0),AND(COUNTA(B150:C150,D150:F150)&lt;&gt;0, COUNTA(B150:C150,D150:F150)&lt;&gt;COUNTA(B$13:C$13,D$13:F$13))),CheckErr,CheckOK)</f>
        <v>#REF!</v>
      </c>
      <c r="O150" s="50" t="str">
        <f t="shared" si="6"/>
        <v/>
      </c>
      <c r="P150" s="50" t="str">
        <f t="shared" si="7"/>
        <v/>
      </c>
    </row>
    <row r="151" spans="1:16">
      <c r="A151" s="57">
        <f t="shared" si="8"/>
        <v>138</v>
      </c>
      <c r="B151" s="68"/>
      <c r="C151" s="68"/>
      <c r="D151" s="68"/>
      <c r="E151" s="68"/>
      <c r="F151" s="152"/>
      <c r="G151" s="67"/>
      <c r="H151" s="65"/>
      <c r="I151" s="152"/>
      <c r="J151" s="65"/>
      <c r="K151" s="65" t="s">
        <v>106</v>
      </c>
      <c r="L151" s="112"/>
      <c r="M151" s="58"/>
      <c r="N151" s="66" t="e">
        <f>IF(OR(AND(CodeFileListUsed="Yes",#REF!="",COUNTA(B151:C151,D151:F151)&lt;&gt;0),AND(COUNTA(B151:C151,D151:F151)&lt;&gt;0, COUNTA(B151:C151,D151:F151)&lt;&gt;COUNTA(B$13:C$13,D$13:F$13))),CheckErr,CheckOK)</f>
        <v>#REF!</v>
      </c>
      <c r="O151" s="50" t="str">
        <f t="shared" si="6"/>
        <v/>
      </c>
      <c r="P151" s="50" t="str">
        <f t="shared" si="7"/>
        <v/>
      </c>
    </row>
    <row r="152" spans="1:16">
      <c r="A152" s="57">
        <f t="shared" si="8"/>
        <v>139</v>
      </c>
      <c r="B152" s="68"/>
      <c r="C152" s="68"/>
      <c r="D152" s="68"/>
      <c r="E152" s="68"/>
      <c r="F152" s="152"/>
      <c r="G152" s="67"/>
      <c r="H152" s="65"/>
      <c r="I152" s="152"/>
      <c r="J152" s="65"/>
      <c r="K152" s="65" t="s">
        <v>106</v>
      </c>
      <c r="L152" s="112"/>
      <c r="M152" s="58"/>
      <c r="N152" s="66" t="e">
        <f>IF(OR(AND(CodeFileListUsed="Yes",#REF!="",COUNTA(B152:C152,D152:F152)&lt;&gt;0),AND(COUNTA(B152:C152,D152:F152)&lt;&gt;0, COUNTA(B152:C152,D152:F152)&lt;&gt;COUNTA(B$13:C$13,D$13:F$13))),CheckErr,CheckOK)</f>
        <v>#REF!</v>
      </c>
      <c r="O152" s="50" t="str">
        <f t="shared" si="6"/>
        <v/>
      </c>
      <c r="P152" s="50" t="str">
        <f t="shared" si="7"/>
        <v/>
      </c>
    </row>
    <row r="153" spans="1:16">
      <c r="A153" s="57">
        <f t="shared" si="8"/>
        <v>140</v>
      </c>
      <c r="B153" s="68"/>
      <c r="C153" s="68"/>
      <c r="D153" s="68"/>
      <c r="E153" s="68"/>
      <c r="F153" s="152"/>
      <c r="G153" s="67"/>
      <c r="H153" s="65"/>
      <c r="I153" s="152"/>
      <c r="J153" s="65"/>
      <c r="K153" s="65" t="s">
        <v>106</v>
      </c>
      <c r="L153" s="112"/>
      <c r="M153" s="58"/>
      <c r="N153" s="66" t="e">
        <f>IF(OR(AND(CodeFileListUsed="Yes",#REF!="",COUNTA(B153:C153,D153:F153)&lt;&gt;0),AND(COUNTA(B153:C153,D153:F153)&lt;&gt;0, COUNTA(B153:C153,D153:F153)&lt;&gt;COUNTA(B$13:C$13,D$13:F$13))),CheckErr,CheckOK)</f>
        <v>#REF!</v>
      </c>
      <c r="O153" s="50" t="str">
        <f t="shared" si="6"/>
        <v/>
      </c>
      <c r="P153" s="50" t="str">
        <f t="shared" si="7"/>
        <v/>
      </c>
    </row>
    <row r="154" spans="1:16">
      <c r="A154" s="57">
        <f t="shared" si="8"/>
        <v>141</v>
      </c>
      <c r="B154" s="68"/>
      <c r="C154" s="68"/>
      <c r="D154" s="68"/>
      <c r="E154" s="68"/>
      <c r="F154" s="152"/>
      <c r="G154" s="67"/>
      <c r="H154" s="65"/>
      <c r="I154" s="152"/>
      <c r="J154" s="65"/>
      <c r="K154" s="65" t="s">
        <v>106</v>
      </c>
      <c r="L154" s="112"/>
      <c r="M154" s="58"/>
      <c r="N154" s="66" t="e">
        <f>IF(OR(AND(CodeFileListUsed="Yes",#REF!="",COUNTA(B154:C154,D154:F154)&lt;&gt;0),AND(COUNTA(B154:C154,D154:F154)&lt;&gt;0, COUNTA(B154:C154,D154:F154)&lt;&gt;COUNTA(B$13:C$13,D$13:F$13))),CheckErr,CheckOK)</f>
        <v>#REF!</v>
      </c>
      <c r="O154" s="50" t="str">
        <f t="shared" si="6"/>
        <v/>
      </c>
      <c r="P154" s="50" t="str">
        <f t="shared" si="7"/>
        <v/>
      </c>
    </row>
    <row r="155" spans="1:16">
      <c r="A155" s="57">
        <f t="shared" si="8"/>
        <v>142</v>
      </c>
      <c r="B155" s="68"/>
      <c r="C155" s="68"/>
      <c r="D155" s="68"/>
      <c r="E155" s="68"/>
      <c r="F155" s="152"/>
      <c r="G155" s="67"/>
      <c r="H155" s="65"/>
      <c r="I155" s="152"/>
      <c r="J155" s="65"/>
      <c r="K155" s="65" t="s">
        <v>106</v>
      </c>
      <c r="L155" s="112"/>
      <c r="M155" s="58"/>
      <c r="N155" s="66" t="e">
        <f>IF(OR(AND(CodeFileListUsed="Yes",#REF!="",COUNTA(B155:C155,D155:F155)&lt;&gt;0),AND(COUNTA(B155:C155,D155:F155)&lt;&gt;0, COUNTA(B155:C155,D155:F155)&lt;&gt;COUNTA(B$13:C$13,D$13:F$13))),CheckErr,CheckOK)</f>
        <v>#REF!</v>
      </c>
      <c r="O155" s="50" t="str">
        <f t="shared" si="6"/>
        <v/>
      </c>
      <c r="P155" s="50" t="str">
        <f t="shared" si="7"/>
        <v/>
      </c>
    </row>
    <row r="156" spans="1:16">
      <c r="A156" s="57">
        <f t="shared" si="8"/>
        <v>143</v>
      </c>
      <c r="B156" s="68"/>
      <c r="C156" s="68"/>
      <c r="D156" s="68"/>
      <c r="E156" s="68"/>
      <c r="F156" s="152"/>
      <c r="G156" s="67"/>
      <c r="H156" s="65"/>
      <c r="I156" s="152"/>
      <c r="J156" s="65"/>
      <c r="K156" s="65" t="s">
        <v>106</v>
      </c>
      <c r="L156" s="112"/>
      <c r="M156" s="58"/>
      <c r="N156" s="66" t="e">
        <f>IF(OR(AND(CodeFileListUsed="Yes",#REF!="",COUNTA(B156:C156,D156:F156)&lt;&gt;0),AND(COUNTA(B156:C156,D156:F156)&lt;&gt;0, COUNTA(B156:C156,D156:F156)&lt;&gt;COUNTA(B$13:C$13,D$13:F$13))),CheckErr,CheckOK)</f>
        <v>#REF!</v>
      </c>
      <c r="O156" s="50" t="str">
        <f t="shared" si="6"/>
        <v/>
      </c>
      <c r="P156" s="50" t="str">
        <f t="shared" si="7"/>
        <v/>
      </c>
    </row>
    <row r="157" spans="1:16">
      <c r="A157" s="57">
        <f t="shared" si="8"/>
        <v>144</v>
      </c>
      <c r="B157" s="68"/>
      <c r="C157" s="68"/>
      <c r="D157" s="68"/>
      <c r="E157" s="68"/>
      <c r="F157" s="152"/>
      <c r="G157" s="67"/>
      <c r="H157" s="65"/>
      <c r="I157" s="152"/>
      <c r="J157" s="65"/>
      <c r="K157" s="65" t="s">
        <v>106</v>
      </c>
      <c r="L157" s="112"/>
      <c r="M157" s="58"/>
      <c r="N157" s="66" t="e">
        <f>IF(OR(AND(CodeFileListUsed="Yes",#REF!="",COUNTA(B157:C157,D157:F157)&lt;&gt;0),AND(COUNTA(B157:C157,D157:F157)&lt;&gt;0, COUNTA(B157:C157,D157:F157)&lt;&gt;COUNTA(B$13:C$13,D$13:F$13))),CheckErr,CheckOK)</f>
        <v>#REF!</v>
      </c>
      <c r="O157" s="50" t="str">
        <f t="shared" si="6"/>
        <v/>
      </c>
      <c r="P157" s="50" t="str">
        <f t="shared" si="7"/>
        <v/>
      </c>
    </row>
    <row r="158" spans="1:16">
      <c r="A158" s="57">
        <f t="shared" si="8"/>
        <v>145</v>
      </c>
      <c r="B158" s="68"/>
      <c r="C158" s="68"/>
      <c r="D158" s="68"/>
      <c r="E158" s="68"/>
      <c r="F158" s="152"/>
      <c r="G158" s="67"/>
      <c r="H158" s="65"/>
      <c r="I158" s="152"/>
      <c r="J158" s="65"/>
      <c r="K158" s="65" t="s">
        <v>106</v>
      </c>
      <c r="L158" s="112"/>
      <c r="M158" s="58"/>
      <c r="N158" s="66" t="e">
        <f>IF(OR(AND(CodeFileListUsed="Yes",#REF!="",COUNTA(B158:C158,D158:F158)&lt;&gt;0),AND(COUNTA(B158:C158,D158:F158)&lt;&gt;0, COUNTA(B158:C158,D158:F158)&lt;&gt;COUNTA(B$13:C$13,D$13:F$13))),CheckErr,CheckOK)</f>
        <v>#REF!</v>
      </c>
      <c r="O158" s="50" t="str">
        <f t="shared" si="6"/>
        <v/>
      </c>
      <c r="P158" s="50" t="str">
        <f t="shared" si="7"/>
        <v/>
      </c>
    </row>
    <row r="159" spans="1:16">
      <c r="A159" s="57">
        <f t="shared" si="8"/>
        <v>146</v>
      </c>
      <c r="B159" s="68"/>
      <c r="C159" s="68"/>
      <c r="D159" s="68"/>
      <c r="E159" s="68"/>
      <c r="F159" s="152"/>
      <c r="G159" s="67"/>
      <c r="H159" s="65"/>
      <c r="I159" s="152"/>
      <c r="J159" s="65"/>
      <c r="K159" s="65" t="s">
        <v>106</v>
      </c>
      <c r="L159" s="112"/>
      <c r="M159" s="58"/>
      <c r="N159" s="66" t="e">
        <f>IF(OR(AND(CodeFileListUsed="Yes",#REF!="",COUNTA(B159:C159,D159:F159)&lt;&gt;0),AND(COUNTA(B159:C159,D159:F159)&lt;&gt;0, COUNTA(B159:C159,D159:F159)&lt;&gt;COUNTA(B$13:C$13,D$13:F$13))),CheckErr,CheckOK)</f>
        <v>#REF!</v>
      </c>
      <c r="O159" s="50" t="str">
        <f t="shared" si="6"/>
        <v/>
      </c>
      <c r="P159" s="50" t="str">
        <f t="shared" si="7"/>
        <v/>
      </c>
    </row>
    <row r="160" spans="1:16">
      <c r="A160" s="57">
        <f t="shared" si="8"/>
        <v>147</v>
      </c>
      <c r="B160" s="68"/>
      <c r="C160" s="68"/>
      <c r="D160" s="68"/>
      <c r="E160" s="68"/>
      <c r="F160" s="152"/>
      <c r="G160" s="67"/>
      <c r="H160" s="65"/>
      <c r="I160" s="152"/>
      <c r="J160" s="65"/>
      <c r="K160" s="65" t="s">
        <v>106</v>
      </c>
      <c r="L160" s="112"/>
      <c r="M160" s="58"/>
      <c r="N160" s="66" t="e">
        <f>IF(OR(AND(CodeFileListUsed="Yes",#REF!="",COUNTA(B160:C160,D160:F160)&lt;&gt;0),AND(COUNTA(B160:C160,D160:F160)&lt;&gt;0, COUNTA(B160:C160,D160:F160)&lt;&gt;COUNTA(B$13:C$13,D$13:F$13))),CheckErr,CheckOK)</f>
        <v>#REF!</v>
      </c>
      <c r="O160" s="50" t="str">
        <f t="shared" si="6"/>
        <v/>
      </c>
      <c r="P160" s="50" t="str">
        <f t="shared" si="7"/>
        <v/>
      </c>
    </row>
    <row r="161" spans="1:16">
      <c r="A161" s="57">
        <f t="shared" si="8"/>
        <v>148</v>
      </c>
      <c r="B161" s="68"/>
      <c r="C161" s="68"/>
      <c r="D161" s="68"/>
      <c r="E161" s="68"/>
      <c r="F161" s="152"/>
      <c r="G161" s="67"/>
      <c r="H161" s="65"/>
      <c r="I161" s="152"/>
      <c r="J161" s="65"/>
      <c r="K161" s="65" t="s">
        <v>106</v>
      </c>
      <c r="L161" s="112"/>
      <c r="M161" s="58"/>
      <c r="N161" s="66" t="e">
        <f>IF(OR(AND(CodeFileListUsed="Yes",#REF!="",COUNTA(B161:C161,D161:F161)&lt;&gt;0),AND(COUNTA(B161:C161,D161:F161)&lt;&gt;0, COUNTA(B161:C161,D161:F161)&lt;&gt;COUNTA(B$13:C$13,D$13:F$13))),CheckErr,CheckOK)</f>
        <v>#REF!</v>
      </c>
      <c r="O161" s="50" t="str">
        <f t="shared" si="6"/>
        <v/>
      </c>
      <c r="P161" s="50" t="str">
        <f t="shared" si="7"/>
        <v/>
      </c>
    </row>
    <row r="162" spans="1:16">
      <c r="A162" s="57">
        <f t="shared" si="8"/>
        <v>149</v>
      </c>
      <c r="B162" s="68"/>
      <c r="C162" s="68"/>
      <c r="D162" s="68"/>
      <c r="E162" s="68"/>
      <c r="F162" s="152"/>
      <c r="G162" s="67"/>
      <c r="H162" s="65"/>
      <c r="I162" s="152"/>
      <c r="J162" s="65"/>
      <c r="K162" s="65" t="s">
        <v>106</v>
      </c>
      <c r="L162" s="112"/>
      <c r="M162" s="58"/>
      <c r="N162" s="66" t="e">
        <f>IF(OR(AND(CodeFileListUsed="Yes",#REF!="",COUNTA(B162:C162,D162:F162)&lt;&gt;0),AND(COUNTA(B162:C162,D162:F162)&lt;&gt;0, COUNTA(B162:C162,D162:F162)&lt;&gt;COUNTA(B$13:C$13,D$13:F$13))),CheckErr,CheckOK)</f>
        <v>#REF!</v>
      </c>
      <c r="O162" s="50" t="str">
        <f t="shared" si="6"/>
        <v/>
      </c>
      <c r="P162" s="50" t="str">
        <f t="shared" si="7"/>
        <v/>
      </c>
    </row>
    <row r="163" spans="1:16">
      <c r="A163" s="57">
        <f t="shared" si="8"/>
        <v>150</v>
      </c>
      <c r="B163" s="68"/>
      <c r="C163" s="68"/>
      <c r="D163" s="68"/>
      <c r="E163" s="68"/>
      <c r="F163" s="152"/>
      <c r="G163" s="67"/>
      <c r="H163" s="65"/>
      <c r="I163" s="152"/>
      <c r="J163" s="65"/>
      <c r="K163" s="65" t="s">
        <v>106</v>
      </c>
      <c r="L163" s="112"/>
      <c r="M163" s="58"/>
      <c r="N163" s="66" t="e">
        <f>IF(OR(AND(CodeFileListUsed="Yes",#REF!="",COUNTA(B163:C163,D163:F163)&lt;&gt;0),AND(COUNTA(B163:C163,D163:F163)&lt;&gt;0, COUNTA(B163:C163,D163:F163)&lt;&gt;COUNTA(B$13:C$13,D$13:F$13))),CheckErr,CheckOK)</f>
        <v>#REF!</v>
      </c>
      <c r="O163" s="50" t="str">
        <f t="shared" si="6"/>
        <v/>
      </c>
      <c r="P163" s="50" t="str">
        <f t="shared" si="7"/>
        <v/>
      </c>
    </row>
    <row r="164" spans="1:16">
      <c r="A164" s="57">
        <f t="shared" si="8"/>
        <v>151</v>
      </c>
      <c r="B164" s="68"/>
      <c r="C164" s="68"/>
      <c r="D164" s="68"/>
      <c r="E164" s="68"/>
      <c r="F164" s="152"/>
      <c r="G164" s="67"/>
      <c r="H164" s="65"/>
      <c r="I164" s="152"/>
      <c r="J164" s="65"/>
      <c r="K164" s="65" t="s">
        <v>106</v>
      </c>
      <c r="L164" s="112"/>
      <c r="M164" s="58"/>
      <c r="N164" s="66" t="e">
        <f>IF(OR(AND(CodeFileListUsed="Yes",#REF!="",COUNTA(B164:C164,D164:F164)&lt;&gt;0),AND(COUNTA(B164:C164,D164:F164)&lt;&gt;0, COUNTA(B164:C164,D164:F164)&lt;&gt;COUNTA(B$13:C$13,D$13:F$13))),CheckErr,CheckOK)</f>
        <v>#REF!</v>
      </c>
      <c r="O164" s="50" t="str">
        <f t="shared" si="6"/>
        <v/>
      </c>
      <c r="P164" s="50" t="str">
        <f t="shared" si="7"/>
        <v/>
      </c>
    </row>
    <row r="165" spans="1:16">
      <c r="A165" s="57">
        <f t="shared" si="8"/>
        <v>152</v>
      </c>
      <c r="B165" s="68"/>
      <c r="C165" s="68"/>
      <c r="D165" s="68"/>
      <c r="E165" s="68"/>
      <c r="F165" s="152"/>
      <c r="G165" s="67"/>
      <c r="H165" s="65"/>
      <c r="I165" s="152"/>
      <c r="J165" s="65"/>
      <c r="K165" s="65" t="s">
        <v>106</v>
      </c>
      <c r="L165" s="112"/>
      <c r="M165" s="58"/>
      <c r="N165" s="66" t="e">
        <f>IF(OR(AND(CodeFileListUsed="Yes",#REF!="",COUNTA(B165:C165,D165:F165)&lt;&gt;0),AND(COUNTA(B165:C165,D165:F165)&lt;&gt;0, COUNTA(B165:C165,D165:F165)&lt;&gt;COUNTA(B$13:C$13,D$13:F$13))),CheckErr,CheckOK)</f>
        <v>#REF!</v>
      </c>
      <c r="O165" s="50" t="str">
        <f t="shared" si="6"/>
        <v/>
      </c>
      <c r="P165" s="50" t="str">
        <f t="shared" si="7"/>
        <v/>
      </c>
    </row>
    <row r="166" spans="1:16">
      <c r="A166" s="57">
        <f t="shared" si="8"/>
        <v>153</v>
      </c>
      <c r="B166" s="68"/>
      <c r="C166" s="68"/>
      <c r="D166" s="68"/>
      <c r="E166" s="68"/>
      <c r="F166" s="152"/>
      <c r="G166" s="67"/>
      <c r="H166" s="65"/>
      <c r="I166" s="152"/>
      <c r="J166" s="65"/>
      <c r="K166" s="65" t="s">
        <v>106</v>
      </c>
      <c r="L166" s="112"/>
      <c r="M166" s="58"/>
      <c r="N166" s="66" t="e">
        <f>IF(OR(AND(CodeFileListUsed="Yes",#REF!="",COUNTA(B166:C166,D166:F166)&lt;&gt;0),AND(COUNTA(B166:C166,D166:F166)&lt;&gt;0, COUNTA(B166:C166,D166:F166)&lt;&gt;COUNTA(B$13:C$13,D$13:F$13))),CheckErr,CheckOK)</f>
        <v>#REF!</v>
      </c>
      <c r="O166" s="50" t="str">
        <f t="shared" si="6"/>
        <v/>
      </c>
      <c r="P166" s="50" t="str">
        <f t="shared" si="7"/>
        <v/>
      </c>
    </row>
    <row r="167" spans="1:16">
      <c r="A167" s="57">
        <f t="shared" si="8"/>
        <v>154</v>
      </c>
      <c r="B167" s="68"/>
      <c r="C167" s="68"/>
      <c r="D167" s="68"/>
      <c r="E167" s="68"/>
      <c r="F167" s="152"/>
      <c r="G167" s="67"/>
      <c r="H167" s="65"/>
      <c r="I167" s="152"/>
      <c r="J167" s="65"/>
      <c r="K167" s="65" t="s">
        <v>106</v>
      </c>
      <c r="L167" s="112"/>
      <c r="M167" s="58"/>
      <c r="N167" s="66" t="e">
        <f>IF(OR(AND(CodeFileListUsed="Yes",#REF!="",COUNTA(B167:C167,D167:F167)&lt;&gt;0),AND(COUNTA(B167:C167,D167:F167)&lt;&gt;0, COUNTA(B167:C167,D167:F167)&lt;&gt;COUNTA(B$13:C$13,D$13:F$13))),CheckErr,CheckOK)</f>
        <v>#REF!</v>
      </c>
      <c r="O167" s="50" t="str">
        <f t="shared" si="6"/>
        <v/>
      </c>
      <c r="P167" s="50" t="str">
        <f t="shared" si="7"/>
        <v/>
      </c>
    </row>
    <row r="168" spans="1:16">
      <c r="A168" s="57">
        <f t="shared" si="8"/>
        <v>155</v>
      </c>
      <c r="B168" s="68"/>
      <c r="C168" s="68"/>
      <c r="D168" s="68"/>
      <c r="E168" s="68"/>
      <c r="F168" s="152"/>
      <c r="G168" s="67"/>
      <c r="H168" s="65"/>
      <c r="I168" s="152"/>
      <c r="J168" s="65"/>
      <c r="K168" s="65" t="s">
        <v>106</v>
      </c>
      <c r="L168" s="112"/>
      <c r="M168" s="58"/>
      <c r="N168" s="66" t="e">
        <f>IF(OR(AND(CodeFileListUsed="Yes",#REF!="",COUNTA(B168:C168,D168:F168)&lt;&gt;0),AND(COUNTA(B168:C168,D168:F168)&lt;&gt;0, COUNTA(B168:C168,D168:F168)&lt;&gt;COUNTA(B$13:C$13,D$13:F$13))),CheckErr,CheckOK)</f>
        <v>#REF!</v>
      </c>
      <c r="O168" s="50" t="str">
        <f t="shared" si="6"/>
        <v/>
      </c>
      <c r="P168" s="50" t="str">
        <f t="shared" si="7"/>
        <v/>
      </c>
    </row>
    <row r="169" spans="1:16">
      <c r="A169" s="57">
        <f t="shared" si="8"/>
        <v>156</v>
      </c>
      <c r="B169" s="68"/>
      <c r="C169" s="68"/>
      <c r="D169" s="68"/>
      <c r="E169" s="68"/>
      <c r="F169" s="152"/>
      <c r="G169" s="67"/>
      <c r="H169" s="65"/>
      <c r="I169" s="152"/>
      <c r="J169" s="65"/>
      <c r="K169" s="65" t="s">
        <v>106</v>
      </c>
      <c r="L169" s="112"/>
      <c r="M169" s="58"/>
      <c r="N169" s="66" t="e">
        <f>IF(OR(AND(CodeFileListUsed="Yes",#REF!="",COUNTA(B169:C169,D169:F169)&lt;&gt;0),AND(COUNTA(B169:C169,D169:F169)&lt;&gt;0, COUNTA(B169:C169,D169:F169)&lt;&gt;COUNTA(B$13:C$13,D$13:F$13))),CheckErr,CheckOK)</f>
        <v>#REF!</v>
      </c>
      <c r="O169" s="50" t="str">
        <f t="shared" si="6"/>
        <v/>
      </c>
      <c r="P169" s="50" t="str">
        <f t="shared" si="7"/>
        <v/>
      </c>
    </row>
    <row r="170" spans="1:16">
      <c r="A170" s="57">
        <f t="shared" si="8"/>
        <v>157</v>
      </c>
      <c r="B170" s="68"/>
      <c r="C170" s="68"/>
      <c r="D170" s="68"/>
      <c r="E170" s="68"/>
      <c r="F170" s="152"/>
      <c r="G170" s="67"/>
      <c r="H170" s="65"/>
      <c r="I170" s="152"/>
      <c r="J170" s="65"/>
      <c r="K170" s="65" t="s">
        <v>106</v>
      </c>
      <c r="L170" s="112"/>
      <c r="M170" s="58"/>
      <c r="N170" s="66" t="e">
        <f>IF(OR(AND(CodeFileListUsed="Yes",#REF!="",COUNTA(B170:C170,D170:F170)&lt;&gt;0),AND(COUNTA(B170:C170,D170:F170)&lt;&gt;0, COUNTA(B170:C170,D170:F170)&lt;&gt;COUNTA(B$13:C$13,D$13:F$13))),CheckErr,CheckOK)</f>
        <v>#REF!</v>
      </c>
      <c r="O170" s="50" t="str">
        <f t="shared" si="6"/>
        <v/>
      </c>
      <c r="P170" s="50" t="str">
        <f t="shared" si="7"/>
        <v/>
      </c>
    </row>
    <row r="171" spans="1:16">
      <c r="A171" s="57">
        <f t="shared" si="8"/>
        <v>158</v>
      </c>
      <c r="B171" s="68"/>
      <c r="C171" s="68"/>
      <c r="D171" s="68"/>
      <c r="E171" s="68"/>
      <c r="F171" s="152"/>
      <c r="G171" s="67"/>
      <c r="H171" s="65"/>
      <c r="I171" s="152"/>
      <c r="J171" s="65"/>
      <c r="K171" s="65" t="s">
        <v>106</v>
      </c>
      <c r="L171" s="112"/>
      <c r="M171" s="58"/>
      <c r="N171" s="66" t="e">
        <f>IF(OR(AND(CodeFileListUsed="Yes",#REF!="",COUNTA(B171:C171,D171:F171)&lt;&gt;0),AND(COUNTA(B171:C171,D171:F171)&lt;&gt;0, COUNTA(B171:C171,D171:F171)&lt;&gt;COUNTA(B$13:C$13,D$13:F$13))),CheckErr,CheckOK)</f>
        <v>#REF!</v>
      </c>
      <c r="O171" s="50" t="str">
        <f t="shared" si="6"/>
        <v/>
      </c>
      <c r="P171" s="50" t="str">
        <f t="shared" si="7"/>
        <v/>
      </c>
    </row>
    <row r="172" spans="1:16">
      <c r="A172" s="57">
        <f t="shared" si="8"/>
        <v>159</v>
      </c>
      <c r="B172" s="68"/>
      <c r="C172" s="68"/>
      <c r="D172" s="68"/>
      <c r="E172" s="68"/>
      <c r="F172" s="152"/>
      <c r="G172" s="67"/>
      <c r="H172" s="65"/>
      <c r="I172" s="152"/>
      <c r="J172" s="65"/>
      <c r="K172" s="65" t="s">
        <v>106</v>
      </c>
      <c r="L172" s="112"/>
      <c r="M172" s="58"/>
      <c r="N172" s="66" t="e">
        <f>IF(OR(AND(CodeFileListUsed="Yes",#REF!="",COUNTA(B172:C172,D172:F172)&lt;&gt;0),AND(COUNTA(B172:C172,D172:F172)&lt;&gt;0, COUNTA(B172:C172,D172:F172)&lt;&gt;COUNTA(B$13:C$13,D$13:F$13))),CheckErr,CheckOK)</f>
        <v>#REF!</v>
      </c>
      <c r="O172" s="50" t="str">
        <f t="shared" si="6"/>
        <v/>
      </c>
      <c r="P172" s="50" t="str">
        <f t="shared" si="7"/>
        <v/>
      </c>
    </row>
    <row r="173" spans="1:16">
      <c r="A173" s="57">
        <f t="shared" si="8"/>
        <v>160</v>
      </c>
      <c r="B173" s="68"/>
      <c r="C173" s="68"/>
      <c r="D173" s="68"/>
      <c r="E173" s="68"/>
      <c r="F173" s="152"/>
      <c r="G173" s="67"/>
      <c r="H173" s="65"/>
      <c r="I173" s="152"/>
      <c r="J173" s="65"/>
      <c r="K173" s="65" t="s">
        <v>106</v>
      </c>
      <c r="L173" s="112"/>
      <c r="M173" s="58"/>
      <c r="N173" s="66" t="e">
        <f>IF(OR(AND(CodeFileListUsed="Yes",#REF!="",COUNTA(B173:C173,D173:F173)&lt;&gt;0),AND(COUNTA(B173:C173,D173:F173)&lt;&gt;0, COUNTA(B173:C173,D173:F173)&lt;&gt;COUNTA(B$13:C$13,D$13:F$13))),CheckErr,CheckOK)</f>
        <v>#REF!</v>
      </c>
      <c r="O173" s="50" t="str">
        <f t="shared" si="6"/>
        <v/>
      </c>
      <c r="P173" s="50" t="str">
        <f t="shared" si="7"/>
        <v/>
      </c>
    </row>
    <row r="174" spans="1:16">
      <c r="A174" s="57">
        <f t="shared" si="8"/>
        <v>161</v>
      </c>
      <c r="B174" s="68"/>
      <c r="C174" s="68"/>
      <c r="D174" s="68"/>
      <c r="E174" s="68"/>
      <c r="F174" s="152"/>
      <c r="G174" s="67"/>
      <c r="H174" s="65"/>
      <c r="I174" s="152"/>
      <c r="J174" s="65"/>
      <c r="K174" s="65" t="s">
        <v>106</v>
      </c>
      <c r="L174" s="112"/>
      <c r="M174" s="58"/>
      <c r="N174" s="66" t="e">
        <f>IF(OR(AND(CodeFileListUsed="Yes",#REF!="",COUNTA(B174:C174,D174:F174)&lt;&gt;0),AND(COUNTA(B174:C174,D174:F174)&lt;&gt;0, COUNTA(B174:C174,D174:F174)&lt;&gt;COUNTA(B$13:C$13,D$13:F$13))),CheckErr,CheckOK)</f>
        <v>#REF!</v>
      </c>
      <c r="O174" s="50" t="str">
        <f t="shared" si="6"/>
        <v/>
      </c>
      <c r="P174" s="50" t="str">
        <f t="shared" si="7"/>
        <v/>
      </c>
    </row>
    <row r="175" spans="1:16">
      <c r="A175" s="57">
        <f t="shared" si="8"/>
        <v>162</v>
      </c>
      <c r="B175" s="68"/>
      <c r="C175" s="68"/>
      <c r="D175" s="68"/>
      <c r="E175" s="68"/>
      <c r="F175" s="152"/>
      <c r="G175" s="67"/>
      <c r="H175" s="65"/>
      <c r="I175" s="152"/>
      <c r="J175" s="65"/>
      <c r="K175" s="65" t="s">
        <v>106</v>
      </c>
      <c r="L175" s="112"/>
      <c r="M175" s="58"/>
      <c r="N175" s="66" t="e">
        <f>IF(OR(AND(CodeFileListUsed="Yes",#REF!="",COUNTA(B175:C175,D175:F175)&lt;&gt;0),AND(COUNTA(B175:C175,D175:F175)&lt;&gt;0, COUNTA(B175:C175,D175:F175)&lt;&gt;COUNTA(B$13:C$13,D$13:F$13))),CheckErr,CheckOK)</f>
        <v>#REF!</v>
      </c>
      <c r="O175" s="50" t="str">
        <f t="shared" si="6"/>
        <v/>
      </c>
      <c r="P175" s="50" t="str">
        <f t="shared" si="7"/>
        <v/>
      </c>
    </row>
    <row r="176" spans="1:16">
      <c r="A176" s="57">
        <f t="shared" si="8"/>
        <v>163</v>
      </c>
      <c r="B176" s="68"/>
      <c r="C176" s="68"/>
      <c r="D176" s="68"/>
      <c r="E176" s="68"/>
      <c r="F176" s="152"/>
      <c r="G176" s="67"/>
      <c r="H176" s="65"/>
      <c r="I176" s="152"/>
      <c r="J176" s="65"/>
      <c r="K176" s="65" t="s">
        <v>106</v>
      </c>
      <c r="L176" s="112"/>
      <c r="M176" s="58"/>
      <c r="N176" s="66" t="e">
        <f>IF(OR(AND(CodeFileListUsed="Yes",#REF!="",COUNTA(B176:C176,D176:F176)&lt;&gt;0),AND(COUNTA(B176:C176,D176:F176)&lt;&gt;0, COUNTA(B176:C176,D176:F176)&lt;&gt;COUNTA(B$13:C$13,D$13:F$13))),CheckErr,CheckOK)</f>
        <v>#REF!</v>
      </c>
      <c r="O176" s="50" t="str">
        <f t="shared" si="6"/>
        <v/>
      </c>
      <c r="P176" s="50" t="str">
        <f t="shared" si="7"/>
        <v/>
      </c>
    </row>
    <row r="177" spans="1:16">
      <c r="A177" s="57">
        <f t="shared" si="8"/>
        <v>164</v>
      </c>
      <c r="B177" s="68"/>
      <c r="C177" s="68"/>
      <c r="D177" s="68"/>
      <c r="E177" s="68"/>
      <c r="F177" s="152"/>
      <c r="G177" s="67"/>
      <c r="H177" s="65"/>
      <c r="I177" s="152"/>
      <c r="J177" s="65"/>
      <c r="K177" s="65" t="s">
        <v>106</v>
      </c>
      <c r="L177" s="112"/>
      <c r="M177" s="58"/>
      <c r="N177" s="66" t="e">
        <f>IF(OR(AND(CodeFileListUsed="Yes",#REF!="",COUNTA(B177:C177,D177:F177)&lt;&gt;0),AND(COUNTA(B177:C177,D177:F177)&lt;&gt;0, COUNTA(B177:C177,D177:F177)&lt;&gt;COUNTA(B$13:C$13,D$13:F$13))),CheckErr,CheckOK)</f>
        <v>#REF!</v>
      </c>
      <c r="O177" s="50" t="str">
        <f t="shared" si="6"/>
        <v/>
      </c>
      <c r="P177" s="50" t="str">
        <f t="shared" si="7"/>
        <v/>
      </c>
    </row>
    <row r="178" spans="1:16">
      <c r="A178" s="57">
        <f t="shared" si="8"/>
        <v>165</v>
      </c>
      <c r="B178" s="68"/>
      <c r="C178" s="68"/>
      <c r="D178" s="68"/>
      <c r="E178" s="68"/>
      <c r="F178" s="152"/>
      <c r="G178" s="67"/>
      <c r="H178" s="65"/>
      <c r="I178" s="152"/>
      <c r="J178" s="65"/>
      <c r="K178" s="65" t="s">
        <v>106</v>
      </c>
      <c r="L178" s="112"/>
      <c r="M178" s="58"/>
      <c r="N178" s="66" t="e">
        <f>IF(OR(AND(CodeFileListUsed="Yes",#REF!="",COUNTA(B178:C178,D178:F178)&lt;&gt;0),AND(COUNTA(B178:C178,D178:F178)&lt;&gt;0, COUNTA(B178:C178,D178:F178)&lt;&gt;COUNTA(B$13:C$13,D$13:F$13))),CheckErr,CheckOK)</f>
        <v>#REF!</v>
      </c>
      <c r="O178" s="50" t="str">
        <f t="shared" si="6"/>
        <v/>
      </c>
      <c r="P178" s="50" t="str">
        <f t="shared" si="7"/>
        <v/>
      </c>
    </row>
    <row r="179" spans="1:16">
      <c r="A179" s="57">
        <f t="shared" si="8"/>
        <v>166</v>
      </c>
      <c r="B179" s="68"/>
      <c r="C179" s="68"/>
      <c r="D179" s="68"/>
      <c r="E179" s="68"/>
      <c r="F179" s="152"/>
      <c r="G179" s="67"/>
      <c r="H179" s="65"/>
      <c r="I179" s="152"/>
      <c r="J179" s="65"/>
      <c r="K179" s="65" t="s">
        <v>106</v>
      </c>
      <c r="L179" s="112"/>
      <c r="M179" s="58"/>
      <c r="N179" s="66" t="e">
        <f>IF(OR(AND(CodeFileListUsed="Yes",#REF!="",COUNTA(B179:C179,D179:F179)&lt;&gt;0),AND(COUNTA(B179:C179,D179:F179)&lt;&gt;0, COUNTA(B179:C179,D179:F179)&lt;&gt;COUNTA(B$13:C$13,D$13:F$13))),CheckErr,CheckOK)</f>
        <v>#REF!</v>
      </c>
      <c r="O179" s="50" t="str">
        <f t="shared" si="6"/>
        <v/>
      </c>
      <c r="P179" s="50" t="str">
        <f t="shared" si="7"/>
        <v/>
      </c>
    </row>
    <row r="180" spans="1:16">
      <c r="A180" s="57">
        <f t="shared" si="8"/>
        <v>167</v>
      </c>
      <c r="B180" s="68"/>
      <c r="C180" s="68"/>
      <c r="D180" s="68"/>
      <c r="E180" s="68"/>
      <c r="F180" s="152"/>
      <c r="G180" s="67"/>
      <c r="H180" s="65"/>
      <c r="I180" s="152"/>
      <c r="J180" s="65"/>
      <c r="K180" s="65" t="s">
        <v>106</v>
      </c>
      <c r="L180" s="112"/>
      <c r="M180" s="58"/>
      <c r="N180" s="66" t="e">
        <f>IF(OR(AND(CodeFileListUsed="Yes",#REF!="",COUNTA(B180:C180,D180:F180)&lt;&gt;0),AND(COUNTA(B180:C180,D180:F180)&lt;&gt;0, COUNTA(B180:C180,D180:F180)&lt;&gt;COUNTA(B$13:C$13,D$13:F$13))),CheckErr,CheckOK)</f>
        <v>#REF!</v>
      </c>
      <c r="O180" s="50" t="str">
        <f t="shared" si="6"/>
        <v/>
      </c>
      <c r="P180" s="50" t="str">
        <f t="shared" si="7"/>
        <v/>
      </c>
    </row>
    <row r="181" spans="1:16">
      <c r="A181" s="57">
        <f t="shared" si="8"/>
        <v>168</v>
      </c>
      <c r="B181" s="68"/>
      <c r="C181" s="68"/>
      <c r="D181" s="68"/>
      <c r="E181" s="68"/>
      <c r="F181" s="152"/>
      <c r="G181" s="67"/>
      <c r="H181" s="65"/>
      <c r="I181" s="152"/>
      <c r="J181" s="65"/>
      <c r="K181" s="65" t="s">
        <v>106</v>
      </c>
      <c r="L181" s="112"/>
      <c r="M181" s="58"/>
      <c r="N181" s="66" t="e">
        <f>IF(OR(AND(CodeFileListUsed="Yes",#REF!="",COUNTA(B181:C181,D181:F181)&lt;&gt;0),AND(COUNTA(B181:C181,D181:F181)&lt;&gt;0, COUNTA(B181:C181,D181:F181)&lt;&gt;COUNTA(B$13:C$13,D$13:F$13))),CheckErr,CheckOK)</f>
        <v>#REF!</v>
      </c>
      <c r="O181" s="50" t="str">
        <f t="shared" si="6"/>
        <v/>
      </c>
      <c r="P181" s="50" t="str">
        <f t="shared" si="7"/>
        <v/>
      </c>
    </row>
    <row r="182" spans="1:16">
      <c r="A182" s="57">
        <f t="shared" si="8"/>
        <v>169</v>
      </c>
      <c r="B182" s="68"/>
      <c r="C182" s="68"/>
      <c r="D182" s="68"/>
      <c r="E182" s="68"/>
      <c r="F182" s="152"/>
      <c r="G182" s="67"/>
      <c r="H182" s="65"/>
      <c r="I182" s="152"/>
      <c r="J182" s="65"/>
      <c r="K182" s="65" t="s">
        <v>106</v>
      </c>
      <c r="L182" s="112"/>
      <c r="M182" s="58"/>
      <c r="N182" s="66" t="e">
        <f>IF(OR(AND(CodeFileListUsed="Yes",#REF!="",COUNTA(B182:C182,D182:F182)&lt;&gt;0),AND(COUNTA(B182:C182,D182:F182)&lt;&gt;0, COUNTA(B182:C182,D182:F182)&lt;&gt;COUNTA(B$13:C$13,D$13:F$13))),CheckErr,CheckOK)</f>
        <v>#REF!</v>
      </c>
      <c r="O182" s="50" t="str">
        <f t="shared" si="6"/>
        <v/>
      </c>
      <c r="P182" s="50" t="str">
        <f t="shared" si="7"/>
        <v/>
      </c>
    </row>
    <row r="183" spans="1:16">
      <c r="A183" s="57">
        <f t="shared" si="8"/>
        <v>170</v>
      </c>
      <c r="B183" s="68"/>
      <c r="C183" s="68"/>
      <c r="D183" s="68"/>
      <c r="E183" s="68"/>
      <c r="F183" s="152"/>
      <c r="G183" s="67"/>
      <c r="H183" s="65"/>
      <c r="I183" s="152"/>
      <c r="J183" s="65"/>
      <c r="K183" s="65" t="s">
        <v>106</v>
      </c>
      <c r="L183" s="112"/>
      <c r="M183" s="58"/>
      <c r="N183" s="66" t="e">
        <f>IF(OR(AND(CodeFileListUsed="Yes",#REF!="",COUNTA(B183:C183,D183:F183)&lt;&gt;0),AND(COUNTA(B183:C183,D183:F183)&lt;&gt;0, COUNTA(B183:C183,D183:F183)&lt;&gt;COUNTA(B$13:C$13,D$13:F$13))),CheckErr,CheckOK)</f>
        <v>#REF!</v>
      </c>
      <c r="O183" s="50" t="str">
        <f t="shared" si="6"/>
        <v/>
      </c>
      <c r="P183" s="50" t="str">
        <f t="shared" si="7"/>
        <v/>
      </c>
    </row>
    <row r="184" spans="1:16">
      <c r="A184" s="57">
        <f t="shared" si="8"/>
        <v>171</v>
      </c>
      <c r="B184" s="68"/>
      <c r="C184" s="68"/>
      <c r="D184" s="68"/>
      <c r="E184" s="68"/>
      <c r="F184" s="152"/>
      <c r="G184" s="67"/>
      <c r="H184" s="65"/>
      <c r="I184" s="152"/>
      <c r="J184" s="65"/>
      <c r="K184" s="65" t="s">
        <v>106</v>
      </c>
      <c r="L184" s="112"/>
      <c r="M184" s="58"/>
      <c r="N184" s="66" t="e">
        <f>IF(OR(AND(CodeFileListUsed="Yes",#REF!="",COUNTA(B184:C184,D184:F184)&lt;&gt;0),AND(COUNTA(B184:C184,D184:F184)&lt;&gt;0, COUNTA(B184:C184,D184:F184)&lt;&gt;COUNTA(B$13:C$13,D$13:F$13))),CheckErr,CheckOK)</f>
        <v>#REF!</v>
      </c>
      <c r="O184" s="50" t="str">
        <f t="shared" si="6"/>
        <v/>
      </c>
      <c r="P184" s="50" t="str">
        <f t="shared" si="7"/>
        <v/>
      </c>
    </row>
    <row r="185" spans="1:16">
      <c r="A185" s="57">
        <f t="shared" si="8"/>
        <v>172</v>
      </c>
      <c r="B185" s="68"/>
      <c r="C185" s="68"/>
      <c r="D185" s="68"/>
      <c r="E185" s="68"/>
      <c r="F185" s="152"/>
      <c r="G185" s="67"/>
      <c r="H185" s="65"/>
      <c r="I185" s="152"/>
      <c r="J185" s="65"/>
      <c r="K185" s="65" t="s">
        <v>106</v>
      </c>
      <c r="L185" s="112"/>
      <c r="M185" s="58"/>
      <c r="N185" s="66" t="e">
        <f>IF(OR(AND(CodeFileListUsed="Yes",#REF!="",COUNTA(B185:C185,D185:F185)&lt;&gt;0),AND(COUNTA(B185:C185,D185:F185)&lt;&gt;0, COUNTA(B185:C185,D185:F185)&lt;&gt;COUNTA(B$13:C$13,D$13:F$13))),CheckErr,CheckOK)</f>
        <v>#REF!</v>
      </c>
      <c r="O185" s="50" t="str">
        <f t="shared" si="6"/>
        <v/>
      </c>
      <c r="P185" s="50" t="str">
        <f t="shared" si="7"/>
        <v/>
      </c>
    </row>
    <row r="186" spans="1:16">
      <c r="A186" s="57">
        <f t="shared" si="8"/>
        <v>173</v>
      </c>
      <c r="B186" s="68"/>
      <c r="C186" s="68"/>
      <c r="D186" s="68"/>
      <c r="E186" s="68"/>
      <c r="F186" s="152"/>
      <c r="G186" s="67"/>
      <c r="H186" s="65"/>
      <c r="I186" s="152"/>
      <c r="J186" s="65"/>
      <c r="K186" s="65" t="s">
        <v>106</v>
      </c>
      <c r="L186" s="112"/>
      <c r="M186" s="58"/>
      <c r="N186" s="66" t="e">
        <f>IF(OR(AND(CodeFileListUsed="Yes",#REF!="",COUNTA(B186:C186,D186:F186)&lt;&gt;0),AND(COUNTA(B186:C186,D186:F186)&lt;&gt;0, COUNTA(B186:C186,D186:F186)&lt;&gt;COUNTA(B$13:C$13,D$13:F$13))),CheckErr,CheckOK)</f>
        <v>#REF!</v>
      </c>
      <c r="O186" s="50" t="str">
        <f t="shared" si="6"/>
        <v/>
      </c>
      <c r="P186" s="50" t="str">
        <f t="shared" si="7"/>
        <v/>
      </c>
    </row>
    <row r="187" spans="1:16">
      <c r="A187" s="57">
        <f t="shared" si="8"/>
        <v>174</v>
      </c>
      <c r="B187" s="68"/>
      <c r="C187" s="68"/>
      <c r="D187" s="68"/>
      <c r="E187" s="68"/>
      <c r="F187" s="152"/>
      <c r="G187" s="67"/>
      <c r="H187" s="65"/>
      <c r="I187" s="152"/>
      <c r="J187" s="65"/>
      <c r="K187" s="65" t="s">
        <v>106</v>
      </c>
      <c r="L187" s="112"/>
      <c r="M187" s="58"/>
      <c r="N187" s="66" t="e">
        <f>IF(OR(AND(CodeFileListUsed="Yes",#REF!="",COUNTA(B187:C187,D187:F187)&lt;&gt;0),AND(COUNTA(B187:C187,D187:F187)&lt;&gt;0, COUNTA(B187:C187,D187:F187)&lt;&gt;COUNTA(B$13:C$13,D$13:F$13))),CheckErr,CheckOK)</f>
        <v>#REF!</v>
      </c>
      <c r="O187" s="50" t="str">
        <f t="shared" si="6"/>
        <v/>
      </c>
      <c r="P187" s="50" t="str">
        <f t="shared" si="7"/>
        <v/>
      </c>
    </row>
    <row r="188" spans="1:16">
      <c r="A188" s="57">
        <f t="shared" si="8"/>
        <v>175</v>
      </c>
      <c r="B188" s="68"/>
      <c r="C188" s="68"/>
      <c r="D188" s="68"/>
      <c r="E188" s="68"/>
      <c r="F188" s="152"/>
      <c r="G188" s="67"/>
      <c r="H188" s="65"/>
      <c r="I188" s="152"/>
      <c r="J188" s="65"/>
      <c r="K188" s="65" t="s">
        <v>106</v>
      </c>
      <c r="L188" s="112"/>
      <c r="M188" s="58"/>
      <c r="N188" s="66" t="e">
        <f>IF(OR(AND(CodeFileListUsed="Yes",#REF!="",COUNTA(B188:C188,D188:F188)&lt;&gt;0),AND(COUNTA(B188:C188,D188:F188)&lt;&gt;0, COUNTA(B188:C188,D188:F188)&lt;&gt;COUNTA(B$13:C$13,D$13:F$13))),CheckErr,CheckOK)</f>
        <v>#REF!</v>
      </c>
      <c r="O188" s="50" t="str">
        <f t="shared" si="6"/>
        <v/>
      </c>
      <c r="P188" s="50" t="str">
        <f t="shared" si="7"/>
        <v/>
      </c>
    </row>
    <row r="189" spans="1:16">
      <c r="A189" s="57">
        <f t="shared" si="8"/>
        <v>176</v>
      </c>
      <c r="B189" s="68"/>
      <c r="C189" s="68"/>
      <c r="D189" s="68"/>
      <c r="E189" s="68"/>
      <c r="F189" s="152"/>
      <c r="G189" s="67"/>
      <c r="H189" s="65"/>
      <c r="I189" s="152"/>
      <c r="J189" s="65"/>
      <c r="K189" s="65" t="s">
        <v>106</v>
      </c>
      <c r="L189" s="112"/>
      <c r="M189" s="58"/>
      <c r="N189" s="66" t="e">
        <f>IF(OR(AND(CodeFileListUsed="Yes",#REF!="",COUNTA(B189:C189,D189:F189)&lt;&gt;0),AND(COUNTA(B189:C189,D189:F189)&lt;&gt;0, COUNTA(B189:C189,D189:F189)&lt;&gt;COUNTA(B$13:C$13,D$13:F$13))),CheckErr,CheckOK)</f>
        <v>#REF!</v>
      </c>
      <c r="O189" s="50" t="str">
        <f t="shared" si="6"/>
        <v/>
      </c>
      <c r="P189" s="50" t="str">
        <f t="shared" si="7"/>
        <v/>
      </c>
    </row>
    <row r="190" spans="1:16">
      <c r="A190" s="57">
        <f t="shared" si="8"/>
        <v>177</v>
      </c>
      <c r="B190" s="68"/>
      <c r="C190" s="68"/>
      <c r="D190" s="68"/>
      <c r="E190" s="68"/>
      <c r="F190" s="152"/>
      <c r="G190" s="67"/>
      <c r="H190" s="65"/>
      <c r="I190" s="152"/>
      <c r="J190" s="65"/>
      <c r="K190" s="65" t="s">
        <v>106</v>
      </c>
      <c r="L190" s="112"/>
      <c r="M190" s="58"/>
      <c r="N190" s="66" t="e">
        <f>IF(OR(AND(CodeFileListUsed="Yes",#REF!="",COUNTA(B190:C190,D190:F190)&lt;&gt;0),AND(COUNTA(B190:C190,D190:F190)&lt;&gt;0, COUNTA(B190:C190,D190:F190)&lt;&gt;COUNTA(B$13:C$13,D$13:F$13))),CheckErr,CheckOK)</f>
        <v>#REF!</v>
      </c>
      <c r="O190" s="50" t="str">
        <f t="shared" si="6"/>
        <v/>
      </c>
      <c r="P190" s="50" t="str">
        <f t="shared" si="7"/>
        <v/>
      </c>
    </row>
    <row r="191" spans="1:16">
      <c r="A191" s="57">
        <f t="shared" si="8"/>
        <v>178</v>
      </c>
      <c r="B191" s="68"/>
      <c r="C191" s="68"/>
      <c r="D191" s="68"/>
      <c r="E191" s="68"/>
      <c r="F191" s="152"/>
      <c r="G191" s="67"/>
      <c r="H191" s="65"/>
      <c r="I191" s="152"/>
      <c r="J191" s="65"/>
      <c r="K191" s="65" t="s">
        <v>106</v>
      </c>
      <c r="L191" s="112"/>
      <c r="M191" s="58"/>
      <c r="N191" s="66" t="e">
        <f>IF(OR(AND(CodeFileListUsed="Yes",#REF!="",COUNTA(B191:C191,D191:F191)&lt;&gt;0),AND(COUNTA(B191:C191,D191:F191)&lt;&gt;0, COUNTA(B191:C191,D191:F191)&lt;&gt;COUNTA(B$13:C$13,D$13:F$13))),CheckErr,CheckOK)</f>
        <v>#REF!</v>
      </c>
      <c r="O191" s="50" t="str">
        <f t="shared" si="6"/>
        <v/>
      </c>
      <c r="P191" s="50" t="str">
        <f t="shared" si="7"/>
        <v/>
      </c>
    </row>
    <row r="192" spans="1:16">
      <c r="A192" s="57">
        <f t="shared" si="8"/>
        <v>179</v>
      </c>
      <c r="B192" s="68"/>
      <c r="C192" s="68"/>
      <c r="D192" s="68"/>
      <c r="E192" s="68"/>
      <c r="F192" s="152"/>
      <c r="G192" s="67"/>
      <c r="H192" s="65"/>
      <c r="I192" s="152"/>
      <c r="J192" s="65"/>
      <c r="K192" s="65" t="s">
        <v>106</v>
      </c>
      <c r="L192" s="112"/>
      <c r="M192" s="58"/>
      <c r="N192" s="66" t="e">
        <f>IF(OR(AND(CodeFileListUsed="Yes",#REF!="",COUNTA(B192:C192,D192:F192)&lt;&gt;0),AND(COUNTA(B192:C192,D192:F192)&lt;&gt;0, COUNTA(B192:C192,D192:F192)&lt;&gt;COUNTA(B$13:C$13,D$13:F$13))),CheckErr,CheckOK)</f>
        <v>#REF!</v>
      </c>
      <c r="O192" s="50" t="str">
        <f t="shared" si="6"/>
        <v/>
      </c>
      <c r="P192" s="50" t="str">
        <f t="shared" si="7"/>
        <v/>
      </c>
    </row>
    <row r="193" spans="1:16">
      <c r="A193" s="57">
        <f t="shared" si="8"/>
        <v>180</v>
      </c>
      <c r="B193" s="68"/>
      <c r="C193" s="68"/>
      <c r="D193" s="68"/>
      <c r="E193" s="68"/>
      <c r="F193" s="152"/>
      <c r="G193" s="67"/>
      <c r="H193" s="65"/>
      <c r="I193" s="152"/>
      <c r="J193" s="65"/>
      <c r="K193" s="65" t="s">
        <v>106</v>
      </c>
      <c r="L193" s="112"/>
      <c r="M193" s="58"/>
      <c r="N193" s="66" t="e">
        <f>IF(OR(AND(CodeFileListUsed="Yes",#REF!="",COUNTA(B193:C193,D193:F193)&lt;&gt;0),AND(COUNTA(B193:C193,D193:F193)&lt;&gt;0, COUNTA(B193:C193,D193:F193)&lt;&gt;COUNTA(B$13:C$13,D$13:F$13))),CheckErr,CheckOK)</f>
        <v>#REF!</v>
      </c>
      <c r="O193" s="50" t="str">
        <f t="shared" si="6"/>
        <v/>
      </c>
      <c r="P193" s="50" t="str">
        <f t="shared" si="7"/>
        <v/>
      </c>
    </row>
    <row r="194" spans="1:16">
      <c r="A194" s="57">
        <f t="shared" si="8"/>
        <v>181</v>
      </c>
      <c r="B194" s="68"/>
      <c r="C194" s="68"/>
      <c r="D194" s="68"/>
      <c r="E194" s="68"/>
      <c r="F194" s="152"/>
      <c r="G194" s="67"/>
      <c r="H194" s="65"/>
      <c r="I194" s="152"/>
      <c r="J194" s="65"/>
      <c r="K194" s="65" t="s">
        <v>106</v>
      </c>
      <c r="L194" s="112"/>
      <c r="M194" s="58"/>
      <c r="N194" s="66" t="e">
        <f>IF(OR(AND(CodeFileListUsed="Yes",#REF!="",COUNTA(B194:C194,D194:F194)&lt;&gt;0),AND(COUNTA(B194:C194,D194:F194)&lt;&gt;0, COUNTA(B194:C194,D194:F194)&lt;&gt;COUNTA(B$13:C$13,D$13:F$13))),CheckErr,CheckOK)</f>
        <v>#REF!</v>
      </c>
      <c r="O194" s="50" t="str">
        <f t="shared" si="6"/>
        <v/>
      </c>
      <c r="P194" s="50" t="str">
        <f t="shared" si="7"/>
        <v/>
      </c>
    </row>
    <row r="195" spans="1:16">
      <c r="A195" s="57">
        <f t="shared" si="8"/>
        <v>182</v>
      </c>
      <c r="B195" s="68"/>
      <c r="C195" s="68"/>
      <c r="D195" s="68"/>
      <c r="E195" s="68"/>
      <c r="F195" s="152"/>
      <c r="G195" s="67"/>
      <c r="H195" s="65"/>
      <c r="I195" s="152"/>
      <c r="J195" s="65"/>
      <c r="K195" s="65" t="s">
        <v>106</v>
      </c>
      <c r="L195" s="112"/>
      <c r="M195" s="58"/>
      <c r="N195" s="66" t="e">
        <f>IF(OR(AND(CodeFileListUsed="Yes",#REF!="",COUNTA(B195:C195,D195:F195)&lt;&gt;0),AND(COUNTA(B195:C195,D195:F195)&lt;&gt;0, COUNTA(B195:C195,D195:F195)&lt;&gt;COUNTA(B$13:C$13,D$13:F$13))),CheckErr,CheckOK)</f>
        <v>#REF!</v>
      </c>
      <c r="O195" s="50" t="str">
        <f t="shared" si="6"/>
        <v/>
      </c>
      <c r="P195" s="50" t="str">
        <f t="shared" si="7"/>
        <v/>
      </c>
    </row>
    <row r="196" spans="1:16">
      <c r="A196" s="57">
        <f t="shared" si="8"/>
        <v>183</v>
      </c>
      <c r="B196" s="68"/>
      <c r="C196" s="68"/>
      <c r="D196" s="68"/>
      <c r="E196" s="68"/>
      <c r="F196" s="152"/>
      <c r="G196" s="67"/>
      <c r="H196" s="65"/>
      <c r="I196" s="152"/>
      <c r="J196" s="65"/>
      <c r="K196" s="65" t="s">
        <v>106</v>
      </c>
      <c r="L196" s="112"/>
      <c r="M196" s="58"/>
      <c r="N196" s="66" t="e">
        <f>IF(OR(AND(CodeFileListUsed="Yes",#REF!="",COUNTA(B196:C196,D196:F196)&lt;&gt;0),AND(COUNTA(B196:C196,D196:F196)&lt;&gt;0, COUNTA(B196:C196,D196:F196)&lt;&gt;COUNTA(B$13:C$13,D$13:F$13))),CheckErr,CheckOK)</f>
        <v>#REF!</v>
      </c>
      <c r="O196" s="50" t="str">
        <f t="shared" si="6"/>
        <v/>
      </c>
      <c r="P196" s="50" t="str">
        <f t="shared" si="7"/>
        <v/>
      </c>
    </row>
    <row r="197" spans="1:16">
      <c r="A197" s="57">
        <f t="shared" si="8"/>
        <v>184</v>
      </c>
      <c r="B197" s="68"/>
      <c r="C197" s="68"/>
      <c r="D197" s="68"/>
      <c r="E197" s="68"/>
      <c r="F197" s="152"/>
      <c r="G197" s="67"/>
      <c r="H197" s="65"/>
      <c r="I197" s="152"/>
      <c r="J197" s="65"/>
      <c r="K197" s="65" t="s">
        <v>106</v>
      </c>
      <c r="L197" s="112"/>
      <c r="M197" s="58"/>
      <c r="N197" s="66" t="e">
        <f>IF(OR(AND(CodeFileListUsed="Yes",#REF!="",COUNTA(B197:C197,D197:F197)&lt;&gt;0),AND(COUNTA(B197:C197,D197:F197)&lt;&gt;0, COUNTA(B197:C197,D197:F197)&lt;&gt;COUNTA(B$13:C$13,D$13:F$13))),CheckErr,CheckOK)</f>
        <v>#REF!</v>
      </c>
      <c r="O197" s="50" t="str">
        <f t="shared" si="6"/>
        <v/>
      </c>
      <c r="P197" s="50" t="str">
        <f t="shared" si="7"/>
        <v/>
      </c>
    </row>
    <row r="198" spans="1:16">
      <c r="A198" s="57">
        <f t="shared" si="8"/>
        <v>185</v>
      </c>
      <c r="B198" s="68"/>
      <c r="C198" s="68"/>
      <c r="D198" s="68"/>
      <c r="E198" s="68"/>
      <c r="F198" s="152"/>
      <c r="G198" s="67"/>
      <c r="H198" s="65"/>
      <c r="I198" s="152"/>
      <c r="J198" s="65"/>
      <c r="K198" s="65" t="s">
        <v>106</v>
      </c>
      <c r="L198" s="112"/>
      <c r="M198" s="58"/>
      <c r="N198" s="66" t="e">
        <f>IF(OR(AND(CodeFileListUsed="Yes",#REF!="",COUNTA(B198:C198,D198:F198)&lt;&gt;0),AND(COUNTA(B198:C198,D198:F198)&lt;&gt;0, COUNTA(B198:C198,D198:F198)&lt;&gt;COUNTA(B$13:C$13,D$13:F$13))),CheckErr,CheckOK)</f>
        <v>#REF!</v>
      </c>
      <c r="O198" s="50" t="str">
        <f t="shared" si="6"/>
        <v/>
      </c>
      <c r="P198" s="50" t="str">
        <f t="shared" si="7"/>
        <v/>
      </c>
    </row>
    <row r="199" spans="1:16">
      <c r="A199" s="57">
        <f t="shared" si="8"/>
        <v>186</v>
      </c>
      <c r="B199" s="68"/>
      <c r="C199" s="68"/>
      <c r="D199" s="68"/>
      <c r="E199" s="68"/>
      <c r="F199" s="152"/>
      <c r="G199" s="67"/>
      <c r="H199" s="65"/>
      <c r="I199" s="152"/>
      <c r="J199" s="65"/>
      <c r="K199" s="65" t="s">
        <v>106</v>
      </c>
      <c r="L199" s="112"/>
      <c r="M199" s="58"/>
      <c r="N199" s="66" t="e">
        <f>IF(OR(AND(CodeFileListUsed="Yes",#REF!="",COUNTA(B199:C199,D199:F199)&lt;&gt;0),AND(COUNTA(B199:C199,D199:F199)&lt;&gt;0, COUNTA(B199:C199,D199:F199)&lt;&gt;COUNTA(B$13:C$13,D$13:F$13))),CheckErr,CheckOK)</f>
        <v>#REF!</v>
      </c>
      <c r="O199" s="50" t="str">
        <f t="shared" si="6"/>
        <v/>
      </c>
      <c r="P199" s="50" t="str">
        <f t="shared" si="7"/>
        <v/>
      </c>
    </row>
    <row r="200" spans="1:16">
      <c r="A200" s="57">
        <f t="shared" si="8"/>
        <v>187</v>
      </c>
      <c r="B200" s="68"/>
      <c r="C200" s="68"/>
      <c r="D200" s="68"/>
      <c r="E200" s="68"/>
      <c r="F200" s="152"/>
      <c r="G200" s="67"/>
      <c r="H200" s="65"/>
      <c r="I200" s="152"/>
      <c r="J200" s="65"/>
      <c r="K200" s="65" t="s">
        <v>106</v>
      </c>
      <c r="L200" s="112"/>
      <c r="M200" s="58"/>
      <c r="N200" s="66" t="e">
        <f>IF(OR(AND(CodeFileListUsed="Yes",#REF!="",COUNTA(B200:C200,D200:F200)&lt;&gt;0),AND(COUNTA(B200:C200,D200:F200)&lt;&gt;0, COUNTA(B200:C200,D200:F200)&lt;&gt;COUNTA(B$13:C$13,D$13:F$13))),CheckErr,CheckOK)</f>
        <v>#REF!</v>
      </c>
      <c r="O200" s="50" t="str">
        <f t="shared" si="6"/>
        <v/>
      </c>
      <c r="P200" s="50" t="str">
        <f t="shared" si="7"/>
        <v/>
      </c>
    </row>
    <row r="201" spans="1:16">
      <c r="A201" s="57">
        <f t="shared" si="8"/>
        <v>188</v>
      </c>
      <c r="B201" s="68"/>
      <c r="C201" s="68"/>
      <c r="D201" s="68"/>
      <c r="E201" s="68"/>
      <c r="F201" s="152"/>
      <c r="G201" s="67"/>
      <c r="H201" s="65"/>
      <c r="I201" s="152"/>
      <c r="J201" s="65"/>
      <c r="K201" s="65" t="s">
        <v>106</v>
      </c>
      <c r="L201" s="112"/>
      <c r="M201" s="58"/>
      <c r="N201" s="66" t="e">
        <f>IF(OR(AND(CodeFileListUsed="Yes",#REF!="",COUNTA(B201:C201,D201:F201)&lt;&gt;0),AND(COUNTA(B201:C201,D201:F201)&lt;&gt;0, COUNTA(B201:C201,D201:F201)&lt;&gt;COUNTA(B$13:C$13,D$13:F$13))),CheckErr,CheckOK)</f>
        <v>#REF!</v>
      </c>
      <c r="O201" s="50" t="str">
        <f t="shared" si="6"/>
        <v/>
      </c>
      <c r="P201" s="50" t="str">
        <f t="shared" si="7"/>
        <v/>
      </c>
    </row>
    <row r="202" spans="1:16">
      <c r="A202" s="57">
        <f t="shared" si="8"/>
        <v>189</v>
      </c>
      <c r="B202" s="68"/>
      <c r="C202" s="68"/>
      <c r="D202" s="68"/>
      <c r="E202" s="68"/>
      <c r="F202" s="152"/>
      <c r="G202" s="67"/>
      <c r="H202" s="65"/>
      <c r="I202" s="152"/>
      <c r="J202" s="65"/>
      <c r="K202" s="65" t="s">
        <v>106</v>
      </c>
      <c r="L202" s="112"/>
      <c r="M202" s="58"/>
      <c r="N202" s="66" t="e">
        <f>IF(OR(AND(CodeFileListUsed="Yes",#REF!="",COUNTA(B202:C202,D202:F202)&lt;&gt;0),AND(COUNTA(B202:C202,D202:F202)&lt;&gt;0, COUNTA(B202:C202,D202:F202)&lt;&gt;COUNTA(B$13:C$13,D$13:F$13))),CheckErr,CheckOK)</f>
        <v>#REF!</v>
      </c>
      <c r="O202" s="50" t="str">
        <f t="shared" si="6"/>
        <v/>
      </c>
      <c r="P202" s="50" t="str">
        <f t="shared" si="7"/>
        <v/>
      </c>
    </row>
    <row r="203" spans="1:16">
      <c r="A203" s="57">
        <f t="shared" si="8"/>
        <v>190</v>
      </c>
      <c r="B203" s="68"/>
      <c r="C203" s="68"/>
      <c r="D203" s="68"/>
      <c r="E203" s="68"/>
      <c r="F203" s="152"/>
      <c r="G203" s="67"/>
      <c r="H203" s="65"/>
      <c r="I203" s="152"/>
      <c r="J203" s="65"/>
      <c r="K203" s="65" t="s">
        <v>106</v>
      </c>
      <c r="L203" s="112"/>
      <c r="M203" s="58"/>
      <c r="N203" s="66" t="e">
        <f>IF(OR(AND(CodeFileListUsed="Yes",#REF!="",COUNTA(B203:C203,D203:F203)&lt;&gt;0),AND(COUNTA(B203:C203,D203:F203)&lt;&gt;0, COUNTA(B203:C203,D203:F203)&lt;&gt;COUNTA(B$13:C$13,D$13:F$13))),CheckErr,CheckOK)</f>
        <v>#REF!</v>
      </c>
      <c r="O203" s="50" t="str">
        <f t="shared" si="6"/>
        <v/>
      </c>
      <c r="P203" s="50" t="str">
        <f t="shared" si="7"/>
        <v/>
      </c>
    </row>
    <row r="204" spans="1:16">
      <c r="A204" s="57">
        <f t="shared" si="8"/>
        <v>191</v>
      </c>
      <c r="B204" s="68"/>
      <c r="C204" s="68"/>
      <c r="D204" s="68"/>
      <c r="E204" s="68"/>
      <c r="F204" s="152"/>
      <c r="G204" s="67"/>
      <c r="H204" s="65"/>
      <c r="I204" s="152"/>
      <c r="J204" s="65"/>
      <c r="K204" s="65" t="s">
        <v>106</v>
      </c>
      <c r="L204" s="112"/>
      <c r="M204" s="58"/>
      <c r="N204" s="66" t="e">
        <f>IF(OR(AND(CodeFileListUsed="Yes",#REF!="",COUNTA(B204:C204,D204:F204)&lt;&gt;0),AND(COUNTA(B204:C204,D204:F204)&lt;&gt;0, COUNTA(B204:C204,D204:F204)&lt;&gt;COUNTA(B$13:C$13,D$13:F$13))),CheckErr,CheckOK)</f>
        <v>#REF!</v>
      </c>
      <c r="O204" s="50" t="str">
        <f t="shared" si="6"/>
        <v/>
      </c>
      <c r="P204" s="50" t="str">
        <f t="shared" si="7"/>
        <v/>
      </c>
    </row>
    <row r="205" spans="1:16">
      <c r="A205" s="57">
        <f t="shared" si="8"/>
        <v>192</v>
      </c>
      <c r="B205" s="68"/>
      <c r="C205" s="68"/>
      <c r="D205" s="68"/>
      <c r="E205" s="68"/>
      <c r="F205" s="152"/>
      <c r="G205" s="67"/>
      <c r="H205" s="65"/>
      <c r="I205" s="152"/>
      <c r="J205" s="65"/>
      <c r="K205" s="65" t="s">
        <v>106</v>
      </c>
      <c r="L205" s="112"/>
      <c r="M205" s="58"/>
      <c r="N205" s="66" t="e">
        <f>IF(OR(AND(CodeFileListUsed="Yes",#REF!="",COUNTA(B205:C205,D205:F205)&lt;&gt;0),AND(COUNTA(B205:C205,D205:F205)&lt;&gt;0, COUNTA(B205:C205,D205:F205)&lt;&gt;COUNTA(B$13:C$13,D$13:F$13))),CheckErr,CheckOK)</f>
        <v>#REF!</v>
      </c>
      <c r="O205" s="50" t="str">
        <f t="shared" si="6"/>
        <v/>
      </c>
      <c r="P205" s="50" t="str">
        <f t="shared" si="7"/>
        <v/>
      </c>
    </row>
    <row r="206" spans="1:16">
      <c r="A206" s="57">
        <f t="shared" si="8"/>
        <v>193</v>
      </c>
      <c r="B206" s="68"/>
      <c r="C206" s="68"/>
      <c r="D206" s="68"/>
      <c r="E206" s="68"/>
      <c r="F206" s="152"/>
      <c r="G206" s="67"/>
      <c r="H206" s="65"/>
      <c r="I206" s="152"/>
      <c r="J206" s="65"/>
      <c r="K206" s="65" t="s">
        <v>106</v>
      </c>
      <c r="L206" s="112"/>
      <c r="M206" s="58"/>
      <c r="N206" s="66" t="e">
        <f>IF(OR(AND(CodeFileListUsed="Yes",#REF!="",COUNTA(B206:C206,D206:F206)&lt;&gt;0),AND(COUNTA(B206:C206,D206:F206)&lt;&gt;0, COUNTA(B206:C206,D206:F206)&lt;&gt;COUNTA(B$13:C$13,D$13:F$13))),CheckErr,CheckOK)</f>
        <v>#REF!</v>
      </c>
      <c r="O206" s="50" t="str">
        <f t="shared" ref="O206:O238" si="9">IF(OR(ISBLANK(F206), AND(NOT(ISBLANK(H206)),OR(AND(J206="Accepted",OR(K206="Y",K206="y")),J206="Noted",J206="Duplicate",AND(J206="Rejected",NOT(ISBLANK(I206)))))),CheckOK,CheckErr)</f>
        <v/>
      </c>
      <c r="P206" s="50" t="str">
        <f t="shared" ref="P206:P238" si="10">IF(OR(ISBLANK(F206),NOT(ISBLANK(L206))),CheckOK,CheckErr)</f>
        <v/>
      </c>
    </row>
    <row r="207" spans="1:16">
      <c r="A207" s="57">
        <f t="shared" ref="A207:A238" si="11">A206+1</f>
        <v>194</v>
      </c>
      <c r="B207" s="68"/>
      <c r="C207" s="68"/>
      <c r="D207" s="68"/>
      <c r="E207" s="68"/>
      <c r="F207" s="152"/>
      <c r="G207" s="67"/>
      <c r="H207" s="65"/>
      <c r="I207" s="152"/>
      <c r="J207" s="65"/>
      <c r="K207" s="65" t="s">
        <v>106</v>
      </c>
      <c r="L207" s="112"/>
      <c r="M207" s="58"/>
      <c r="N207" s="66" t="e">
        <f>IF(OR(AND(CodeFileListUsed="Yes",#REF!="",COUNTA(B207:C207,D207:F207)&lt;&gt;0),AND(COUNTA(B207:C207,D207:F207)&lt;&gt;0, COUNTA(B207:C207,D207:F207)&lt;&gt;COUNTA(B$13:C$13,D$13:F$13))),CheckErr,CheckOK)</f>
        <v>#REF!</v>
      </c>
      <c r="O207" s="50" t="str">
        <f t="shared" si="9"/>
        <v/>
      </c>
      <c r="P207" s="50" t="str">
        <f t="shared" si="10"/>
        <v/>
      </c>
    </row>
    <row r="208" spans="1:16">
      <c r="A208" s="57">
        <f t="shared" si="11"/>
        <v>195</v>
      </c>
      <c r="B208" s="68"/>
      <c r="C208" s="68"/>
      <c r="D208" s="68"/>
      <c r="E208" s="68"/>
      <c r="F208" s="152"/>
      <c r="G208" s="67"/>
      <c r="H208" s="65"/>
      <c r="I208" s="152"/>
      <c r="J208" s="65"/>
      <c r="K208" s="65" t="s">
        <v>106</v>
      </c>
      <c r="L208" s="112"/>
      <c r="M208" s="58"/>
      <c r="N208" s="66" t="e">
        <f>IF(OR(AND(CodeFileListUsed="Yes",#REF!="",COUNTA(B208:C208,D208:F208)&lt;&gt;0),AND(COUNTA(B208:C208,D208:F208)&lt;&gt;0, COUNTA(B208:C208,D208:F208)&lt;&gt;COUNTA(B$13:C$13,D$13:F$13))),CheckErr,CheckOK)</f>
        <v>#REF!</v>
      </c>
      <c r="O208" s="50" t="str">
        <f t="shared" si="9"/>
        <v/>
      </c>
      <c r="P208" s="50" t="str">
        <f t="shared" si="10"/>
        <v/>
      </c>
    </row>
    <row r="209" spans="1:16">
      <c r="A209" s="57">
        <f t="shared" si="11"/>
        <v>196</v>
      </c>
      <c r="B209" s="68"/>
      <c r="C209" s="68"/>
      <c r="D209" s="68"/>
      <c r="E209" s="68"/>
      <c r="F209" s="152"/>
      <c r="G209" s="67"/>
      <c r="H209" s="65"/>
      <c r="I209" s="152"/>
      <c r="J209" s="65"/>
      <c r="K209" s="65" t="s">
        <v>106</v>
      </c>
      <c r="L209" s="112"/>
      <c r="M209" s="58"/>
      <c r="N209" s="66" t="e">
        <f>IF(OR(AND(CodeFileListUsed="Yes",#REF!="",COUNTA(B209:C209,D209:F209)&lt;&gt;0),AND(COUNTA(B209:C209,D209:F209)&lt;&gt;0, COUNTA(B209:C209,D209:F209)&lt;&gt;COUNTA(B$13:C$13,D$13:F$13))),CheckErr,CheckOK)</f>
        <v>#REF!</v>
      </c>
      <c r="O209" s="50" t="str">
        <f t="shared" si="9"/>
        <v/>
      </c>
      <c r="P209" s="50" t="str">
        <f t="shared" si="10"/>
        <v/>
      </c>
    </row>
    <row r="210" spans="1:16">
      <c r="A210" s="57">
        <f t="shared" si="11"/>
        <v>197</v>
      </c>
      <c r="B210" s="68"/>
      <c r="C210" s="68"/>
      <c r="D210" s="68"/>
      <c r="E210" s="68"/>
      <c r="F210" s="152"/>
      <c r="G210" s="67"/>
      <c r="H210" s="65"/>
      <c r="I210" s="152"/>
      <c r="J210" s="65"/>
      <c r="K210" s="65" t="s">
        <v>106</v>
      </c>
      <c r="L210" s="112"/>
      <c r="M210" s="58"/>
      <c r="N210" s="66" t="e">
        <f>IF(OR(AND(CodeFileListUsed="Yes",#REF!="",COUNTA(B210:C210,D210:F210)&lt;&gt;0),AND(COUNTA(B210:C210,D210:F210)&lt;&gt;0, COUNTA(B210:C210,D210:F210)&lt;&gt;COUNTA(B$13:C$13,D$13:F$13))),CheckErr,CheckOK)</f>
        <v>#REF!</v>
      </c>
      <c r="O210" s="50" t="str">
        <f t="shared" si="9"/>
        <v/>
      </c>
      <c r="P210" s="50" t="str">
        <f t="shared" si="10"/>
        <v/>
      </c>
    </row>
    <row r="211" spans="1:16">
      <c r="A211" s="57">
        <f t="shared" si="11"/>
        <v>198</v>
      </c>
      <c r="B211" s="68"/>
      <c r="C211" s="68"/>
      <c r="D211" s="68"/>
      <c r="E211" s="68"/>
      <c r="F211" s="152"/>
      <c r="G211" s="67"/>
      <c r="H211" s="65"/>
      <c r="I211" s="152"/>
      <c r="J211" s="65"/>
      <c r="K211" s="65" t="s">
        <v>106</v>
      </c>
      <c r="L211" s="112"/>
      <c r="M211" s="58"/>
      <c r="N211" s="66" t="e">
        <f>IF(OR(AND(CodeFileListUsed="Yes",#REF!="",COUNTA(B211:C211,D211:F211)&lt;&gt;0),AND(COUNTA(B211:C211,D211:F211)&lt;&gt;0, COUNTA(B211:C211,D211:F211)&lt;&gt;COUNTA(B$13:C$13,D$13:F$13))),CheckErr,CheckOK)</f>
        <v>#REF!</v>
      </c>
      <c r="O211" s="50" t="str">
        <f t="shared" si="9"/>
        <v/>
      </c>
      <c r="P211" s="50" t="str">
        <f t="shared" si="10"/>
        <v/>
      </c>
    </row>
    <row r="212" spans="1:16">
      <c r="A212" s="57">
        <f t="shared" si="11"/>
        <v>199</v>
      </c>
      <c r="B212" s="68"/>
      <c r="C212" s="68"/>
      <c r="D212" s="68"/>
      <c r="E212" s="68"/>
      <c r="F212" s="152"/>
      <c r="G212" s="67"/>
      <c r="H212" s="65"/>
      <c r="I212" s="152"/>
      <c r="J212" s="65"/>
      <c r="K212" s="65" t="s">
        <v>106</v>
      </c>
      <c r="L212" s="112"/>
      <c r="M212" s="58"/>
      <c r="N212" s="66" t="e">
        <f>IF(OR(AND(CodeFileListUsed="Yes",#REF!="",COUNTA(B212:C212,D212:F212)&lt;&gt;0),AND(COUNTA(B212:C212,D212:F212)&lt;&gt;0, COUNTA(B212:C212,D212:F212)&lt;&gt;COUNTA(B$13:C$13,D$13:F$13))),CheckErr,CheckOK)</f>
        <v>#REF!</v>
      </c>
      <c r="O212" s="50" t="str">
        <f t="shared" si="9"/>
        <v/>
      </c>
      <c r="P212" s="50" t="str">
        <f t="shared" si="10"/>
        <v/>
      </c>
    </row>
    <row r="213" spans="1:16">
      <c r="A213" s="57">
        <f t="shared" si="11"/>
        <v>200</v>
      </c>
      <c r="B213" s="68"/>
      <c r="C213" s="68"/>
      <c r="D213" s="68"/>
      <c r="E213" s="68"/>
      <c r="F213" s="152"/>
      <c r="G213" s="67"/>
      <c r="H213" s="65"/>
      <c r="I213" s="152"/>
      <c r="J213" s="65"/>
      <c r="K213" s="65" t="s">
        <v>106</v>
      </c>
      <c r="L213" s="112"/>
      <c r="M213" s="58"/>
      <c r="N213" s="66" t="e">
        <f>IF(OR(AND(CodeFileListUsed="Yes",#REF!="",COUNTA(B213:C213,D213:F213)&lt;&gt;0),AND(COUNTA(B213:C213,D213:F213)&lt;&gt;0, COUNTA(B213:C213,D213:F213)&lt;&gt;COUNTA(B$13:C$13,D$13:F$13))),CheckErr,CheckOK)</f>
        <v>#REF!</v>
      </c>
      <c r="O213" s="50" t="str">
        <f t="shared" si="9"/>
        <v/>
      </c>
      <c r="P213" s="50" t="str">
        <f t="shared" si="10"/>
        <v/>
      </c>
    </row>
    <row r="214" spans="1:16">
      <c r="A214" s="57">
        <f t="shared" si="11"/>
        <v>201</v>
      </c>
      <c r="B214" s="68"/>
      <c r="C214" s="68"/>
      <c r="D214" s="68"/>
      <c r="E214" s="68"/>
      <c r="F214" s="152"/>
      <c r="G214" s="67"/>
      <c r="H214" s="65"/>
      <c r="I214" s="152"/>
      <c r="J214" s="65"/>
      <c r="K214" s="65" t="s">
        <v>106</v>
      </c>
      <c r="L214" s="112"/>
      <c r="M214" s="58"/>
      <c r="N214" s="66" t="e">
        <f>IF(OR(AND(CodeFileListUsed="Yes",#REF!="",COUNTA(B214:C214,D214:F214)&lt;&gt;0),AND(COUNTA(B214:C214,D214:F214)&lt;&gt;0, COUNTA(B214:C214,D214:F214)&lt;&gt;COUNTA(B$13:C$13,D$13:F$13))),CheckErr,CheckOK)</f>
        <v>#REF!</v>
      </c>
      <c r="O214" s="50" t="str">
        <f t="shared" si="9"/>
        <v/>
      </c>
      <c r="P214" s="50" t="str">
        <f t="shared" si="10"/>
        <v/>
      </c>
    </row>
    <row r="215" spans="1:16">
      <c r="A215" s="57">
        <f t="shared" si="11"/>
        <v>202</v>
      </c>
      <c r="B215" s="68"/>
      <c r="C215" s="68"/>
      <c r="D215" s="68"/>
      <c r="E215" s="68"/>
      <c r="F215" s="152"/>
      <c r="G215" s="67"/>
      <c r="H215" s="65"/>
      <c r="I215" s="152"/>
      <c r="J215" s="65"/>
      <c r="K215" s="65" t="s">
        <v>106</v>
      </c>
      <c r="L215" s="112"/>
      <c r="M215" s="58"/>
      <c r="N215" s="66" t="e">
        <f>IF(OR(AND(CodeFileListUsed="Yes",#REF!="",COUNTA(B215:C215,D215:F215)&lt;&gt;0),AND(COUNTA(B215:C215,D215:F215)&lt;&gt;0, COUNTA(B215:C215,D215:F215)&lt;&gt;COUNTA(B$13:C$13,D$13:F$13))),CheckErr,CheckOK)</f>
        <v>#REF!</v>
      </c>
      <c r="O215" s="50" t="str">
        <f t="shared" si="9"/>
        <v/>
      </c>
      <c r="P215" s="50" t="str">
        <f t="shared" si="10"/>
        <v/>
      </c>
    </row>
    <row r="216" spans="1:16">
      <c r="A216" s="57">
        <f t="shared" si="11"/>
        <v>203</v>
      </c>
      <c r="B216" s="68"/>
      <c r="C216" s="68"/>
      <c r="D216" s="68"/>
      <c r="E216" s="68"/>
      <c r="F216" s="152"/>
      <c r="G216" s="67"/>
      <c r="H216" s="65"/>
      <c r="I216" s="152"/>
      <c r="J216" s="65"/>
      <c r="K216" s="65" t="s">
        <v>106</v>
      </c>
      <c r="L216" s="112"/>
      <c r="M216" s="58"/>
      <c r="N216" s="66" t="e">
        <f>IF(OR(AND(CodeFileListUsed="Yes",#REF!="",COUNTA(B216:C216,D216:F216)&lt;&gt;0),AND(COUNTA(B216:C216,D216:F216)&lt;&gt;0, COUNTA(B216:C216,D216:F216)&lt;&gt;COUNTA(B$13:C$13,D$13:F$13))),CheckErr,CheckOK)</f>
        <v>#REF!</v>
      </c>
      <c r="O216" s="50" t="str">
        <f t="shared" si="9"/>
        <v/>
      </c>
      <c r="P216" s="50" t="str">
        <f t="shared" si="10"/>
        <v/>
      </c>
    </row>
    <row r="217" spans="1:16">
      <c r="A217" s="57">
        <f t="shared" si="11"/>
        <v>204</v>
      </c>
      <c r="B217" s="68"/>
      <c r="C217" s="68"/>
      <c r="D217" s="68"/>
      <c r="E217" s="68"/>
      <c r="F217" s="152"/>
      <c r="G217" s="67"/>
      <c r="H217" s="65"/>
      <c r="I217" s="152"/>
      <c r="J217" s="65"/>
      <c r="K217" s="65" t="s">
        <v>106</v>
      </c>
      <c r="L217" s="112"/>
      <c r="M217" s="58"/>
      <c r="N217" s="66" t="e">
        <f>IF(OR(AND(CodeFileListUsed="Yes",#REF!="",COUNTA(B217:C217,D217:F217)&lt;&gt;0),AND(COUNTA(B217:C217,D217:F217)&lt;&gt;0, COUNTA(B217:C217,D217:F217)&lt;&gt;COUNTA(B$13:C$13,D$13:F$13))),CheckErr,CheckOK)</f>
        <v>#REF!</v>
      </c>
      <c r="O217" s="50" t="str">
        <f t="shared" si="9"/>
        <v/>
      </c>
      <c r="P217" s="50" t="str">
        <f t="shared" si="10"/>
        <v/>
      </c>
    </row>
    <row r="218" spans="1:16">
      <c r="A218" s="57">
        <f t="shared" si="11"/>
        <v>205</v>
      </c>
      <c r="B218" s="68"/>
      <c r="C218" s="68"/>
      <c r="D218" s="68"/>
      <c r="E218" s="68"/>
      <c r="F218" s="152"/>
      <c r="G218" s="67"/>
      <c r="H218" s="65"/>
      <c r="I218" s="152"/>
      <c r="J218" s="65"/>
      <c r="K218" s="65" t="s">
        <v>106</v>
      </c>
      <c r="L218" s="112"/>
      <c r="M218" s="58"/>
      <c r="N218" s="66" t="e">
        <f>IF(OR(AND(CodeFileListUsed="Yes",#REF!="",COUNTA(B218:C218,D218:F218)&lt;&gt;0),AND(COUNTA(B218:C218,D218:F218)&lt;&gt;0, COUNTA(B218:C218,D218:F218)&lt;&gt;COUNTA(B$13:C$13,D$13:F$13))),CheckErr,CheckOK)</f>
        <v>#REF!</v>
      </c>
      <c r="O218" s="50" t="str">
        <f t="shared" si="9"/>
        <v/>
      </c>
      <c r="P218" s="50" t="str">
        <f t="shared" si="10"/>
        <v/>
      </c>
    </row>
    <row r="219" spans="1:16">
      <c r="A219" s="57">
        <f t="shared" si="11"/>
        <v>206</v>
      </c>
      <c r="B219" s="68"/>
      <c r="C219" s="68"/>
      <c r="D219" s="68"/>
      <c r="E219" s="68"/>
      <c r="F219" s="152"/>
      <c r="G219" s="67"/>
      <c r="H219" s="65"/>
      <c r="I219" s="152"/>
      <c r="J219" s="65"/>
      <c r="K219" s="65" t="s">
        <v>106</v>
      </c>
      <c r="L219" s="112"/>
      <c r="M219" s="58"/>
      <c r="N219" s="66" t="e">
        <f>IF(OR(AND(CodeFileListUsed="Yes",#REF!="",COUNTA(B219:C219,D219:F219)&lt;&gt;0),AND(COUNTA(B219:C219,D219:F219)&lt;&gt;0, COUNTA(B219:C219,D219:F219)&lt;&gt;COUNTA(B$13:C$13,D$13:F$13))),CheckErr,CheckOK)</f>
        <v>#REF!</v>
      </c>
      <c r="O219" s="50" t="str">
        <f t="shared" si="9"/>
        <v/>
      </c>
      <c r="P219" s="50" t="str">
        <f t="shared" si="10"/>
        <v/>
      </c>
    </row>
    <row r="220" spans="1:16">
      <c r="A220" s="57">
        <f t="shared" si="11"/>
        <v>207</v>
      </c>
      <c r="B220" s="68"/>
      <c r="C220" s="68"/>
      <c r="D220" s="68"/>
      <c r="E220" s="68"/>
      <c r="F220" s="152"/>
      <c r="G220" s="67"/>
      <c r="H220" s="65"/>
      <c r="I220" s="152"/>
      <c r="J220" s="65"/>
      <c r="K220" s="65" t="s">
        <v>106</v>
      </c>
      <c r="L220" s="112"/>
      <c r="M220" s="58"/>
      <c r="N220" s="66" t="e">
        <f>IF(OR(AND(CodeFileListUsed="Yes",#REF!="",COUNTA(B220:C220,D220:F220)&lt;&gt;0),AND(COUNTA(B220:C220,D220:F220)&lt;&gt;0, COUNTA(B220:C220,D220:F220)&lt;&gt;COUNTA(B$13:C$13,D$13:F$13))),CheckErr,CheckOK)</f>
        <v>#REF!</v>
      </c>
      <c r="O220" s="50" t="str">
        <f t="shared" si="9"/>
        <v/>
      </c>
      <c r="P220" s="50" t="str">
        <f t="shared" si="10"/>
        <v/>
      </c>
    </row>
    <row r="221" spans="1:16">
      <c r="A221" s="57">
        <f t="shared" si="11"/>
        <v>208</v>
      </c>
      <c r="B221" s="68"/>
      <c r="C221" s="68"/>
      <c r="D221" s="68"/>
      <c r="E221" s="68"/>
      <c r="F221" s="152"/>
      <c r="G221" s="67"/>
      <c r="H221" s="65"/>
      <c r="I221" s="152"/>
      <c r="J221" s="65"/>
      <c r="K221" s="65" t="s">
        <v>106</v>
      </c>
      <c r="L221" s="112"/>
      <c r="M221" s="58"/>
      <c r="N221" s="66" t="e">
        <f>IF(OR(AND(CodeFileListUsed="Yes",#REF!="",COUNTA(B221:C221,D221:F221)&lt;&gt;0),AND(COUNTA(B221:C221,D221:F221)&lt;&gt;0, COUNTA(B221:C221,D221:F221)&lt;&gt;COUNTA(B$13:C$13,D$13:F$13))),CheckErr,CheckOK)</f>
        <v>#REF!</v>
      </c>
      <c r="O221" s="50" t="str">
        <f t="shared" si="9"/>
        <v/>
      </c>
      <c r="P221" s="50" t="str">
        <f t="shared" si="10"/>
        <v/>
      </c>
    </row>
    <row r="222" spans="1:16">
      <c r="A222" s="57">
        <f t="shared" si="11"/>
        <v>209</v>
      </c>
      <c r="B222" s="68"/>
      <c r="C222" s="68"/>
      <c r="D222" s="68"/>
      <c r="E222" s="68"/>
      <c r="F222" s="152"/>
      <c r="G222" s="67"/>
      <c r="H222" s="65"/>
      <c r="I222" s="152"/>
      <c r="J222" s="65"/>
      <c r="K222" s="65" t="s">
        <v>106</v>
      </c>
      <c r="L222" s="112"/>
      <c r="M222" s="58"/>
      <c r="N222" s="66" t="e">
        <f>IF(OR(AND(CodeFileListUsed="Yes",#REF!="",COUNTA(B222:C222,D222:F222)&lt;&gt;0),AND(COUNTA(B222:C222,D222:F222)&lt;&gt;0, COUNTA(B222:C222,D222:F222)&lt;&gt;COUNTA(B$13:C$13,D$13:F$13))),CheckErr,CheckOK)</f>
        <v>#REF!</v>
      </c>
      <c r="O222" s="50" t="str">
        <f t="shared" si="9"/>
        <v/>
      </c>
      <c r="P222" s="50" t="str">
        <f t="shared" si="10"/>
        <v/>
      </c>
    </row>
    <row r="223" spans="1:16">
      <c r="A223" s="57">
        <f t="shared" si="11"/>
        <v>210</v>
      </c>
      <c r="B223" s="68"/>
      <c r="C223" s="68"/>
      <c r="D223" s="68"/>
      <c r="E223" s="68"/>
      <c r="F223" s="152"/>
      <c r="G223" s="67"/>
      <c r="H223" s="65"/>
      <c r="I223" s="152"/>
      <c r="J223" s="65"/>
      <c r="K223" s="65" t="s">
        <v>106</v>
      </c>
      <c r="L223" s="112"/>
      <c r="M223" s="58"/>
      <c r="N223" s="66" t="e">
        <f>IF(OR(AND(CodeFileListUsed="Yes",#REF!="",COUNTA(B223:C223,D223:F223)&lt;&gt;0),AND(COUNTA(B223:C223,D223:F223)&lt;&gt;0, COUNTA(B223:C223,D223:F223)&lt;&gt;COUNTA(B$13:C$13,D$13:F$13))),CheckErr,CheckOK)</f>
        <v>#REF!</v>
      </c>
      <c r="O223" s="50" t="str">
        <f t="shared" si="9"/>
        <v/>
      </c>
      <c r="P223" s="50" t="str">
        <f t="shared" si="10"/>
        <v/>
      </c>
    </row>
    <row r="224" spans="1:16">
      <c r="A224" s="57">
        <f t="shared" si="11"/>
        <v>211</v>
      </c>
      <c r="B224" s="68"/>
      <c r="C224" s="68"/>
      <c r="D224" s="68"/>
      <c r="E224" s="68"/>
      <c r="F224" s="152"/>
      <c r="G224" s="67"/>
      <c r="H224" s="65"/>
      <c r="I224" s="152"/>
      <c r="J224" s="65"/>
      <c r="K224" s="65" t="s">
        <v>106</v>
      </c>
      <c r="L224" s="112"/>
      <c r="M224" s="58"/>
      <c r="N224" s="66" t="e">
        <f>IF(OR(AND(CodeFileListUsed="Yes",#REF!="",COUNTA(B224:C224,D224:F224)&lt;&gt;0),AND(COUNTA(B224:C224,D224:F224)&lt;&gt;0, COUNTA(B224:C224,D224:F224)&lt;&gt;COUNTA(B$13:C$13,D$13:F$13))),CheckErr,CheckOK)</f>
        <v>#REF!</v>
      </c>
      <c r="O224" s="50" t="str">
        <f t="shared" si="9"/>
        <v/>
      </c>
      <c r="P224" s="50" t="str">
        <f t="shared" si="10"/>
        <v/>
      </c>
    </row>
    <row r="225" spans="1:16">
      <c r="A225" s="57">
        <f t="shared" si="11"/>
        <v>212</v>
      </c>
      <c r="B225" s="68"/>
      <c r="C225" s="68"/>
      <c r="D225" s="68"/>
      <c r="E225" s="68"/>
      <c r="F225" s="152"/>
      <c r="G225" s="67"/>
      <c r="H225" s="65"/>
      <c r="I225" s="152"/>
      <c r="J225" s="65"/>
      <c r="K225" s="65" t="s">
        <v>106</v>
      </c>
      <c r="L225" s="112"/>
      <c r="M225" s="58"/>
      <c r="N225" s="66" t="e">
        <f>IF(OR(AND(CodeFileListUsed="Yes",#REF!="",COUNTA(B225:C225,D225:F225)&lt;&gt;0),AND(COUNTA(B225:C225,D225:F225)&lt;&gt;0, COUNTA(B225:C225,D225:F225)&lt;&gt;COUNTA(B$13:C$13,D$13:F$13))),CheckErr,CheckOK)</f>
        <v>#REF!</v>
      </c>
      <c r="O225" s="50" t="str">
        <f t="shared" si="9"/>
        <v/>
      </c>
      <c r="P225" s="50" t="str">
        <f t="shared" si="10"/>
        <v/>
      </c>
    </row>
    <row r="226" spans="1:16">
      <c r="A226" s="57">
        <f t="shared" si="11"/>
        <v>213</v>
      </c>
      <c r="B226" s="68"/>
      <c r="C226" s="68"/>
      <c r="D226" s="68"/>
      <c r="E226" s="68"/>
      <c r="F226" s="152"/>
      <c r="G226" s="67"/>
      <c r="H226" s="65"/>
      <c r="I226" s="152"/>
      <c r="J226" s="65"/>
      <c r="K226" s="65" t="s">
        <v>106</v>
      </c>
      <c r="L226" s="112"/>
      <c r="M226" s="58"/>
      <c r="N226" s="66" t="e">
        <f>IF(OR(AND(CodeFileListUsed="Yes",#REF!="",COUNTA(B226:C226,D226:F226)&lt;&gt;0),AND(COUNTA(B226:C226,D226:F226)&lt;&gt;0, COUNTA(B226:C226,D226:F226)&lt;&gt;COUNTA(B$13:C$13,D$13:F$13))),CheckErr,CheckOK)</f>
        <v>#REF!</v>
      </c>
      <c r="O226" s="50" t="str">
        <f t="shared" si="9"/>
        <v/>
      </c>
      <c r="P226" s="50" t="str">
        <f t="shared" si="10"/>
        <v/>
      </c>
    </row>
    <row r="227" spans="1:16">
      <c r="A227" s="57">
        <f t="shared" si="11"/>
        <v>214</v>
      </c>
      <c r="B227" s="68"/>
      <c r="C227" s="68"/>
      <c r="D227" s="68"/>
      <c r="E227" s="68"/>
      <c r="F227" s="152"/>
      <c r="G227" s="67"/>
      <c r="H227" s="65"/>
      <c r="I227" s="152"/>
      <c r="J227" s="65"/>
      <c r="K227" s="65" t="s">
        <v>106</v>
      </c>
      <c r="L227" s="112"/>
      <c r="M227" s="58"/>
      <c r="N227" s="66" t="e">
        <f>IF(OR(AND(CodeFileListUsed="Yes",#REF!="",COUNTA(B227:C227,D227:F227)&lt;&gt;0),AND(COUNTA(B227:C227,D227:F227)&lt;&gt;0, COUNTA(B227:C227,D227:F227)&lt;&gt;COUNTA(B$13:C$13,D$13:F$13))),CheckErr,CheckOK)</f>
        <v>#REF!</v>
      </c>
      <c r="O227" s="50" t="str">
        <f t="shared" si="9"/>
        <v/>
      </c>
      <c r="P227" s="50" t="str">
        <f t="shared" si="10"/>
        <v/>
      </c>
    </row>
    <row r="228" spans="1:16">
      <c r="A228" s="57">
        <f t="shared" si="11"/>
        <v>215</v>
      </c>
      <c r="B228" s="68"/>
      <c r="C228" s="68"/>
      <c r="D228" s="68"/>
      <c r="E228" s="68"/>
      <c r="F228" s="152"/>
      <c r="G228" s="67"/>
      <c r="H228" s="65"/>
      <c r="I228" s="152"/>
      <c r="J228" s="65"/>
      <c r="K228" s="65" t="s">
        <v>106</v>
      </c>
      <c r="L228" s="112"/>
      <c r="M228" s="58"/>
      <c r="N228" s="66" t="e">
        <f>IF(OR(AND(CodeFileListUsed="Yes",#REF!="",COUNTA(B228:C228,D228:F228)&lt;&gt;0),AND(COUNTA(B228:C228,D228:F228)&lt;&gt;0, COUNTA(B228:C228,D228:F228)&lt;&gt;COUNTA(B$13:C$13,D$13:F$13))),CheckErr,CheckOK)</f>
        <v>#REF!</v>
      </c>
      <c r="O228" s="50" t="str">
        <f t="shared" si="9"/>
        <v/>
      </c>
      <c r="P228" s="50" t="str">
        <f t="shared" si="10"/>
        <v/>
      </c>
    </row>
    <row r="229" spans="1:16">
      <c r="A229" s="57">
        <f t="shared" si="11"/>
        <v>216</v>
      </c>
      <c r="B229" s="68"/>
      <c r="C229" s="68"/>
      <c r="D229" s="68"/>
      <c r="E229" s="68"/>
      <c r="F229" s="152"/>
      <c r="G229" s="67"/>
      <c r="H229" s="65"/>
      <c r="I229" s="152"/>
      <c r="J229" s="65"/>
      <c r="K229" s="65"/>
      <c r="L229" s="112"/>
      <c r="M229" s="58"/>
      <c r="N229" s="66" t="e">
        <f>IF(OR(AND(CodeFileListUsed="Yes",#REF!="",COUNTA(B229:C229,D229:F229)&lt;&gt;0),AND(COUNTA(B229:C229,D229:F229)&lt;&gt;0, COUNTA(B229:C229,D229:F229)&lt;&gt;COUNTA(B$13:C$13,D$13:F$13))),CheckErr,CheckOK)</f>
        <v>#REF!</v>
      </c>
      <c r="O229" s="50" t="str">
        <f t="shared" si="9"/>
        <v/>
      </c>
      <c r="P229" s="50" t="str">
        <f t="shared" si="10"/>
        <v/>
      </c>
    </row>
    <row r="230" spans="1:16">
      <c r="A230" s="57">
        <f t="shared" si="11"/>
        <v>217</v>
      </c>
      <c r="B230" s="68"/>
      <c r="C230" s="68"/>
      <c r="D230" s="68"/>
      <c r="E230" s="68"/>
      <c r="F230" s="152"/>
      <c r="G230" s="67"/>
      <c r="H230" s="65"/>
      <c r="I230" s="152"/>
      <c r="J230" s="65"/>
      <c r="K230" s="65" t="s">
        <v>106</v>
      </c>
      <c r="L230" s="112"/>
      <c r="M230" s="58"/>
      <c r="N230" s="66" t="e">
        <f>IF(OR(AND(CodeFileListUsed="Yes",#REF!="",COUNTA(B230:C230,D230:F230)&lt;&gt;0),AND(COUNTA(B230:C230,D230:F230)&lt;&gt;0, COUNTA(B230:C230,D230:F230)&lt;&gt;COUNTA(B$13:C$13,D$13:F$13))),CheckErr,CheckOK)</f>
        <v>#REF!</v>
      </c>
      <c r="O230" s="50" t="str">
        <f t="shared" si="9"/>
        <v/>
      </c>
      <c r="P230" s="50" t="str">
        <f t="shared" si="10"/>
        <v/>
      </c>
    </row>
    <row r="231" spans="1:16">
      <c r="A231" s="57">
        <f t="shared" si="11"/>
        <v>218</v>
      </c>
      <c r="B231" s="68"/>
      <c r="C231" s="68"/>
      <c r="D231" s="68"/>
      <c r="E231" s="68"/>
      <c r="F231" s="152"/>
      <c r="G231" s="67"/>
      <c r="H231" s="65"/>
      <c r="I231" s="152"/>
      <c r="J231" s="65"/>
      <c r="K231" s="65" t="s">
        <v>106</v>
      </c>
      <c r="L231" s="112"/>
      <c r="M231" s="58"/>
      <c r="N231" s="66" t="e">
        <f>IF(OR(AND(CodeFileListUsed="Yes",#REF!="",COUNTA(B231:C231,D231:F231)&lt;&gt;0),AND(COUNTA(B231:C231,D231:F231)&lt;&gt;0, COUNTA(B231:C231,D231:F231)&lt;&gt;COUNTA(B$13:C$13,D$13:F$13))),CheckErr,CheckOK)</f>
        <v>#REF!</v>
      </c>
      <c r="O231" s="50" t="str">
        <f t="shared" si="9"/>
        <v/>
      </c>
      <c r="P231" s="50" t="str">
        <f t="shared" si="10"/>
        <v/>
      </c>
    </row>
    <row r="232" spans="1:16">
      <c r="A232" s="57">
        <f t="shared" si="11"/>
        <v>219</v>
      </c>
      <c r="B232" s="68"/>
      <c r="C232" s="68"/>
      <c r="D232" s="68"/>
      <c r="E232" s="68"/>
      <c r="F232" s="152"/>
      <c r="G232" s="67"/>
      <c r="H232" s="65"/>
      <c r="I232" s="152"/>
      <c r="J232" s="65"/>
      <c r="K232" s="65" t="s">
        <v>106</v>
      </c>
      <c r="L232" s="112"/>
      <c r="M232" s="58"/>
      <c r="N232" s="66" t="e">
        <f>IF(OR(AND(CodeFileListUsed="Yes",#REF!="",COUNTA(B232:C232,D232:F232)&lt;&gt;0),AND(COUNTA(B232:C232,D232:F232)&lt;&gt;0, COUNTA(B232:C232,D232:F232)&lt;&gt;COUNTA(B$13:C$13,D$13:F$13))),CheckErr,CheckOK)</f>
        <v>#REF!</v>
      </c>
      <c r="O232" s="50" t="str">
        <f t="shared" si="9"/>
        <v/>
      </c>
      <c r="P232" s="50" t="str">
        <f t="shared" si="10"/>
        <v/>
      </c>
    </row>
    <row r="233" spans="1:16">
      <c r="A233" s="57">
        <f t="shared" si="11"/>
        <v>220</v>
      </c>
      <c r="B233" s="68"/>
      <c r="C233" s="68"/>
      <c r="D233" s="68"/>
      <c r="E233" s="68"/>
      <c r="F233" s="152"/>
      <c r="G233" s="67"/>
      <c r="H233" s="65"/>
      <c r="I233" s="152"/>
      <c r="J233" s="65"/>
      <c r="K233" s="65" t="s">
        <v>106</v>
      </c>
      <c r="L233" s="112"/>
      <c r="M233" s="58"/>
      <c r="N233" s="66" t="e">
        <f>IF(OR(AND(CodeFileListUsed="Yes",#REF!="",COUNTA(B233:C233,D233:F233)&lt;&gt;0),AND(COUNTA(B233:C233,D233:F233)&lt;&gt;0, COUNTA(B233:C233,D233:F233)&lt;&gt;COUNTA(B$13:C$13,D$13:F$13))),CheckErr,CheckOK)</f>
        <v>#REF!</v>
      </c>
      <c r="O233" s="50" t="str">
        <f t="shared" si="9"/>
        <v/>
      </c>
      <c r="P233" s="50" t="str">
        <f t="shared" si="10"/>
        <v/>
      </c>
    </row>
    <row r="234" spans="1:16">
      <c r="A234" s="57">
        <f t="shared" si="11"/>
        <v>221</v>
      </c>
      <c r="B234" s="68"/>
      <c r="C234" s="68"/>
      <c r="D234" s="68"/>
      <c r="E234" s="68"/>
      <c r="F234" s="152"/>
      <c r="G234" s="67"/>
      <c r="H234" s="65"/>
      <c r="I234" s="152"/>
      <c r="J234" s="65"/>
      <c r="K234" s="65" t="s">
        <v>106</v>
      </c>
      <c r="L234" s="112"/>
      <c r="M234" s="58"/>
      <c r="N234" s="66" t="e">
        <f>IF(OR(AND(CodeFileListUsed="Yes",#REF!="",COUNTA(B234:C234,D234:F234)&lt;&gt;0),AND(COUNTA(B234:C234,D234:F234)&lt;&gt;0, COUNTA(B234:C234,D234:F234)&lt;&gt;COUNTA(B$13:C$13,D$13:F$13))),CheckErr,CheckOK)</f>
        <v>#REF!</v>
      </c>
      <c r="O234" s="50" t="str">
        <f t="shared" si="9"/>
        <v/>
      </c>
      <c r="P234" s="50" t="str">
        <f t="shared" si="10"/>
        <v/>
      </c>
    </row>
    <row r="235" spans="1:16">
      <c r="A235" s="57">
        <f t="shared" si="11"/>
        <v>222</v>
      </c>
      <c r="B235" s="68"/>
      <c r="C235" s="68"/>
      <c r="D235" s="68"/>
      <c r="E235" s="68"/>
      <c r="F235" s="152"/>
      <c r="G235" s="67"/>
      <c r="H235" s="65"/>
      <c r="I235" s="152"/>
      <c r="J235" s="65"/>
      <c r="K235" s="65" t="s">
        <v>106</v>
      </c>
      <c r="L235" s="112"/>
      <c r="M235" s="58"/>
      <c r="N235" s="66" t="e">
        <f>IF(OR(AND(CodeFileListUsed="Yes",#REF!="",COUNTA(B235:C235,D235:F235)&lt;&gt;0),AND(COUNTA(B235:C235,D235:F235)&lt;&gt;0, COUNTA(B235:C235,D235:F235)&lt;&gt;COUNTA(B$13:C$13,D$13:F$13))),CheckErr,CheckOK)</f>
        <v>#REF!</v>
      </c>
      <c r="O235" s="50" t="str">
        <f t="shared" si="9"/>
        <v/>
      </c>
      <c r="P235" s="50" t="str">
        <f t="shared" si="10"/>
        <v/>
      </c>
    </row>
    <row r="236" spans="1:16">
      <c r="A236" s="57">
        <f t="shared" si="11"/>
        <v>223</v>
      </c>
      <c r="B236" s="68"/>
      <c r="C236" s="68"/>
      <c r="D236" s="68"/>
      <c r="E236" s="68"/>
      <c r="F236" s="152"/>
      <c r="G236" s="67"/>
      <c r="H236" s="65"/>
      <c r="I236" s="152"/>
      <c r="J236" s="65"/>
      <c r="K236" s="65" t="s">
        <v>106</v>
      </c>
      <c r="L236" s="112"/>
      <c r="M236" s="58"/>
      <c r="N236" s="66" t="e">
        <f>IF(OR(AND(CodeFileListUsed="Yes",#REF!="",COUNTA(B236:C236,D236:F236)&lt;&gt;0),AND(COUNTA(B236:C236,D236:F236)&lt;&gt;0, COUNTA(B236:C236,D236:F236)&lt;&gt;COUNTA(B$13:C$13,D$13:F$13))),CheckErr,CheckOK)</f>
        <v>#REF!</v>
      </c>
      <c r="O236" s="50" t="str">
        <f t="shared" si="9"/>
        <v/>
      </c>
      <c r="P236" s="50" t="str">
        <f t="shared" si="10"/>
        <v/>
      </c>
    </row>
    <row r="237" spans="1:16">
      <c r="A237" s="57">
        <f t="shared" si="11"/>
        <v>224</v>
      </c>
      <c r="B237" s="68"/>
      <c r="C237" s="68"/>
      <c r="D237" s="68"/>
      <c r="E237" s="68"/>
      <c r="F237" s="152"/>
      <c r="G237" s="67"/>
      <c r="H237" s="65"/>
      <c r="I237" s="152"/>
      <c r="J237" s="65"/>
      <c r="K237" s="65" t="s">
        <v>106</v>
      </c>
      <c r="L237" s="112"/>
      <c r="M237" s="58"/>
      <c r="N237" s="66" t="e">
        <f>IF(OR(AND(CodeFileListUsed="Yes",#REF!="",COUNTA(B237:C237,D237:F237)&lt;&gt;0),AND(COUNTA(B237:C237,D237:F237)&lt;&gt;0, COUNTA(B237:C237,D237:F237)&lt;&gt;COUNTA(B$13:C$13,D$13:F$13))),CheckErr,CheckOK)</f>
        <v>#REF!</v>
      </c>
      <c r="O237" s="50" t="str">
        <f t="shared" si="9"/>
        <v/>
      </c>
      <c r="P237" s="50" t="str">
        <f t="shared" si="10"/>
        <v/>
      </c>
    </row>
    <row r="238" spans="1:16">
      <c r="A238" s="57">
        <f t="shared" si="11"/>
        <v>225</v>
      </c>
      <c r="B238" s="68"/>
      <c r="C238" s="68"/>
      <c r="D238" s="68"/>
      <c r="E238" s="68"/>
      <c r="F238" s="152"/>
      <c r="G238" s="67"/>
      <c r="H238" s="65"/>
      <c r="I238" s="152"/>
      <c r="J238" s="65"/>
      <c r="K238" s="65" t="s">
        <v>106</v>
      </c>
      <c r="L238" s="112"/>
      <c r="M238" s="58"/>
      <c r="N238" s="66" t="e">
        <f>IF(OR(AND(CodeFileListUsed="Yes",#REF!="",COUNTA(B238:C238,D238:F238)&lt;&gt;0),AND(COUNTA(B238:C238,D238:F238)&lt;&gt;0, COUNTA(B238:C238,D238:F238)&lt;&gt;COUNTA(B$13:C$13,D$13:F$13))),CheckErr,CheckOK)</f>
        <v>#REF!</v>
      </c>
      <c r="O238" s="50" t="str">
        <f t="shared" si="9"/>
        <v/>
      </c>
      <c r="P238" s="50" t="str">
        <f t="shared" si="10"/>
        <v/>
      </c>
    </row>
    <row r="239" spans="1:16">
      <c r="A239" s="192" t="s">
        <v>105</v>
      </c>
      <c r="B239" s="193"/>
      <c r="C239" s="193"/>
      <c r="D239" s="193"/>
      <c r="E239" s="193"/>
      <c r="F239" s="193"/>
      <c r="G239" s="193"/>
      <c r="H239" s="193"/>
      <c r="I239" s="193"/>
      <c r="J239" s="193"/>
      <c r="K239" s="193"/>
      <c r="L239" s="193"/>
      <c r="M239" s="193"/>
      <c r="N239" s="193"/>
      <c r="O239" s="193"/>
      <c r="P239" s="193"/>
    </row>
  </sheetData>
  <sheetProtection insertRows="0"/>
  <autoFilter ref="A13:P239">
    <filterColumn colId="3"/>
    <filterColumn colId="5"/>
    <filterColumn colId="7"/>
    <filterColumn colId="9"/>
    <filterColumn colId="10"/>
  </autoFilter>
  <mergeCells count="17">
    <mergeCell ref="D3:J3"/>
    <mergeCell ref="D10:J10"/>
    <mergeCell ref="A3:C3"/>
    <mergeCell ref="A4:C4"/>
    <mergeCell ref="D4:F4"/>
    <mergeCell ref="A239:P239"/>
    <mergeCell ref="A9:D9"/>
    <mergeCell ref="D5:F5"/>
    <mergeCell ref="D6:F6"/>
    <mergeCell ref="A6:C6"/>
    <mergeCell ref="D11:E11"/>
    <mergeCell ref="H11:J11"/>
    <mergeCell ref="A5:C5"/>
    <mergeCell ref="A7:C7"/>
    <mergeCell ref="D7:F7"/>
    <mergeCell ref="A8:C8"/>
    <mergeCell ref="D8:F8"/>
  </mergeCells>
  <conditionalFormatting sqref="N4:N5 O1:P238 N14:N238 N240:P65536">
    <cfRule type="cellIs" dxfId="27" priority="24" stopIfTrue="1" operator="equal">
      <formula>CheckErr</formula>
    </cfRule>
  </conditionalFormatting>
  <conditionalFormatting sqref="L14:L238">
    <cfRule type="expression" dxfId="26" priority="15" stopIfTrue="1">
      <formula>$P14=CheckErr</formula>
    </cfRule>
  </conditionalFormatting>
  <conditionalFormatting sqref="H14:K238">
    <cfRule type="expression" dxfId="25" priority="31" stopIfTrue="1">
      <formula>$O14=CheckErr</formula>
    </cfRule>
  </conditionalFormatting>
  <conditionalFormatting sqref="D4:F5 B14:F238">
    <cfRule type="expression" dxfId="24" priority="33" stopIfTrue="1">
      <formula>$N4=CheckErr</formula>
    </cfRule>
  </conditionalFormatting>
  <conditionalFormatting sqref="H24:K24">
    <cfRule type="expression" dxfId="23" priority="13" stopIfTrue="1">
      <formula>$O24=CheckErr</formula>
    </cfRule>
  </conditionalFormatting>
  <conditionalFormatting sqref="H26:K26">
    <cfRule type="expression" dxfId="22" priority="12" stopIfTrue="1">
      <formula>$O26=CheckErr</formula>
    </cfRule>
  </conditionalFormatting>
  <conditionalFormatting sqref="H32:K32">
    <cfRule type="expression" dxfId="21" priority="11" stopIfTrue="1">
      <formula>$O32=CheckErr</formula>
    </cfRule>
  </conditionalFormatting>
  <conditionalFormatting sqref="H80:K80">
    <cfRule type="expression" dxfId="20" priority="10" stopIfTrue="1">
      <formula>$O80=CheckErr</formula>
    </cfRule>
  </conditionalFormatting>
  <conditionalFormatting sqref="H108:K108">
    <cfRule type="expression" dxfId="19" priority="9" stopIfTrue="1">
      <formula>$O108=CheckErr</formula>
    </cfRule>
  </conditionalFormatting>
  <conditionalFormatting sqref="H109:K109">
    <cfRule type="expression" dxfId="18" priority="8" stopIfTrue="1">
      <formula>$O109=CheckErr</formula>
    </cfRule>
  </conditionalFormatting>
  <conditionalFormatting sqref="H118:K118">
    <cfRule type="expression" dxfId="17" priority="7" stopIfTrue="1">
      <formula>$O118=CheckErr</formula>
    </cfRule>
  </conditionalFormatting>
  <conditionalFormatting sqref="H121:K121">
    <cfRule type="expression" dxfId="16" priority="6" stopIfTrue="1">
      <formula>$O121=CheckErr</formula>
    </cfRule>
  </conditionalFormatting>
  <conditionalFormatting sqref="H126:K126">
    <cfRule type="expression" dxfId="15" priority="5" stopIfTrue="1">
      <formula>$O126=CheckErr</formula>
    </cfRule>
  </conditionalFormatting>
  <conditionalFormatting sqref="H127:K127">
    <cfRule type="expression" dxfId="14" priority="4" stopIfTrue="1">
      <formula>$O127=CheckErr</formula>
    </cfRule>
  </conditionalFormatting>
  <conditionalFormatting sqref="H132:K132">
    <cfRule type="expression" dxfId="13" priority="3" stopIfTrue="1">
      <formula>$O132=CheckErr</formula>
    </cfRule>
  </conditionalFormatting>
  <conditionalFormatting sqref="H136:K136">
    <cfRule type="expression" dxfId="12" priority="2" stopIfTrue="1">
      <formula>$O136=CheckErr</formula>
    </cfRule>
  </conditionalFormatting>
  <conditionalFormatting sqref="H59:K59">
    <cfRule type="expression" dxfId="11" priority="1" stopIfTrue="1">
      <formula>$O59=CheckErr</formula>
    </cfRule>
  </conditionalFormatting>
  <dataValidations count="8">
    <dataValidation allowBlank="1" showErrorMessage="1" promptTitle="Reviewer Name" prompt="The reviewer should enter their name here when performing a review. When producing a consolidated RRR, the author should set this to 'N/A' (the reviewer names can be found on the 'Metrics' sheet)." sqref="O7 P8 N4:N6"/>
    <dataValidation type="textLength" allowBlank="1" showInputMessage="1" showErrorMessage="1" sqref="L14:L238">
      <formula1>2</formula1>
      <formula2>4</formula2>
    </dataValidation>
    <dataValidation type="list" allowBlank="1" showInputMessage="1" showErrorMessage="1" sqref="J14:J238">
      <formula1>"Accepted,Rejected,Duplicate,Noted"</formula1>
    </dataValidation>
    <dataValidation type="list" showInputMessage="1" showErrorMessage="1" sqref="K14:K238">
      <formula1>"Y,y,-"</formula1>
    </dataValidation>
    <dataValidation operator="greaterThan" allowBlank="1" showInputMessage="1" showErrorMessage="1" sqref="D14:E238"/>
    <dataValidation allowBlank="1" showInputMessage="1" showErrorMessage="1" promptTitle="Reviewer Name" prompt="The reviewer should enter their name here when performing a review. When producing a consolidated RRR, the author should capture all of the reviewer's names alongside the initials used in the comments form. e.g. Joe Blogs (JB)." sqref="D4:F4"/>
    <dataValidation allowBlank="1" showInputMessage="1" showErrorMessage="1" promptTitle="Review Date" prompt="The reviewer should enter the date when performing they are performing their review. When producing a consolidated RRR, the author should set this to 'N/A' (there will be various review dates)." sqref="D5:F5"/>
    <dataValidation allowBlank="1" showInputMessage="1" showErrorMessage="1" promptTitle="Time Spent" prompt="This data is entered in the &quot;Metrics&quot; sheet." sqref="D6:F8"/>
  </dataValidations>
  <pageMargins left="0.74803149606299213" right="0.74803149606299213" top="0.98425196850393704" bottom="0.98425196850393704" header="0.51181102362204722" footer="0.51181102362204722"/>
  <pageSetup paperSize="9" scale="61"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5.xml><?xml version="1.0" encoding="utf-8"?>
<worksheet xmlns="http://schemas.openxmlformats.org/spreadsheetml/2006/main" xmlns:r="http://schemas.openxmlformats.org/officeDocument/2006/relationships">
  <sheetPr codeName="Sheet12"/>
  <dimension ref="A1:S130"/>
  <sheetViews>
    <sheetView workbookViewId="0">
      <selection activeCell="B3" sqref="B3:C3"/>
    </sheetView>
  </sheetViews>
  <sheetFormatPr defaultRowHeight="13.5"/>
  <cols>
    <col min="1" max="1" width="13.875" style="89" bestFit="1" customWidth="1"/>
    <col min="2" max="2" width="17.25" style="89" bestFit="1" customWidth="1"/>
    <col min="3" max="3" width="52.25" style="89" bestFit="1" customWidth="1"/>
    <col min="4" max="4" width="17.25" style="89" bestFit="1" customWidth="1"/>
    <col min="5" max="5" width="53" style="89" customWidth="1"/>
    <col min="6" max="6" width="17.25" style="89" customWidth="1"/>
    <col min="7" max="7" width="62.375" style="89" customWidth="1"/>
    <col min="8" max="8" width="16.5" style="89" bestFit="1" customWidth="1"/>
    <col min="9" max="9" width="62.375" style="89" customWidth="1"/>
    <col min="10" max="10" width="18" style="89" customWidth="1"/>
    <col min="11" max="11" width="25.875" style="89" customWidth="1"/>
    <col min="12" max="12" width="11.5" style="89" bestFit="1" customWidth="1"/>
    <col min="13" max="13" width="62.375" style="89" customWidth="1"/>
    <col min="14" max="14" width="11.5" style="89" bestFit="1" customWidth="1"/>
    <col min="15" max="15" width="62.375" style="89" customWidth="1"/>
    <col min="16" max="16" width="11.5" style="89" bestFit="1" customWidth="1"/>
    <col min="17" max="18" width="62.375" style="89" customWidth="1"/>
    <col min="19" max="19" width="9" style="89"/>
    <col min="20" max="16384" width="9" style="162"/>
  </cols>
  <sheetData>
    <row r="1" spans="1:19" ht="13.5" customHeight="1">
      <c r="A1" s="160" t="s">
        <v>139</v>
      </c>
      <c r="B1" s="211" t="s">
        <v>518</v>
      </c>
      <c r="C1" s="213"/>
      <c r="D1" s="211" t="s">
        <v>324</v>
      </c>
      <c r="E1" s="212"/>
      <c r="F1" s="211" t="s">
        <v>407</v>
      </c>
      <c r="G1" s="212"/>
      <c r="H1" s="211" t="s">
        <v>445</v>
      </c>
      <c r="I1" s="212"/>
      <c r="J1" s="211" t="s">
        <v>553</v>
      </c>
      <c r="K1" s="212"/>
      <c r="L1" s="211" t="s">
        <v>524</v>
      </c>
      <c r="M1" s="212"/>
      <c r="N1" s="211" t="s">
        <v>479</v>
      </c>
      <c r="O1" s="212"/>
      <c r="P1" s="211" t="s">
        <v>143</v>
      </c>
      <c r="Q1" s="212"/>
      <c r="R1" s="214" t="s">
        <v>193</v>
      </c>
      <c r="S1" s="161" t="s">
        <v>389</v>
      </c>
    </row>
    <row r="2" spans="1:19" ht="13.5" customHeight="1">
      <c r="A2" s="160" t="s">
        <v>140</v>
      </c>
      <c r="B2" s="211" t="s">
        <v>550</v>
      </c>
      <c r="C2" s="213"/>
      <c r="D2" s="211" t="s">
        <v>325</v>
      </c>
      <c r="E2" s="212"/>
      <c r="F2" s="211" t="s">
        <v>406</v>
      </c>
      <c r="G2" s="212"/>
      <c r="H2" s="211" t="s">
        <v>552</v>
      </c>
      <c r="I2" s="212"/>
      <c r="J2" s="211" t="s">
        <v>552</v>
      </c>
      <c r="K2" s="212"/>
      <c r="L2" s="211" t="s">
        <v>552</v>
      </c>
      <c r="M2" s="212"/>
      <c r="N2" s="211" t="s">
        <v>552</v>
      </c>
      <c r="O2" s="212"/>
      <c r="P2" s="211" t="s">
        <v>401</v>
      </c>
      <c r="Q2" s="212"/>
      <c r="R2" s="215"/>
      <c r="S2" s="161"/>
    </row>
    <row r="3" spans="1:19" ht="13.5" customHeight="1">
      <c r="A3" s="160" t="s">
        <v>141</v>
      </c>
      <c r="B3" s="211" t="s">
        <v>551</v>
      </c>
      <c r="C3" s="213"/>
      <c r="D3" s="211" t="s">
        <v>326</v>
      </c>
      <c r="E3" s="212"/>
      <c r="F3" s="211" t="s">
        <v>144</v>
      </c>
      <c r="G3" s="212"/>
      <c r="H3" s="211" t="s">
        <v>144</v>
      </c>
      <c r="I3" s="212"/>
      <c r="J3" s="211" t="s">
        <v>144</v>
      </c>
      <c r="K3" s="212"/>
      <c r="L3" s="211" t="s">
        <v>144</v>
      </c>
      <c r="M3" s="212"/>
      <c r="N3" s="211" t="s">
        <v>554</v>
      </c>
      <c r="O3" s="212"/>
      <c r="P3" s="211" t="s">
        <v>144</v>
      </c>
      <c r="Q3" s="212"/>
      <c r="R3" s="216"/>
      <c r="S3" s="161"/>
    </row>
    <row r="4" spans="1:19" ht="14.25" customHeight="1" thickBot="1">
      <c r="A4" s="160" t="s">
        <v>364</v>
      </c>
      <c r="B4" s="211" t="s">
        <v>374</v>
      </c>
      <c r="C4" s="213"/>
      <c r="D4" s="211" t="s">
        <v>390</v>
      </c>
      <c r="E4" s="212"/>
      <c r="F4" s="211" t="s">
        <v>440</v>
      </c>
      <c r="G4" s="212"/>
      <c r="H4" s="211" t="s">
        <v>440</v>
      </c>
      <c r="I4" s="212"/>
      <c r="J4" s="211" t="s">
        <v>549</v>
      </c>
      <c r="K4" s="212"/>
      <c r="L4" s="211" t="s">
        <v>440</v>
      </c>
      <c r="M4" s="212"/>
      <c r="N4" s="211" t="s">
        <v>480</v>
      </c>
      <c r="O4" s="212"/>
      <c r="P4" s="211" t="s">
        <v>390</v>
      </c>
      <c r="Q4" s="212"/>
      <c r="R4" s="161" t="s">
        <v>390</v>
      </c>
      <c r="S4" s="161"/>
    </row>
    <row r="5" spans="1:19" ht="19.5">
      <c r="B5" s="89" t="s">
        <v>365</v>
      </c>
      <c r="C5" s="163" t="s">
        <v>366</v>
      </c>
      <c r="D5" s="89" t="s">
        <v>365</v>
      </c>
      <c r="E5" s="163" t="s">
        <v>327</v>
      </c>
      <c r="F5" s="148" t="s">
        <v>365</v>
      </c>
      <c r="G5" s="163" t="s">
        <v>408</v>
      </c>
      <c r="H5" s="89" t="s">
        <v>365</v>
      </c>
      <c r="I5" s="163" t="s">
        <v>446</v>
      </c>
      <c r="J5" s="170" t="s">
        <v>365</v>
      </c>
      <c r="K5" s="171" t="s">
        <v>541</v>
      </c>
      <c r="L5" s="89" t="s">
        <v>365</v>
      </c>
      <c r="M5" s="163" t="s">
        <v>525</v>
      </c>
      <c r="N5" s="89" t="s">
        <v>365</v>
      </c>
      <c r="O5" s="163" t="s">
        <v>487</v>
      </c>
      <c r="P5" s="89" t="s">
        <v>365</v>
      </c>
      <c r="Q5" s="163" t="s">
        <v>142</v>
      </c>
    </row>
    <row r="6" spans="1:19" ht="40.5">
      <c r="B6" s="89" t="s">
        <v>367</v>
      </c>
      <c r="C6" s="89" t="s">
        <v>136</v>
      </c>
      <c r="D6" s="89" t="s">
        <v>367</v>
      </c>
      <c r="E6" s="89" t="s">
        <v>328</v>
      </c>
      <c r="F6" s="89" t="s">
        <v>367</v>
      </c>
      <c r="G6" s="89" t="s">
        <v>409</v>
      </c>
      <c r="H6" s="89" t="s">
        <v>403</v>
      </c>
      <c r="I6" s="89" t="s">
        <v>447</v>
      </c>
      <c r="J6" s="89" t="s">
        <v>367</v>
      </c>
      <c r="K6" s="89" t="s">
        <v>542</v>
      </c>
      <c r="L6" s="89" t="s">
        <v>403</v>
      </c>
      <c r="M6" s="89" t="s">
        <v>526</v>
      </c>
      <c r="N6" s="89" t="s">
        <v>476</v>
      </c>
      <c r="O6" s="89" t="s">
        <v>523</v>
      </c>
      <c r="P6" s="89" t="s">
        <v>375</v>
      </c>
      <c r="Q6" s="89" t="s">
        <v>205</v>
      </c>
    </row>
    <row r="7" spans="1:19" ht="42">
      <c r="B7" s="89" t="s">
        <v>367</v>
      </c>
      <c r="C7" s="89" t="s">
        <v>155</v>
      </c>
      <c r="D7" s="89" t="s">
        <v>367</v>
      </c>
      <c r="E7" s="89" t="s">
        <v>329</v>
      </c>
      <c r="F7" s="89" t="s">
        <v>367</v>
      </c>
      <c r="G7" s="89" t="s">
        <v>410</v>
      </c>
      <c r="H7" s="89" t="s">
        <v>365</v>
      </c>
      <c r="I7" s="163" t="s">
        <v>448</v>
      </c>
      <c r="J7" s="89" t="s">
        <v>540</v>
      </c>
      <c r="K7" s="89" t="s">
        <v>543</v>
      </c>
      <c r="L7" s="89" t="s">
        <v>403</v>
      </c>
      <c r="M7" s="89" t="s">
        <v>527</v>
      </c>
      <c r="N7" s="89" t="s">
        <v>476</v>
      </c>
      <c r="O7" s="89" t="s">
        <v>481</v>
      </c>
      <c r="P7" s="89" t="s">
        <v>375</v>
      </c>
      <c r="Q7" s="89" t="s">
        <v>206</v>
      </c>
    </row>
    <row r="8" spans="1:19" ht="40.5">
      <c r="B8" s="89" t="s">
        <v>367</v>
      </c>
      <c r="C8" s="89" t="s">
        <v>137</v>
      </c>
      <c r="D8" s="89" t="s">
        <v>367</v>
      </c>
      <c r="E8" s="89" t="s">
        <v>330</v>
      </c>
      <c r="F8" s="89" t="s">
        <v>367</v>
      </c>
      <c r="G8" s="89" t="s">
        <v>441</v>
      </c>
      <c r="H8" s="89" t="s">
        <v>403</v>
      </c>
      <c r="I8" s="89" t="s">
        <v>449</v>
      </c>
      <c r="J8" s="89" t="s">
        <v>540</v>
      </c>
      <c r="K8" s="89" t="s">
        <v>544</v>
      </c>
      <c r="L8" s="89" t="s">
        <v>403</v>
      </c>
      <c r="M8" s="89" t="s">
        <v>528</v>
      </c>
      <c r="N8" s="89" t="s">
        <v>375</v>
      </c>
      <c r="O8" s="89" t="s">
        <v>482</v>
      </c>
      <c r="P8" s="89" t="s">
        <v>375</v>
      </c>
      <c r="Q8" s="89" t="s">
        <v>207</v>
      </c>
    </row>
    <row r="9" spans="1:19" ht="40.5">
      <c r="B9" s="89" t="s">
        <v>367</v>
      </c>
      <c r="C9" s="89" t="s">
        <v>138</v>
      </c>
      <c r="D9" s="89" t="s">
        <v>367</v>
      </c>
      <c r="E9" s="89" t="s">
        <v>331</v>
      </c>
      <c r="F9" s="89" t="s">
        <v>367</v>
      </c>
      <c r="G9" s="89" t="s">
        <v>411</v>
      </c>
      <c r="H9" s="89" t="s">
        <v>375</v>
      </c>
      <c r="I9" s="89" t="s">
        <v>450</v>
      </c>
      <c r="J9" s="89" t="s">
        <v>540</v>
      </c>
      <c r="K9" s="89" t="s">
        <v>545</v>
      </c>
      <c r="L9" s="89" t="s">
        <v>403</v>
      </c>
      <c r="M9" s="89" t="s">
        <v>529</v>
      </c>
      <c r="N9" s="89" t="s">
        <v>403</v>
      </c>
      <c r="O9" s="89" t="s">
        <v>483</v>
      </c>
      <c r="P9" s="89" t="s">
        <v>375</v>
      </c>
      <c r="Q9" s="89" t="s">
        <v>208</v>
      </c>
    </row>
    <row r="10" spans="1:19" ht="27">
      <c r="B10" s="89" t="s">
        <v>367</v>
      </c>
      <c r="C10" s="89" t="s">
        <v>368</v>
      </c>
      <c r="D10" s="89" t="s">
        <v>367</v>
      </c>
      <c r="E10" s="89" t="s">
        <v>332</v>
      </c>
      <c r="F10" s="89" t="s">
        <v>367</v>
      </c>
      <c r="G10" s="89" t="s">
        <v>412</v>
      </c>
      <c r="H10" s="89" t="s">
        <v>375</v>
      </c>
      <c r="I10" s="89" t="s">
        <v>451</v>
      </c>
      <c r="J10" s="89" t="s">
        <v>367</v>
      </c>
      <c r="K10" s="89" t="s">
        <v>546</v>
      </c>
      <c r="L10" s="89" t="s">
        <v>375</v>
      </c>
      <c r="M10" s="89" t="s">
        <v>530</v>
      </c>
      <c r="N10" s="89" t="s">
        <v>476</v>
      </c>
      <c r="O10" s="89" t="s">
        <v>484</v>
      </c>
      <c r="P10" s="89" t="s">
        <v>375</v>
      </c>
      <c r="Q10" s="89" t="s">
        <v>209</v>
      </c>
    </row>
    <row r="11" spans="1:19" ht="28.5">
      <c r="B11" s="89" t="s">
        <v>367</v>
      </c>
      <c r="C11" s="89" t="s">
        <v>369</v>
      </c>
      <c r="D11" s="89" t="s">
        <v>365</v>
      </c>
      <c r="E11" s="163" t="s">
        <v>333</v>
      </c>
      <c r="F11" s="89" t="s">
        <v>367</v>
      </c>
      <c r="G11" s="89" t="s">
        <v>413</v>
      </c>
      <c r="H11" s="89" t="s">
        <v>375</v>
      </c>
      <c r="I11" s="89" t="s">
        <v>452</v>
      </c>
      <c r="J11" s="89" t="s">
        <v>367</v>
      </c>
      <c r="K11" s="89" t="s">
        <v>547</v>
      </c>
      <c r="L11" s="89" t="s">
        <v>375</v>
      </c>
      <c r="M11" s="89" t="s">
        <v>531</v>
      </c>
      <c r="N11" s="89" t="s">
        <v>403</v>
      </c>
      <c r="O11" s="89" t="s">
        <v>485</v>
      </c>
      <c r="P11" s="89" t="s">
        <v>375</v>
      </c>
      <c r="Q11" s="89" t="s">
        <v>210</v>
      </c>
    </row>
    <row r="12" spans="1:19" ht="42">
      <c r="B12" s="89" t="s">
        <v>367</v>
      </c>
      <c r="C12" s="89" t="s">
        <v>539</v>
      </c>
      <c r="D12" s="89" t="s">
        <v>375</v>
      </c>
      <c r="E12" s="89" t="s">
        <v>334</v>
      </c>
      <c r="F12" s="89" t="s">
        <v>367</v>
      </c>
      <c r="G12" s="89" t="s">
        <v>414</v>
      </c>
      <c r="H12" s="89" t="s">
        <v>365</v>
      </c>
      <c r="I12" s="163" t="s">
        <v>453</v>
      </c>
      <c r="J12" s="89" t="s">
        <v>375</v>
      </c>
      <c r="K12" s="89" t="s">
        <v>548</v>
      </c>
      <c r="L12" s="89" t="s">
        <v>375</v>
      </c>
      <c r="M12" s="89" t="s">
        <v>532</v>
      </c>
      <c r="N12" s="89" t="s">
        <v>403</v>
      </c>
      <c r="O12" s="89" t="s">
        <v>486</v>
      </c>
      <c r="P12" s="89" t="s">
        <v>375</v>
      </c>
      <c r="Q12" s="89" t="s">
        <v>211</v>
      </c>
    </row>
    <row r="13" spans="1:19" ht="42">
      <c r="B13" s="89" t="s">
        <v>367</v>
      </c>
      <c r="C13" s="89" t="s">
        <v>370</v>
      </c>
      <c r="D13" s="89" t="s">
        <v>375</v>
      </c>
      <c r="E13" s="89" t="s">
        <v>335</v>
      </c>
      <c r="F13" s="89" t="s">
        <v>367</v>
      </c>
      <c r="G13" s="89" t="s">
        <v>415</v>
      </c>
      <c r="H13" s="89" t="s">
        <v>403</v>
      </c>
      <c r="I13" s="89" t="s">
        <v>454</v>
      </c>
      <c r="L13" s="89" t="s">
        <v>476</v>
      </c>
      <c r="M13" s="89" t="s">
        <v>533</v>
      </c>
      <c r="N13" s="89" t="s">
        <v>365</v>
      </c>
      <c r="O13" s="163" t="s">
        <v>488</v>
      </c>
      <c r="P13" s="89" t="s">
        <v>375</v>
      </c>
      <c r="Q13" s="89" t="s">
        <v>212</v>
      </c>
    </row>
    <row r="14" spans="1:19" ht="54">
      <c r="B14" s="89" t="s">
        <v>367</v>
      </c>
      <c r="C14" s="89" t="s">
        <v>371</v>
      </c>
      <c r="D14" s="89" t="s">
        <v>375</v>
      </c>
      <c r="E14" s="89" t="s">
        <v>336</v>
      </c>
      <c r="F14" s="89" t="s">
        <v>367</v>
      </c>
      <c r="G14" s="89" t="s">
        <v>416</v>
      </c>
      <c r="H14" s="89" t="s">
        <v>375</v>
      </c>
      <c r="I14" s="89" t="s">
        <v>519</v>
      </c>
      <c r="L14" s="89" t="s">
        <v>476</v>
      </c>
      <c r="M14" s="89" t="s">
        <v>534</v>
      </c>
      <c r="N14" s="89" t="s">
        <v>403</v>
      </c>
      <c r="O14" s="89" t="s">
        <v>489</v>
      </c>
      <c r="P14" s="89" t="s">
        <v>375</v>
      </c>
      <c r="Q14" s="89" t="s">
        <v>213</v>
      </c>
    </row>
    <row r="15" spans="1:19" ht="27">
      <c r="B15" s="89" t="s">
        <v>367</v>
      </c>
      <c r="C15" s="89" t="s">
        <v>372</v>
      </c>
      <c r="D15" s="89" t="s">
        <v>375</v>
      </c>
      <c r="E15" s="89" t="s">
        <v>337</v>
      </c>
      <c r="F15" s="89" t="s">
        <v>367</v>
      </c>
      <c r="G15" s="89" t="s">
        <v>417</v>
      </c>
      <c r="H15" s="89" t="s">
        <v>403</v>
      </c>
      <c r="I15" s="89" t="s">
        <v>455</v>
      </c>
      <c r="L15" s="89" t="s">
        <v>476</v>
      </c>
      <c r="M15" s="89" t="s">
        <v>535</v>
      </c>
      <c r="N15" s="89" t="s">
        <v>403</v>
      </c>
      <c r="O15" s="89" t="s">
        <v>490</v>
      </c>
      <c r="P15" s="89" t="s">
        <v>375</v>
      </c>
      <c r="Q15" s="89" t="s">
        <v>214</v>
      </c>
    </row>
    <row r="16" spans="1:19" ht="40.5">
      <c r="B16" s="89" t="s">
        <v>367</v>
      </c>
      <c r="C16" s="89" t="s">
        <v>373</v>
      </c>
      <c r="D16" s="89" t="s">
        <v>375</v>
      </c>
      <c r="E16" s="89" t="s">
        <v>338</v>
      </c>
      <c r="F16" s="89" t="s">
        <v>367</v>
      </c>
      <c r="G16" s="89" t="s">
        <v>418</v>
      </c>
      <c r="H16" s="89" t="s">
        <v>403</v>
      </c>
      <c r="I16" s="89" t="s">
        <v>456</v>
      </c>
      <c r="L16" s="89" t="s">
        <v>476</v>
      </c>
      <c r="M16" s="89" t="s">
        <v>536</v>
      </c>
      <c r="N16" s="89" t="s">
        <v>476</v>
      </c>
      <c r="O16" s="89" t="s">
        <v>491</v>
      </c>
      <c r="P16" s="89" t="s">
        <v>375</v>
      </c>
      <c r="Q16" s="89" t="s">
        <v>215</v>
      </c>
    </row>
    <row r="17" spans="4:17" ht="28.5">
      <c r="D17" s="89" t="s">
        <v>375</v>
      </c>
      <c r="E17" s="89" t="s">
        <v>339</v>
      </c>
      <c r="F17" s="89" t="s">
        <v>367</v>
      </c>
      <c r="G17" s="89" t="s">
        <v>419</v>
      </c>
      <c r="H17" s="89" t="s">
        <v>365</v>
      </c>
      <c r="I17" s="163" t="s">
        <v>478</v>
      </c>
      <c r="J17" s="163"/>
      <c r="K17" s="163"/>
      <c r="N17" s="89" t="s">
        <v>403</v>
      </c>
      <c r="O17" s="89" t="s">
        <v>492</v>
      </c>
      <c r="P17" s="89" t="s">
        <v>375</v>
      </c>
      <c r="Q17" s="89" t="s">
        <v>216</v>
      </c>
    </row>
    <row r="18" spans="4:17" ht="27">
      <c r="D18" s="89" t="s">
        <v>375</v>
      </c>
      <c r="E18" s="89" t="s">
        <v>340</v>
      </c>
      <c r="F18" s="89" t="s">
        <v>367</v>
      </c>
      <c r="G18" s="89" t="s">
        <v>420</v>
      </c>
      <c r="H18" s="89" t="s">
        <v>375</v>
      </c>
      <c r="I18" s="89" t="s">
        <v>457</v>
      </c>
      <c r="N18" s="89" t="s">
        <v>375</v>
      </c>
      <c r="O18" s="89" t="s">
        <v>493</v>
      </c>
      <c r="P18" s="89" t="s">
        <v>375</v>
      </c>
      <c r="Q18" s="89" t="s">
        <v>217</v>
      </c>
    </row>
    <row r="19" spans="4:17" ht="40.5">
      <c r="D19" s="89" t="s">
        <v>375</v>
      </c>
      <c r="E19" s="89" t="s">
        <v>341</v>
      </c>
      <c r="F19" s="89" t="s">
        <v>367</v>
      </c>
      <c r="G19" s="89" t="s">
        <v>421</v>
      </c>
      <c r="H19" s="89" t="s">
        <v>375</v>
      </c>
      <c r="I19" s="89" t="s">
        <v>458</v>
      </c>
      <c r="N19" s="89" t="s">
        <v>476</v>
      </c>
      <c r="O19" s="89" t="s">
        <v>494</v>
      </c>
      <c r="P19" s="89" t="s">
        <v>375</v>
      </c>
      <c r="Q19" s="89" t="s">
        <v>218</v>
      </c>
    </row>
    <row r="20" spans="4:17" ht="39">
      <c r="D20" s="89" t="s">
        <v>375</v>
      </c>
      <c r="E20" s="89" t="s">
        <v>342</v>
      </c>
      <c r="F20" s="89" t="s">
        <v>367</v>
      </c>
      <c r="G20" s="89" t="s">
        <v>422</v>
      </c>
      <c r="H20" s="89" t="s">
        <v>375</v>
      </c>
      <c r="I20" s="89" t="s">
        <v>459</v>
      </c>
      <c r="M20" s="163"/>
      <c r="N20" s="89" t="s">
        <v>476</v>
      </c>
      <c r="O20" s="89" t="s">
        <v>495</v>
      </c>
      <c r="P20" s="89" t="s">
        <v>365</v>
      </c>
      <c r="Q20" s="163" t="s">
        <v>145</v>
      </c>
    </row>
    <row r="21" spans="4:17" ht="40.5">
      <c r="D21" s="89" t="s">
        <v>375</v>
      </c>
      <c r="E21" s="89" t="s">
        <v>343</v>
      </c>
      <c r="F21" s="89" t="s">
        <v>367</v>
      </c>
      <c r="G21" s="89" t="s">
        <v>423</v>
      </c>
      <c r="H21" s="89" t="s">
        <v>403</v>
      </c>
      <c r="I21" s="89" t="s">
        <v>460</v>
      </c>
      <c r="N21" s="89" t="s">
        <v>403</v>
      </c>
      <c r="O21" s="89" t="s">
        <v>496</v>
      </c>
      <c r="P21" s="89" t="s">
        <v>375</v>
      </c>
      <c r="Q21" s="89" t="s">
        <v>219</v>
      </c>
    </row>
    <row r="22" spans="4:17" ht="42">
      <c r="D22" s="89" t="s">
        <v>375</v>
      </c>
      <c r="E22" s="89" t="s">
        <v>344</v>
      </c>
      <c r="F22" s="89" t="s">
        <v>367</v>
      </c>
      <c r="G22" s="89" t="s">
        <v>424</v>
      </c>
      <c r="H22" s="89" t="s">
        <v>365</v>
      </c>
      <c r="I22" s="89" t="s">
        <v>461</v>
      </c>
      <c r="N22" s="89" t="s">
        <v>365</v>
      </c>
      <c r="O22" s="163" t="s">
        <v>497</v>
      </c>
      <c r="P22" s="89" t="s">
        <v>375</v>
      </c>
      <c r="Q22" s="89" t="s">
        <v>220</v>
      </c>
    </row>
    <row r="23" spans="4:17" ht="40.5">
      <c r="D23" s="89" t="s">
        <v>375</v>
      </c>
      <c r="E23" s="89" t="s">
        <v>345</v>
      </c>
      <c r="F23" s="89" t="s">
        <v>367</v>
      </c>
      <c r="G23" s="89" t="s">
        <v>425</v>
      </c>
      <c r="H23" s="89" t="s">
        <v>375</v>
      </c>
      <c r="I23" s="89" t="s">
        <v>520</v>
      </c>
      <c r="N23" s="89" t="s">
        <v>476</v>
      </c>
      <c r="O23" s="89" t="s">
        <v>498</v>
      </c>
      <c r="P23" s="89" t="s">
        <v>375</v>
      </c>
      <c r="Q23" s="89" t="s">
        <v>221</v>
      </c>
    </row>
    <row r="24" spans="4:17" ht="28.5">
      <c r="D24" s="89" t="s">
        <v>365</v>
      </c>
      <c r="E24" s="163" t="s">
        <v>346</v>
      </c>
      <c r="F24" s="89" t="s">
        <v>367</v>
      </c>
      <c r="G24" s="89" t="s">
        <v>426</v>
      </c>
      <c r="H24" s="89" t="s">
        <v>375</v>
      </c>
      <c r="I24" s="89" t="s">
        <v>462</v>
      </c>
      <c r="N24" s="89" t="s">
        <v>403</v>
      </c>
      <c r="O24" s="89" t="s">
        <v>499</v>
      </c>
      <c r="P24" s="89" t="s">
        <v>375</v>
      </c>
      <c r="Q24" s="89" t="s">
        <v>222</v>
      </c>
    </row>
    <row r="25" spans="4:17" ht="28.5">
      <c r="D25" s="89" t="s">
        <v>367</v>
      </c>
      <c r="E25" s="89" t="s">
        <v>355</v>
      </c>
      <c r="F25" s="89" t="s">
        <v>367</v>
      </c>
      <c r="G25" s="89" t="s">
        <v>427</v>
      </c>
      <c r="H25" s="89" t="s">
        <v>365</v>
      </c>
      <c r="I25" s="163" t="s">
        <v>463</v>
      </c>
      <c r="J25" s="163"/>
      <c r="K25" s="163"/>
      <c r="N25" s="89" t="s">
        <v>403</v>
      </c>
      <c r="O25" s="89" t="s">
        <v>500</v>
      </c>
      <c r="P25" s="89" t="s">
        <v>375</v>
      </c>
      <c r="Q25" s="89" t="s">
        <v>223</v>
      </c>
    </row>
    <row r="26" spans="4:17" ht="40.5">
      <c r="D26" s="89" t="s">
        <v>375</v>
      </c>
      <c r="E26" s="89" t="s">
        <v>356</v>
      </c>
      <c r="F26" s="89" t="s">
        <v>367</v>
      </c>
      <c r="G26" s="89" t="s">
        <v>428</v>
      </c>
      <c r="H26" s="89" t="s">
        <v>375</v>
      </c>
      <c r="I26" s="89" t="s">
        <v>464</v>
      </c>
      <c r="N26" s="89" t="s">
        <v>403</v>
      </c>
      <c r="O26" s="89" t="s">
        <v>501</v>
      </c>
      <c r="P26" s="89" t="s">
        <v>375</v>
      </c>
      <c r="Q26" s="89" t="s">
        <v>224</v>
      </c>
    </row>
    <row r="27" spans="4:17" ht="40.5">
      <c r="D27" s="89" t="s">
        <v>367</v>
      </c>
      <c r="E27" s="89" t="s">
        <v>347</v>
      </c>
      <c r="F27" s="89" t="s">
        <v>367</v>
      </c>
      <c r="G27" s="89" t="s">
        <v>429</v>
      </c>
      <c r="H27" s="89" t="s">
        <v>375</v>
      </c>
      <c r="I27" s="89" t="s">
        <v>465</v>
      </c>
      <c r="N27" s="89" t="s">
        <v>403</v>
      </c>
      <c r="O27" s="89" t="s">
        <v>502</v>
      </c>
      <c r="P27" s="89" t="s">
        <v>375</v>
      </c>
      <c r="Q27" s="89" t="s">
        <v>225</v>
      </c>
    </row>
    <row r="28" spans="4:17" ht="27">
      <c r="D28" s="89" t="s">
        <v>367</v>
      </c>
      <c r="E28" s="89" t="s">
        <v>348</v>
      </c>
      <c r="F28" s="89" t="s">
        <v>367</v>
      </c>
      <c r="G28" s="89" t="s">
        <v>430</v>
      </c>
      <c r="H28" s="89" t="s">
        <v>375</v>
      </c>
      <c r="I28" s="89" t="s">
        <v>521</v>
      </c>
      <c r="N28" s="89" t="s">
        <v>403</v>
      </c>
      <c r="O28" s="89" t="s">
        <v>503</v>
      </c>
      <c r="P28" s="89" t="s">
        <v>375</v>
      </c>
      <c r="Q28" s="89" t="s">
        <v>226</v>
      </c>
    </row>
    <row r="29" spans="4:17" ht="27">
      <c r="D29" s="89" t="s">
        <v>367</v>
      </c>
      <c r="E29" s="89" t="s">
        <v>349</v>
      </c>
      <c r="F29" s="89" t="s">
        <v>367</v>
      </c>
      <c r="G29" s="89" t="s">
        <v>431</v>
      </c>
      <c r="H29" s="89" t="s">
        <v>375</v>
      </c>
      <c r="I29" s="89" t="s">
        <v>466</v>
      </c>
      <c r="N29" s="89" t="s">
        <v>403</v>
      </c>
      <c r="O29" s="89" t="s">
        <v>504</v>
      </c>
      <c r="P29" s="89" t="s">
        <v>375</v>
      </c>
      <c r="Q29" s="89" t="s">
        <v>227</v>
      </c>
    </row>
    <row r="30" spans="4:17" ht="40.5">
      <c r="D30" s="89" t="s">
        <v>367</v>
      </c>
      <c r="E30" s="89" t="s">
        <v>350</v>
      </c>
      <c r="F30" s="89" t="s">
        <v>367</v>
      </c>
      <c r="G30" s="89" t="s">
        <v>432</v>
      </c>
      <c r="H30" s="89" t="s">
        <v>375</v>
      </c>
      <c r="I30" s="89" t="s">
        <v>467</v>
      </c>
      <c r="N30" s="89" t="s">
        <v>403</v>
      </c>
      <c r="O30" s="89" t="s">
        <v>505</v>
      </c>
      <c r="P30" s="89" t="s">
        <v>375</v>
      </c>
      <c r="Q30" s="89" t="s">
        <v>228</v>
      </c>
    </row>
    <row r="31" spans="4:17" ht="27">
      <c r="D31" s="89" t="s">
        <v>367</v>
      </c>
      <c r="E31" s="89" t="s">
        <v>351</v>
      </c>
      <c r="F31" s="89" t="s">
        <v>367</v>
      </c>
      <c r="G31" s="89" t="s">
        <v>433</v>
      </c>
      <c r="H31" s="89" t="s">
        <v>375</v>
      </c>
      <c r="I31" s="89" t="s">
        <v>468</v>
      </c>
      <c r="N31" s="89" t="s">
        <v>476</v>
      </c>
      <c r="O31" s="89" t="s">
        <v>506</v>
      </c>
      <c r="P31" s="89" t="s">
        <v>375</v>
      </c>
      <c r="Q31" s="89" t="s">
        <v>229</v>
      </c>
    </row>
    <row r="32" spans="4:17" ht="27">
      <c r="D32" s="89" t="s">
        <v>367</v>
      </c>
      <c r="E32" s="89" t="s">
        <v>352</v>
      </c>
      <c r="F32" s="89" t="s">
        <v>367</v>
      </c>
      <c r="G32" s="89" t="s">
        <v>434</v>
      </c>
      <c r="H32" s="89" t="s">
        <v>375</v>
      </c>
      <c r="I32" s="89" t="s">
        <v>469</v>
      </c>
      <c r="N32" s="89" t="s">
        <v>375</v>
      </c>
      <c r="O32" s="89" t="s">
        <v>507</v>
      </c>
      <c r="P32" s="89" t="s">
        <v>375</v>
      </c>
      <c r="Q32" s="89" t="s">
        <v>230</v>
      </c>
    </row>
    <row r="33" spans="4:17" ht="27">
      <c r="D33" s="89" t="s">
        <v>367</v>
      </c>
      <c r="E33" s="89" t="s">
        <v>353</v>
      </c>
      <c r="F33" s="89" t="s">
        <v>367</v>
      </c>
      <c r="G33" s="89" t="s">
        <v>435</v>
      </c>
      <c r="H33" s="89" t="s">
        <v>375</v>
      </c>
      <c r="I33" s="89" t="s">
        <v>470</v>
      </c>
      <c r="N33" s="89" t="s">
        <v>403</v>
      </c>
      <c r="O33" s="89" t="s">
        <v>508</v>
      </c>
      <c r="P33" s="89" t="s">
        <v>375</v>
      </c>
      <c r="Q33" s="89" t="s">
        <v>231</v>
      </c>
    </row>
    <row r="34" spans="4:17" ht="54">
      <c r="D34" s="89" t="s">
        <v>367</v>
      </c>
      <c r="E34" s="89" t="s">
        <v>354</v>
      </c>
      <c r="F34" s="89" t="s">
        <v>367</v>
      </c>
      <c r="G34" s="89" t="s">
        <v>436</v>
      </c>
      <c r="H34" s="89" t="s">
        <v>375</v>
      </c>
      <c r="I34" s="89" t="s">
        <v>522</v>
      </c>
      <c r="N34" s="89" t="s">
        <v>375</v>
      </c>
      <c r="O34" s="89" t="s">
        <v>509</v>
      </c>
      <c r="P34" s="89" t="s">
        <v>375</v>
      </c>
      <c r="Q34" s="89" t="s">
        <v>232</v>
      </c>
    </row>
    <row r="35" spans="4:17" ht="39">
      <c r="F35" s="89" t="s">
        <v>367</v>
      </c>
      <c r="G35" s="89" t="s">
        <v>437</v>
      </c>
      <c r="H35" s="89" t="s">
        <v>375</v>
      </c>
      <c r="I35" s="89" t="s">
        <v>471</v>
      </c>
      <c r="M35" s="163"/>
      <c r="N35" s="89" t="s">
        <v>403</v>
      </c>
      <c r="O35" s="89" t="s">
        <v>510</v>
      </c>
      <c r="P35" s="89" t="s">
        <v>365</v>
      </c>
      <c r="Q35" s="163" t="s">
        <v>146</v>
      </c>
    </row>
    <row r="36" spans="4:17" ht="27">
      <c r="F36" s="89" t="s">
        <v>367</v>
      </c>
      <c r="G36" s="89" t="s">
        <v>438</v>
      </c>
      <c r="H36" s="89" t="s">
        <v>375</v>
      </c>
      <c r="I36" s="89" t="s">
        <v>472</v>
      </c>
      <c r="N36" s="89" t="s">
        <v>403</v>
      </c>
      <c r="O36" s="89" t="s">
        <v>511</v>
      </c>
      <c r="P36" s="89" t="s">
        <v>375</v>
      </c>
      <c r="Q36" s="89" t="s">
        <v>233</v>
      </c>
    </row>
    <row r="37" spans="4:17" ht="27">
      <c r="F37" s="89" t="s">
        <v>367</v>
      </c>
      <c r="G37" s="89" t="s">
        <v>439</v>
      </c>
      <c r="H37" s="89" t="s">
        <v>375</v>
      </c>
      <c r="I37" s="89" t="s">
        <v>473</v>
      </c>
      <c r="N37" s="89" t="s">
        <v>403</v>
      </c>
      <c r="O37" s="89" t="s">
        <v>512</v>
      </c>
      <c r="P37" s="89" t="s">
        <v>375</v>
      </c>
      <c r="Q37" s="89" t="s">
        <v>234</v>
      </c>
    </row>
    <row r="38" spans="4:17" ht="28.5">
      <c r="H38" s="89" t="s">
        <v>375</v>
      </c>
      <c r="I38" s="89" t="s">
        <v>474</v>
      </c>
      <c r="N38" s="89" t="s">
        <v>365</v>
      </c>
      <c r="O38" s="163" t="s">
        <v>513</v>
      </c>
      <c r="P38" s="89" t="s">
        <v>375</v>
      </c>
      <c r="Q38" s="89" t="s">
        <v>235</v>
      </c>
    </row>
    <row r="39" spans="4:17" ht="28.5">
      <c r="H39" s="89" t="s">
        <v>365</v>
      </c>
      <c r="I39" s="163" t="s">
        <v>475</v>
      </c>
      <c r="J39" s="163"/>
      <c r="K39" s="163"/>
      <c r="N39" s="89" t="s">
        <v>476</v>
      </c>
      <c r="O39" s="89" t="s">
        <v>514</v>
      </c>
      <c r="P39" s="89" t="s">
        <v>375</v>
      </c>
      <c r="Q39" s="89" t="s">
        <v>236</v>
      </c>
    </row>
    <row r="40" spans="4:17" ht="27">
      <c r="H40" s="89" t="s">
        <v>476</v>
      </c>
      <c r="I40" s="89" t="s">
        <v>477</v>
      </c>
      <c r="N40" s="89" t="s">
        <v>476</v>
      </c>
      <c r="O40" s="89" t="s">
        <v>515</v>
      </c>
      <c r="P40" s="89" t="s">
        <v>375</v>
      </c>
      <c r="Q40" s="89" t="s">
        <v>237</v>
      </c>
    </row>
    <row r="41" spans="4:17" ht="27">
      <c r="N41" s="89" t="s">
        <v>402</v>
      </c>
      <c r="O41" s="89" t="s">
        <v>516</v>
      </c>
      <c r="P41" s="89" t="s">
        <v>375</v>
      </c>
      <c r="Q41" s="89" t="s">
        <v>238</v>
      </c>
    </row>
    <row r="42" spans="4:17" ht="27">
      <c r="N42" s="89" t="s">
        <v>403</v>
      </c>
      <c r="O42" s="89" t="s">
        <v>517</v>
      </c>
      <c r="P42" s="89" t="s">
        <v>375</v>
      </c>
      <c r="Q42" s="89" t="s">
        <v>239</v>
      </c>
    </row>
    <row r="43" spans="4:17" ht="19.5">
      <c r="I43" s="163"/>
      <c r="J43" s="163"/>
      <c r="K43" s="163"/>
      <c r="P43" s="89" t="s">
        <v>375</v>
      </c>
      <c r="Q43" s="89" t="s">
        <v>240</v>
      </c>
    </row>
    <row r="44" spans="4:17" ht="27">
      <c r="P44" s="89" t="s">
        <v>375</v>
      </c>
      <c r="Q44" s="89" t="s">
        <v>241</v>
      </c>
    </row>
    <row r="45" spans="4:17">
      <c r="F45" s="88"/>
      <c r="G45" s="88"/>
      <c r="P45" s="89" t="s">
        <v>375</v>
      </c>
      <c r="Q45" s="89" t="s">
        <v>242</v>
      </c>
    </row>
    <row r="46" spans="4:17">
      <c r="F46" s="88"/>
      <c r="G46" s="88"/>
      <c r="P46" s="89" t="s">
        <v>375</v>
      </c>
      <c r="Q46" s="89" t="s">
        <v>243</v>
      </c>
    </row>
    <row r="47" spans="4:17">
      <c r="P47" s="89" t="s">
        <v>375</v>
      </c>
      <c r="Q47" s="89" t="s">
        <v>244</v>
      </c>
    </row>
    <row r="48" spans="4:17" ht="40.5">
      <c r="P48" s="89" t="s">
        <v>375</v>
      </c>
      <c r="Q48" s="89" t="s">
        <v>245</v>
      </c>
    </row>
    <row r="49" spans="7:17" ht="27">
      <c r="P49" s="89" t="s">
        <v>375</v>
      </c>
      <c r="Q49" s="89" t="s">
        <v>246</v>
      </c>
    </row>
    <row r="50" spans="7:17">
      <c r="P50" s="89" t="s">
        <v>375</v>
      </c>
      <c r="Q50" s="89" t="s">
        <v>247</v>
      </c>
    </row>
    <row r="51" spans="7:17" ht="27">
      <c r="P51" s="89" t="s">
        <v>375</v>
      </c>
      <c r="Q51" s="89" t="s">
        <v>248</v>
      </c>
    </row>
    <row r="52" spans="7:17">
      <c r="P52" s="89" t="s">
        <v>375</v>
      </c>
      <c r="Q52" s="89" t="s">
        <v>249</v>
      </c>
    </row>
    <row r="53" spans="7:17">
      <c r="P53" s="89" t="s">
        <v>375</v>
      </c>
      <c r="Q53" s="89" t="s">
        <v>250</v>
      </c>
    </row>
    <row r="54" spans="7:17">
      <c r="P54" s="89" t="s">
        <v>375</v>
      </c>
      <c r="Q54" s="89" t="s">
        <v>251</v>
      </c>
    </row>
    <row r="55" spans="7:17">
      <c r="P55" s="89" t="s">
        <v>375</v>
      </c>
      <c r="Q55" s="89" t="s">
        <v>252</v>
      </c>
    </row>
    <row r="56" spans="7:17">
      <c r="P56" s="89" t="s">
        <v>375</v>
      </c>
      <c r="Q56" s="89" t="s">
        <v>253</v>
      </c>
    </row>
    <row r="57" spans="7:17" ht="19.5">
      <c r="G57" s="163"/>
      <c r="M57" s="163"/>
      <c r="O57" s="163"/>
      <c r="P57" s="89" t="s">
        <v>365</v>
      </c>
      <c r="Q57" s="163" t="s">
        <v>148</v>
      </c>
    </row>
    <row r="58" spans="7:17" ht="78">
      <c r="G58" s="163"/>
      <c r="M58" s="163"/>
      <c r="O58" s="163"/>
      <c r="P58" s="89" t="s">
        <v>365</v>
      </c>
      <c r="Q58" s="163" t="s">
        <v>147</v>
      </c>
    </row>
    <row r="59" spans="7:17">
      <c r="P59" s="89" t="s">
        <v>375</v>
      </c>
      <c r="Q59" s="89" t="s">
        <v>254</v>
      </c>
    </row>
    <row r="60" spans="7:17" ht="27">
      <c r="P60" s="89" t="s">
        <v>375</v>
      </c>
      <c r="Q60" s="89" t="s">
        <v>255</v>
      </c>
    </row>
    <row r="61" spans="7:17">
      <c r="P61" s="89" t="s">
        <v>375</v>
      </c>
      <c r="Q61" s="89" t="s">
        <v>256</v>
      </c>
    </row>
    <row r="62" spans="7:17">
      <c r="P62" s="89" t="s">
        <v>375</v>
      </c>
      <c r="Q62" s="89" t="s">
        <v>257</v>
      </c>
    </row>
    <row r="63" spans="7:17">
      <c r="P63" s="89" t="s">
        <v>375</v>
      </c>
      <c r="Q63" s="89" t="s">
        <v>258</v>
      </c>
    </row>
    <row r="64" spans="7:17">
      <c r="P64" s="89" t="s">
        <v>375</v>
      </c>
      <c r="Q64" s="89" t="s">
        <v>259</v>
      </c>
    </row>
    <row r="65" spans="7:17">
      <c r="P65" s="89" t="s">
        <v>375</v>
      </c>
      <c r="Q65" s="89" t="s">
        <v>260</v>
      </c>
    </row>
    <row r="66" spans="7:17" ht="27">
      <c r="P66" s="89" t="s">
        <v>375</v>
      </c>
      <c r="Q66" s="89" t="s">
        <v>261</v>
      </c>
    </row>
    <row r="67" spans="7:17">
      <c r="P67" s="89" t="s">
        <v>375</v>
      </c>
      <c r="Q67" s="89" t="s">
        <v>262</v>
      </c>
    </row>
    <row r="68" spans="7:17">
      <c r="P68" s="89" t="s">
        <v>375</v>
      </c>
      <c r="Q68" s="89" t="s">
        <v>263</v>
      </c>
    </row>
    <row r="69" spans="7:17">
      <c r="P69" s="89" t="s">
        <v>375</v>
      </c>
      <c r="Q69" s="89" t="s">
        <v>264</v>
      </c>
    </row>
    <row r="70" spans="7:17">
      <c r="P70" s="89" t="s">
        <v>375</v>
      </c>
      <c r="Q70" s="89" t="s">
        <v>265</v>
      </c>
    </row>
    <row r="71" spans="7:17">
      <c r="P71" s="89" t="s">
        <v>375</v>
      </c>
      <c r="Q71" s="89" t="s">
        <v>266</v>
      </c>
    </row>
    <row r="72" spans="7:17">
      <c r="P72" s="89" t="s">
        <v>375</v>
      </c>
      <c r="Q72" s="89" t="s">
        <v>267</v>
      </c>
    </row>
    <row r="73" spans="7:17">
      <c r="P73" s="89" t="s">
        <v>375</v>
      </c>
      <c r="Q73" s="89" t="s">
        <v>268</v>
      </c>
    </row>
    <row r="74" spans="7:17">
      <c r="P74" s="89" t="s">
        <v>375</v>
      </c>
      <c r="Q74" s="89" t="s">
        <v>269</v>
      </c>
    </row>
    <row r="75" spans="7:17">
      <c r="P75" s="89" t="s">
        <v>375</v>
      </c>
      <c r="Q75" s="89" t="s">
        <v>270</v>
      </c>
    </row>
    <row r="76" spans="7:17" ht="27">
      <c r="P76" s="89" t="s">
        <v>375</v>
      </c>
      <c r="Q76" s="89" t="s">
        <v>271</v>
      </c>
    </row>
    <row r="77" spans="7:17" ht="19.5">
      <c r="G77" s="163"/>
      <c r="M77" s="163"/>
      <c r="O77" s="163"/>
      <c r="P77" s="89" t="s">
        <v>365</v>
      </c>
      <c r="Q77" s="163" t="s">
        <v>152</v>
      </c>
    </row>
    <row r="78" spans="7:17" ht="39">
      <c r="G78" s="163"/>
      <c r="M78" s="163"/>
      <c r="O78" s="163"/>
      <c r="P78" s="89" t="s">
        <v>365</v>
      </c>
      <c r="Q78" s="163" t="s">
        <v>149</v>
      </c>
    </row>
    <row r="79" spans="7:17" ht="27">
      <c r="P79" s="89" t="s">
        <v>375</v>
      </c>
      <c r="Q79" s="89" t="s">
        <v>272</v>
      </c>
    </row>
    <row r="80" spans="7:17" ht="27">
      <c r="P80" s="89" t="s">
        <v>375</v>
      </c>
      <c r="Q80" s="89" t="s">
        <v>273</v>
      </c>
    </row>
    <row r="81" spans="16:17" ht="27">
      <c r="P81" s="89" t="s">
        <v>375</v>
      </c>
      <c r="Q81" s="89" t="s">
        <v>274</v>
      </c>
    </row>
    <row r="82" spans="16:17" ht="27">
      <c r="P82" s="89" t="s">
        <v>375</v>
      </c>
      <c r="Q82" s="89" t="s">
        <v>275</v>
      </c>
    </row>
    <row r="83" spans="16:17" ht="40.5">
      <c r="P83" s="89" t="s">
        <v>375</v>
      </c>
      <c r="Q83" s="89" t="s">
        <v>276</v>
      </c>
    </row>
    <row r="84" spans="16:17" ht="27">
      <c r="P84" s="89" t="s">
        <v>375</v>
      </c>
      <c r="Q84" s="89" t="s">
        <v>277</v>
      </c>
    </row>
    <row r="85" spans="16:17">
      <c r="P85" s="89" t="s">
        <v>375</v>
      </c>
      <c r="Q85" s="89" t="s">
        <v>150</v>
      </c>
    </row>
    <row r="86" spans="16:17" ht="27">
      <c r="P86" s="89" t="s">
        <v>375</v>
      </c>
      <c r="Q86" s="89" t="s">
        <v>278</v>
      </c>
    </row>
    <row r="87" spans="16:17" ht="40.5">
      <c r="P87" s="89" t="s">
        <v>375</v>
      </c>
      <c r="Q87" s="89" t="s">
        <v>279</v>
      </c>
    </row>
    <row r="88" spans="16:17" ht="40.5">
      <c r="P88" s="89" t="s">
        <v>375</v>
      </c>
      <c r="Q88" s="89" t="s">
        <v>280</v>
      </c>
    </row>
    <row r="89" spans="16:17">
      <c r="P89" s="89" t="s">
        <v>375</v>
      </c>
      <c r="Q89" s="89" t="s">
        <v>281</v>
      </c>
    </row>
    <row r="90" spans="16:17">
      <c r="P90" s="89" t="s">
        <v>375</v>
      </c>
      <c r="Q90" s="89" t="s">
        <v>282</v>
      </c>
    </row>
    <row r="91" spans="16:17" ht="27">
      <c r="P91" s="89" t="s">
        <v>375</v>
      </c>
      <c r="Q91" s="89" t="s">
        <v>283</v>
      </c>
    </row>
    <row r="92" spans="16:17">
      <c r="P92" s="89" t="s">
        <v>375</v>
      </c>
      <c r="Q92" s="89" t="s">
        <v>284</v>
      </c>
    </row>
    <row r="93" spans="16:17">
      <c r="P93" s="89" t="s">
        <v>375</v>
      </c>
      <c r="Q93" s="89" t="s">
        <v>285</v>
      </c>
    </row>
    <row r="94" spans="16:17">
      <c r="P94" s="89" t="s">
        <v>375</v>
      </c>
      <c r="Q94" s="89" t="s">
        <v>286</v>
      </c>
    </row>
    <row r="95" spans="16:17">
      <c r="P95" s="89" t="s">
        <v>375</v>
      </c>
      <c r="Q95" s="89" t="s">
        <v>287</v>
      </c>
    </row>
    <row r="96" spans="16:17" ht="40.5">
      <c r="P96" s="89" t="s">
        <v>375</v>
      </c>
      <c r="Q96" s="89" t="s">
        <v>288</v>
      </c>
    </row>
    <row r="97" spans="7:17" ht="19.5">
      <c r="G97" s="163"/>
      <c r="M97" s="163"/>
      <c r="O97" s="163"/>
      <c r="P97" s="89" t="s">
        <v>365</v>
      </c>
      <c r="Q97" s="163" t="s">
        <v>153</v>
      </c>
    </row>
    <row r="98" spans="7:17" ht="19.5">
      <c r="G98" s="163"/>
      <c r="M98" s="163"/>
      <c r="O98" s="163"/>
      <c r="P98" s="89" t="s">
        <v>365</v>
      </c>
      <c r="Q98" s="163" t="s">
        <v>404</v>
      </c>
    </row>
    <row r="99" spans="7:17">
      <c r="P99" s="89" t="s">
        <v>375</v>
      </c>
      <c r="Q99" s="89" t="s">
        <v>289</v>
      </c>
    </row>
    <row r="100" spans="7:17" ht="27">
      <c r="P100" s="89" t="s">
        <v>375</v>
      </c>
      <c r="Q100" s="89" t="s">
        <v>290</v>
      </c>
    </row>
    <row r="101" spans="7:17" ht="27">
      <c r="P101" s="89" t="s">
        <v>375</v>
      </c>
      <c r="Q101" s="89" t="s">
        <v>291</v>
      </c>
    </row>
    <row r="102" spans="7:17" ht="27">
      <c r="P102" s="89" t="s">
        <v>375</v>
      </c>
      <c r="Q102" s="89" t="s">
        <v>292</v>
      </c>
    </row>
    <row r="103" spans="7:17" ht="27">
      <c r="P103" s="89" t="s">
        <v>375</v>
      </c>
      <c r="Q103" s="89" t="s">
        <v>293</v>
      </c>
    </row>
    <row r="104" spans="7:17">
      <c r="P104" s="89" t="s">
        <v>375</v>
      </c>
      <c r="Q104" s="89" t="s">
        <v>294</v>
      </c>
    </row>
    <row r="105" spans="7:17" ht="27">
      <c r="P105" s="89" t="s">
        <v>375</v>
      </c>
      <c r="Q105" s="89" t="s">
        <v>295</v>
      </c>
    </row>
    <row r="106" spans="7:17">
      <c r="P106" s="89" t="s">
        <v>375</v>
      </c>
      <c r="Q106" s="89" t="s">
        <v>296</v>
      </c>
    </row>
    <row r="107" spans="7:17" ht="27">
      <c r="P107" s="89" t="s">
        <v>375</v>
      </c>
      <c r="Q107" s="89" t="s">
        <v>297</v>
      </c>
    </row>
    <row r="108" spans="7:17">
      <c r="P108" s="89" t="s">
        <v>375</v>
      </c>
      <c r="Q108" s="89" t="s">
        <v>298</v>
      </c>
    </row>
    <row r="109" spans="7:17" ht="27">
      <c r="P109" s="89" t="s">
        <v>375</v>
      </c>
      <c r="Q109" s="89" t="s">
        <v>299</v>
      </c>
    </row>
    <row r="110" spans="7:17" ht="27">
      <c r="P110" s="89" t="s">
        <v>375</v>
      </c>
      <c r="Q110" s="89" t="s">
        <v>300</v>
      </c>
    </row>
    <row r="111" spans="7:17">
      <c r="P111" s="89" t="s">
        <v>375</v>
      </c>
      <c r="Q111" s="89" t="s">
        <v>301</v>
      </c>
    </row>
    <row r="112" spans="7:17">
      <c r="P112" s="89" t="s">
        <v>375</v>
      </c>
      <c r="Q112" s="89" t="s">
        <v>302</v>
      </c>
    </row>
    <row r="113" spans="7:17">
      <c r="P113" s="89" t="s">
        <v>375</v>
      </c>
      <c r="Q113" s="89" t="s">
        <v>303</v>
      </c>
    </row>
    <row r="114" spans="7:17">
      <c r="P114" s="89" t="s">
        <v>375</v>
      </c>
      <c r="Q114" s="89" t="s">
        <v>304</v>
      </c>
    </row>
    <row r="115" spans="7:17" ht="19.5">
      <c r="G115" s="163"/>
      <c r="M115" s="163"/>
      <c r="O115" s="163"/>
      <c r="P115" s="89" t="s">
        <v>365</v>
      </c>
      <c r="Q115" s="163" t="s">
        <v>154</v>
      </c>
    </row>
    <row r="116" spans="7:17" ht="19.5">
      <c r="G116" s="163"/>
      <c r="M116" s="163"/>
      <c r="O116" s="163"/>
      <c r="P116" s="89" t="s">
        <v>365</v>
      </c>
      <c r="Q116" s="163" t="s">
        <v>151</v>
      </c>
    </row>
    <row r="117" spans="7:17" ht="19.5">
      <c r="G117" s="163"/>
      <c r="M117" s="163"/>
      <c r="O117" s="163"/>
      <c r="P117" s="89" t="s">
        <v>365</v>
      </c>
      <c r="Q117" s="163" t="s">
        <v>405</v>
      </c>
    </row>
    <row r="118" spans="7:17">
      <c r="P118" s="89" t="s">
        <v>375</v>
      </c>
      <c r="Q118" s="89" t="s">
        <v>305</v>
      </c>
    </row>
    <row r="119" spans="7:17">
      <c r="P119" s="89" t="s">
        <v>375</v>
      </c>
      <c r="Q119" s="89" t="s">
        <v>213</v>
      </c>
    </row>
    <row r="120" spans="7:17">
      <c r="P120" s="89" t="s">
        <v>375</v>
      </c>
      <c r="Q120" s="89" t="s">
        <v>306</v>
      </c>
    </row>
    <row r="121" spans="7:17">
      <c r="P121" s="89" t="s">
        <v>375</v>
      </c>
      <c r="Q121" s="89" t="s">
        <v>307</v>
      </c>
    </row>
    <row r="122" spans="7:17">
      <c r="P122" s="89" t="s">
        <v>375</v>
      </c>
      <c r="Q122" s="89" t="s">
        <v>308</v>
      </c>
    </row>
    <row r="123" spans="7:17">
      <c r="P123" s="89" t="s">
        <v>375</v>
      </c>
      <c r="Q123" s="89" t="s">
        <v>309</v>
      </c>
    </row>
    <row r="124" spans="7:17">
      <c r="P124" s="89" t="s">
        <v>375</v>
      </c>
      <c r="Q124" s="89" t="s">
        <v>310</v>
      </c>
    </row>
    <row r="125" spans="7:17">
      <c r="P125" s="89" t="s">
        <v>375</v>
      </c>
      <c r="Q125" s="89" t="s">
        <v>311</v>
      </c>
    </row>
    <row r="126" spans="7:17">
      <c r="P126" s="89" t="s">
        <v>375</v>
      </c>
      <c r="Q126" s="89" t="s">
        <v>312</v>
      </c>
    </row>
    <row r="127" spans="7:17">
      <c r="P127" s="89" t="s">
        <v>375</v>
      </c>
      <c r="Q127" s="89" t="s">
        <v>313</v>
      </c>
    </row>
    <row r="128" spans="7:17">
      <c r="P128" s="89" t="s">
        <v>375</v>
      </c>
      <c r="Q128" s="89" t="s">
        <v>314</v>
      </c>
    </row>
    <row r="129" spans="16:17">
      <c r="P129" s="89" t="s">
        <v>375</v>
      </c>
      <c r="Q129" s="89" t="s">
        <v>315</v>
      </c>
    </row>
    <row r="130" spans="16:17">
      <c r="P130" s="89" t="s">
        <v>375</v>
      </c>
      <c r="Q130" s="89" t="s">
        <v>316</v>
      </c>
    </row>
  </sheetData>
  <mergeCells count="33">
    <mergeCell ref="R1:R3"/>
    <mergeCell ref="B2:C2"/>
    <mergeCell ref="D2:E2"/>
    <mergeCell ref="P2:Q2"/>
    <mergeCell ref="B3:C3"/>
    <mergeCell ref="H3:I3"/>
    <mergeCell ref="L1:M1"/>
    <mergeCell ref="L2:M2"/>
    <mergeCell ref="L3:M3"/>
    <mergeCell ref="P3:Q3"/>
    <mergeCell ref="J1:K1"/>
    <mergeCell ref="L4:M4"/>
    <mergeCell ref="F1:G1"/>
    <mergeCell ref="B1:C1"/>
    <mergeCell ref="D1:E1"/>
    <mergeCell ref="D3:E3"/>
    <mergeCell ref="J2:K2"/>
    <mergeCell ref="J3:K3"/>
    <mergeCell ref="J4:K4"/>
    <mergeCell ref="H4:I4"/>
    <mergeCell ref="B4:C4"/>
    <mergeCell ref="D4:E4"/>
    <mergeCell ref="F2:G2"/>
    <mergeCell ref="F3:G3"/>
    <mergeCell ref="F4:G4"/>
    <mergeCell ref="H1:I1"/>
    <mergeCell ref="H2:I2"/>
    <mergeCell ref="P4:Q4"/>
    <mergeCell ref="N1:O1"/>
    <mergeCell ref="N2:O2"/>
    <mergeCell ref="N3:O3"/>
    <mergeCell ref="N4:O4"/>
    <mergeCell ref="P1:Q1"/>
  </mergeCells>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xl/worksheets/sheet6.xml><?xml version="1.0" encoding="utf-8"?>
<worksheet xmlns="http://schemas.openxmlformats.org/spreadsheetml/2006/main" xmlns:r="http://schemas.openxmlformats.org/officeDocument/2006/relationships">
  <sheetPr codeName="Sheet5">
    <pageSetUpPr fitToPage="1"/>
  </sheetPr>
  <dimension ref="A1:K52"/>
  <sheetViews>
    <sheetView workbookViewId="0">
      <selection activeCell="B2" sqref="B2:C2"/>
    </sheetView>
  </sheetViews>
  <sheetFormatPr defaultRowHeight="13.5" outlineLevelRow="2"/>
  <cols>
    <col min="1" max="1" width="18.625" style="32" customWidth="1"/>
    <col min="2" max="2" width="5.375" style="32" customWidth="1"/>
    <col min="3" max="3" width="28.125" style="32" customWidth="1"/>
    <col min="4" max="4" width="5" style="115" customWidth="1"/>
    <col min="5" max="5" width="14.125" style="116" customWidth="1"/>
    <col min="6" max="6" width="9.875" style="115" customWidth="1"/>
    <col min="7" max="7" width="10.125" style="115" customWidth="1"/>
    <col min="8" max="8" width="10" style="115" customWidth="1"/>
    <col min="9" max="10" width="9.875" style="115" customWidth="1"/>
    <col min="11" max="11" width="5" style="115" customWidth="1"/>
    <col min="12" max="16384" width="9" style="32"/>
  </cols>
  <sheetData>
    <row r="1" spans="1:11" ht="21">
      <c r="A1" s="114" t="s">
        <v>160</v>
      </c>
    </row>
    <row r="2" spans="1:11">
      <c r="A2" s="32" t="str">
        <f>'Calling Notice'!A9</f>
        <v>Item Size (Added)</v>
      </c>
      <c r="B2" s="217" t="str">
        <f>'Calling Notice'!B9</f>
        <v>&lt;Item Size&gt;</v>
      </c>
      <c r="C2" s="217"/>
    </row>
    <row r="3" spans="1:11" ht="24">
      <c r="A3" s="32" t="str">
        <f>'Calling Notice'!A10</f>
        <v>Item Size (Modified)</v>
      </c>
      <c r="B3" s="217" t="str">
        <f>'Calling Notice'!B10</f>
        <v>&lt;Item Size&gt;</v>
      </c>
      <c r="C3" s="217"/>
      <c r="E3" s="117" t="str">
        <f>IF(CaptureEffortData,"","THERE IS NO NEED TO FILL IN THIS SHEET")</f>
        <v/>
      </c>
    </row>
    <row r="4" spans="1:11">
      <c r="A4" s="32" t="str">
        <f>'Calling Notice'!A11</f>
        <v>Item Size (Deleted)</v>
      </c>
      <c r="B4" s="217" t="str">
        <f>'Calling Notice'!B11</f>
        <v>&lt;Item Size&gt;</v>
      </c>
      <c r="C4" s="217"/>
    </row>
    <row r="5" spans="1:11">
      <c r="A5" s="32" t="str">
        <f>'Calling Notice'!A12</f>
        <v>Item Size Units</v>
      </c>
      <c r="B5" s="217" t="str">
        <f>'Calling Notice'!B12</f>
        <v>&lt;Item Size Units&gt;</v>
      </c>
      <c r="C5" s="217"/>
    </row>
    <row r="6" spans="1:11">
      <c r="A6" s="118" t="s">
        <v>161</v>
      </c>
      <c r="B6" s="217" t="str">
        <f>IF(SUM(B2:B4)=0,"&lt;Item Size&gt;",SUM(B2:B4))</f>
        <v>&lt;Item Size&gt;</v>
      </c>
      <c r="C6" s="217"/>
    </row>
    <row r="8" spans="1:11" ht="21">
      <c r="A8" s="114" t="s">
        <v>104</v>
      </c>
      <c r="B8" s="114"/>
    </row>
    <row r="9" spans="1:11">
      <c r="A9" s="119"/>
      <c r="B9" s="120"/>
    </row>
    <row r="10" spans="1:11" ht="24" customHeight="1">
      <c r="A10" s="218" t="s">
        <v>103</v>
      </c>
      <c r="B10" s="219"/>
      <c r="C10" s="37">
        <f>SUM(C14:C23)</f>
        <v>0</v>
      </c>
      <c r="D10" s="49"/>
      <c r="E10" s="121"/>
    </row>
    <row r="11" spans="1:11">
      <c r="A11" s="220" t="s">
        <v>102</v>
      </c>
      <c r="B11" s="221"/>
      <c r="C11" s="48" t="str">
        <f>CONCATENATE(INT(C10/60)," hour(s) and ", MOD(C10,60), " minutes")</f>
        <v>0 hour(s) and 0 minutes</v>
      </c>
      <c r="D11" s="47"/>
      <c r="E11" s="121"/>
    </row>
    <row r="12" spans="1:11">
      <c r="D12" s="122"/>
      <c r="G12" s="123" t="s">
        <v>87</v>
      </c>
      <c r="H12" s="123" t="s">
        <v>86</v>
      </c>
      <c r="I12" s="123" t="s">
        <v>132</v>
      </c>
      <c r="J12" s="123" t="s">
        <v>85</v>
      </c>
      <c r="K12" s="123"/>
    </row>
    <row r="13" spans="1:11" ht="45.75" customHeight="1" outlineLevel="1">
      <c r="A13" s="124" t="s">
        <v>101</v>
      </c>
      <c r="B13" s="125" t="s">
        <v>100</v>
      </c>
      <c r="C13" s="126" t="s">
        <v>99</v>
      </c>
      <c r="D13" s="127" t="s">
        <v>93</v>
      </c>
      <c r="E13" s="128" t="s">
        <v>98</v>
      </c>
      <c r="F13" s="129" t="s">
        <v>97</v>
      </c>
      <c r="G13" s="129" t="s">
        <v>96</v>
      </c>
      <c r="H13" s="129" t="s">
        <v>95</v>
      </c>
      <c r="I13" s="129" t="s">
        <v>131</v>
      </c>
      <c r="J13" s="129" t="s">
        <v>94</v>
      </c>
      <c r="K13" s="130" t="s">
        <v>93</v>
      </c>
    </row>
    <row r="14" spans="1:11" outlineLevel="1">
      <c r="A14" s="145"/>
      <c r="B14" s="145"/>
      <c r="C14" s="145"/>
      <c r="D14" s="46" t="str">
        <f t="shared" ref="D14:D23" si="0">IF(OR(COUNTA(A14:C14)=0,COUNTA(A14:C14)=COUNTA(A$13:C$13)),CheckOK,CheckErr)</f>
        <v/>
      </c>
      <c r="E14" s="45" t="str">
        <f>IF(NOT(ISBLANK(C14)),IF(ISNUMBER(ItemSize),ItemSize/C14,"Enter Item Size"),"")</f>
        <v/>
      </c>
      <c r="F14" s="43" t="str">
        <f t="shared" ref="F14:F23" si="1">IF(ISBLANK(B14),"",COUNTIF(DevCommentInitials,B14))</f>
        <v/>
      </c>
      <c r="G14" s="43" t="str">
        <f t="shared" ref="G14:J23" si="2">IF(ISBLANK($B14),"",COUNTIFS(DevCommentInitials,$B14,DevCommentStatuses,G$12))</f>
        <v/>
      </c>
      <c r="H14" s="43" t="str">
        <f t="shared" si="2"/>
        <v/>
      </c>
      <c r="I14" s="43" t="str">
        <f t="shared" si="2"/>
        <v/>
      </c>
      <c r="J14" s="43" t="str">
        <f t="shared" si="2"/>
        <v/>
      </c>
      <c r="K14" s="43" t="str">
        <f t="shared" ref="K14:K23" si="3">IF(ISBLANK(B14),"",IF(F14=G14+H14+I14+J14,CheckOK,CheckErr))</f>
        <v/>
      </c>
    </row>
    <row r="15" spans="1:11" outlineLevel="1">
      <c r="A15" s="145"/>
      <c r="B15" s="145"/>
      <c r="C15" s="145"/>
      <c r="D15" s="46" t="str">
        <f t="shared" si="0"/>
        <v/>
      </c>
      <c r="E15" s="45" t="str">
        <f t="shared" ref="E15:E23" si="4">IF(NOT(ISBLANK(C15)),IF(ISNUMBER(ItemSize),ItemSize/C15,"Enter Item Size"),"")</f>
        <v/>
      </c>
      <c r="F15" s="43" t="str">
        <f t="shared" si="1"/>
        <v/>
      </c>
      <c r="G15" s="43" t="str">
        <f t="shared" si="2"/>
        <v/>
      </c>
      <c r="H15" s="43" t="str">
        <f t="shared" si="2"/>
        <v/>
      </c>
      <c r="I15" s="43" t="str">
        <f t="shared" si="2"/>
        <v/>
      </c>
      <c r="J15" s="43" t="str">
        <f t="shared" si="2"/>
        <v/>
      </c>
      <c r="K15" s="43" t="str">
        <f t="shared" si="3"/>
        <v/>
      </c>
    </row>
    <row r="16" spans="1:11" outlineLevel="1">
      <c r="A16" s="145"/>
      <c r="B16" s="145"/>
      <c r="C16" s="145"/>
      <c r="D16" s="46" t="str">
        <f t="shared" si="0"/>
        <v/>
      </c>
      <c r="E16" s="45" t="str">
        <f t="shared" si="4"/>
        <v/>
      </c>
      <c r="F16" s="43" t="str">
        <f t="shared" si="1"/>
        <v/>
      </c>
      <c r="G16" s="43" t="str">
        <f t="shared" si="2"/>
        <v/>
      </c>
      <c r="H16" s="43" t="str">
        <f t="shared" si="2"/>
        <v/>
      </c>
      <c r="I16" s="43" t="str">
        <f t="shared" si="2"/>
        <v/>
      </c>
      <c r="J16" s="43" t="str">
        <f t="shared" si="2"/>
        <v/>
      </c>
      <c r="K16" s="43" t="str">
        <f t="shared" si="3"/>
        <v/>
      </c>
    </row>
    <row r="17" spans="1:11" outlineLevel="1">
      <c r="A17" s="145"/>
      <c r="B17" s="145"/>
      <c r="C17" s="145"/>
      <c r="D17" s="46" t="str">
        <f t="shared" si="0"/>
        <v/>
      </c>
      <c r="E17" s="45" t="str">
        <f t="shared" si="4"/>
        <v/>
      </c>
      <c r="F17" s="43" t="str">
        <f t="shared" si="1"/>
        <v/>
      </c>
      <c r="G17" s="43" t="str">
        <f t="shared" si="2"/>
        <v/>
      </c>
      <c r="H17" s="43" t="str">
        <f t="shared" si="2"/>
        <v/>
      </c>
      <c r="I17" s="43" t="str">
        <f t="shared" si="2"/>
        <v/>
      </c>
      <c r="J17" s="43" t="str">
        <f t="shared" si="2"/>
        <v/>
      </c>
      <c r="K17" s="43" t="str">
        <f t="shared" si="3"/>
        <v/>
      </c>
    </row>
    <row r="18" spans="1:11" outlineLevel="1">
      <c r="A18" s="145"/>
      <c r="B18" s="145"/>
      <c r="C18" s="145"/>
      <c r="D18" s="46" t="str">
        <f t="shared" si="0"/>
        <v/>
      </c>
      <c r="E18" s="45" t="str">
        <f t="shared" si="4"/>
        <v/>
      </c>
      <c r="F18" s="43" t="str">
        <f t="shared" si="1"/>
        <v/>
      </c>
      <c r="G18" s="43" t="str">
        <f t="shared" si="2"/>
        <v/>
      </c>
      <c r="H18" s="43" t="str">
        <f t="shared" si="2"/>
        <v/>
      </c>
      <c r="I18" s="43" t="str">
        <f t="shared" si="2"/>
        <v/>
      </c>
      <c r="J18" s="43" t="str">
        <f t="shared" si="2"/>
        <v/>
      </c>
      <c r="K18" s="43" t="str">
        <f t="shared" si="3"/>
        <v/>
      </c>
    </row>
    <row r="19" spans="1:11" outlineLevel="1">
      <c r="A19" s="145"/>
      <c r="B19" s="145"/>
      <c r="C19" s="145"/>
      <c r="D19" s="46" t="str">
        <f t="shared" si="0"/>
        <v/>
      </c>
      <c r="E19" s="45" t="str">
        <f t="shared" si="4"/>
        <v/>
      </c>
      <c r="F19" s="43" t="str">
        <f t="shared" si="1"/>
        <v/>
      </c>
      <c r="G19" s="43" t="str">
        <f t="shared" si="2"/>
        <v/>
      </c>
      <c r="H19" s="43" t="str">
        <f t="shared" si="2"/>
        <v/>
      </c>
      <c r="I19" s="43" t="str">
        <f t="shared" si="2"/>
        <v/>
      </c>
      <c r="J19" s="43" t="str">
        <f t="shared" si="2"/>
        <v/>
      </c>
      <c r="K19" s="43" t="str">
        <f t="shared" si="3"/>
        <v/>
      </c>
    </row>
    <row r="20" spans="1:11" outlineLevel="1">
      <c r="A20" s="145"/>
      <c r="B20" s="145"/>
      <c r="C20" s="145"/>
      <c r="D20" s="46" t="str">
        <f t="shared" si="0"/>
        <v/>
      </c>
      <c r="E20" s="45" t="str">
        <f t="shared" si="4"/>
        <v/>
      </c>
      <c r="F20" s="43" t="str">
        <f t="shared" si="1"/>
        <v/>
      </c>
      <c r="G20" s="43" t="str">
        <f t="shared" si="2"/>
        <v/>
      </c>
      <c r="H20" s="43" t="str">
        <f t="shared" si="2"/>
        <v/>
      </c>
      <c r="I20" s="43" t="str">
        <f t="shared" si="2"/>
        <v/>
      </c>
      <c r="J20" s="43" t="str">
        <f t="shared" si="2"/>
        <v/>
      </c>
      <c r="K20" s="43" t="str">
        <f t="shared" si="3"/>
        <v/>
      </c>
    </row>
    <row r="21" spans="1:11" outlineLevel="1">
      <c r="A21" s="145"/>
      <c r="B21" s="145"/>
      <c r="C21" s="145"/>
      <c r="D21" s="46" t="str">
        <f t="shared" si="0"/>
        <v/>
      </c>
      <c r="E21" s="45" t="str">
        <f t="shared" si="4"/>
        <v/>
      </c>
      <c r="F21" s="43" t="str">
        <f t="shared" si="1"/>
        <v/>
      </c>
      <c r="G21" s="43" t="str">
        <f t="shared" si="2"/>
        <v/>
      </c>
      <c r="H21" s="43" t="str">
        <f t="shared" si="2"/>
        <v/>
      </c>
      <c r="I21" s="43" t="str">
        <f t="shared" si="2"/>
        <v/>
      </c>
      <c r="J21" s="43" t="str">
        <f t="shared" si="2"/>
        <v/>
      </c>
      <c r="K21" s="43" t="str">
        <f t="shared" si="3"/>
        <v/>
      </c>
    </row>
    <row r="22" spans="1:11" outlineLevel="1">
      <c r="A22" s="145"/>
      <c r="B22" s="145"/>
      <c r="C22" s="145"/>
      <c r="D22" s="46" t="str">
        <f t="shared" si="0"/>
        <v/>
      </c>
      <c r="E22" s="45" t="str">
        <f t="shared" si="4"/>
        <v/>
      </c>
      <c r="F22" s="43" t="str">
        <f t="shared" si="1"/>
        <v/>
      </c>
      <c r="G22" s="43" t="str">
        <f t="shared" si="2"/>
        <v/>
      </c>
      <c r="H22" s="43" t="str">
        <f t="shared" si="2"/>
        <v/>
      </c>
      <c r="I22" s="43" t="str">
        <f t="shared" si="2"/>
        <v/>
      </c>
      <c r="J22" s="43" t="str">
        <f t="shared" si="2"/>
        <v/>
      </c>
      <c r="K22" s="43" t="str">
        <f t="shared" si="3"/>
        <v/>
      </c>
    </row>
    <row r="23" spans="1:11" outlineLevel="1">
      <c r="A23" s="145"/>
      <c r="B23" s="145"/>
      <c r="C23" s="145"/>
      <c r="D23" s="46" t="str">
        <f t="shared" si="0"/>
        <v/>
      </c>
      <c r="E23" s="45" t="str">
        <f t="shared" si="4"/>
        <v/>
      </c>
      <c r="F23" s="43" t="str">
        <f t="shared" si="1"/>
        <v/>
      </c>
      <c r="G23" s="43" t="str">
        <f t="shared" si="2"/>
        <v/>
      </c>
      <c r="H23" s="43" t="str">
        <f t="shared" si="2"/>
        <v/>
      </c>
      <c r="I23" s="43" t="str">
        <f t="shared" si="2"/>
        <v/>
      </c>
      <c r="J23" s="43" t="str">
        <f t="shared" si="2"/>
        <v/>
      </c>
      <c r="K23" s="43" t="str">
        <f t="shared" si="3"/>
        <v/>
      </c>
    </row>
    <row r="24" spans="1:11" outlineLevel="1">
      <c r="A24" s="223" t="s">
        <v>92</v>
      </c>
      <c r="B24" s="223"/>
      <c r="C24" s="132">
        <f>TotalTimeSpentReviewing</f>
        <v>0</v>
      </c>
      <c r="D24" s="133"/>
      <c r="E24" s="44" t="str">
        <f>IF(NOT(ISNUMBER(ItemSize)),"Enter Item Size",IF(C24&gt;0,ItemSize/C24,"-"))</f>
        <v>Enter Item Size</v>
      </c>
      <c r="F24" s="134">
        <f>SUM(F14:F23)</f>
        <v>0</v>
      </c>
      <c r="G24" s="134">
        <f>SUM(G14:G23)</f>
        <v>0</v>
      </c>
      <c r="H24" s="134">
        <f>SUM(H14:H23)</f>
        <v>0</v>
      </c>
      <c r="I24" s="134">
        <f>SUM(I14:I23)</f>
        <v>0</v>
      </c>
      <c r="J24" s="134">
        <f>SUM(J14:J23)</f>
        <v>0</v>
      </c>
      <c r="K24" s="43" t="str">
        <f>IF(F24=G24+H24+I24+J24,CheckOK,CheckErr)</f>
        <v/>
      </c>
    </row>
    <row r="25" spans="1:11" s="138" customFormat="1" ht="27" customHeight="1" outlineLevel="1">
      <c r="A25" s="222" t="s">
        <v>91</v>
      </c>
      <c r="B25" s="222"/>
      <c r="C25" s="131"/>
      <c r="D25" s="135"/>
      <c r="E25" s="136"/>
      <c r="F25" s="137">
        <f>COUNTA(DevCommentInitials)</f>
        <v>95</v>
      </c>
      <c r="G25" s="137">
        <f>COUNTIF(DevCommentStatuses,G$12)</f>
        <v>79</v>
      </c>
      <c r="H25" s="137">
        <f>COUNTIF(DevCommentStatuses,H$12)</f>
        <v>23</v>
      </c>
      <c r="I25" s="137">
        <f>COUNTIF(DevCommentStatuses,I$12)</f>
        <v>0</v>
      </c>
      <c r="J25" s="137">
        <f>COUNTIF(DevCommentStatuses,J$12)</f>
        <v>15</v>
      </c>
      <c r="K25" s="43" t="str">
        <f>IF(AND(F25=G25+H25+I25+J25,F24=F25,G24=G25,H24=H25,I24=I25,J24=J25),CheckOK,CheckErr)</f>
        <v>!</v>
      </c>
    </row>
    <row r="27" spans="1:11" ht="21">
      <c r="A27" s="114" t="s">
        <v>162</v>
      </c>
    </row>
    <row r="28" spans="1:11">
      <c r="A28" s="218" t="str">
        <f>A27</f>
        <v>Time Spent Reworking</v>
      </c>
      <c r="B28" s="219"/>
      <c r="C28" s="37">
        <f>SUM(C32:C36)</f>
        <v>0</v>
      </c>
    </row>
    <row r="29" spans="1:11">
      <c r="A29" s="220" t="s">
        <v>102</v>
      </c>
      <c r="B29" s="221"/>
      <c r="C29" s="48" t="str">
        <f>CONCATENATE(INT(C28/60)," hour(s) and ", MOD(C28,60), " minutes")</f>
        <v>0 hour(s) and 0 minutes</v>
      </c>
    </row>
    <row r="30" spans="1:11">
      <c r="G30" s="123" t="s">
        <v>87</v>
      </c>
      <c r="H30" s="123" t="s">
        <v>86</v>
      </c>
      <c r="I30" s="123" t="s">
        <v>132</v>
      </c>
      <c r="J30" s="123" t="s">
        <v>85</v>
      </c>
    </row>
    <row r="31" spans="1:11" ht="38.25" customHeight="1" outlineLevel="2">
      <c r="A31" s="139" t="s">
        <v>164</v>
      </c>
      <c r="B31" s="140" t="s">
        <v>165</v>
      </c>
      <c r="C31" s="141" t="s">
        <v>128</v>
      </c>
      <c r="D31" s="127" t="s">
        <v>93</v>
      </c>
      <c r="E31" s="128" t="s">
        <v>166</v>
      </c>
      <c r="F31" s="129" t="s">
        <v>169</v>
      </c>
      <c r="G31" s="129" t="s">
        <v>96</v>
      </c>
      <c r="H31" s="129" t="s">
        <v>95</v>
      </c>
      <c r="I31" s="129" t="s">
        <v>131</v>
      </c>
      <c r="J31" s="129" t="s">
        <v>94</v>
      </c>
      <c r="K31" s="130" t="s">
        <v>93</v>
      </c>
    </row>
    <row r="32" spans="1:11" outlineLevel="2">
      <c r="A32" s="145"/>
      <c r="B32" s="145"/>
      <c r="C32" s="145"/>
      <c r="D32" s="46" t="str">
        <f>IF(OR(COUNTA(A32:C32)=0,COUNTA(A32:C32)=COUNTA(A$13:C$13)),CheckOK,CheckErr)</f>
        <v/>
      </c>
      <c r="E32" s="45" t="str">
        <f>IF(NOT(ISBLANK(C32)),IF(ISNUMBER(ItemSize),F32/C32,"Enter Item Size"),"")</f>
        <v/>
      </c>
      <c r="F32" s="43" t="str">
        <f>IF(ISBLANK(B32),"",COUNTIF(DevAuthorInitials,B32))</f>
        <v/>
      </c>
      <c r="G32" s="43" t="str">
        <f t="shared" ref="G32:J36" si="5">IF(ISBLANK($B32),"",COUNTIFS(DevAuthorInitials,$B32,DevCommentStatuses,G$12))</f>
        <v/>
      </c>
      <c r="H32" s="43" t="str">
        <f t="shared" si="5"/>
        <v/>
      </c>
      <c r="I32" s="43" t="str">
        <f t="shared" si="5"/>
        <v/>
      </c>
      <c r="J32" s="43" t="str">
        <f t="shared" si="5"/>
        <v/>
      </c>
      <c r="K32" s="43" t="str">
        <f>IF(ISBLANK(B32),"",IF(F32=G32+H32+I32+J32,CheckOK,CheckErr))</f>
        <v/>
      </c>
    </row>
    <row r="33" spans="1:11" outlineLevel="2">
      <c r="A33" s="145"/>
      <c r="B33" s="145"/>
      <c r="C33" s="145"/>
      <c r="D33" s="46" t="str">
        <f>IF(OR(COUNTA(A33:C33)=0,COUNTA(A33:C33)=COUNTA(A$13:C$13)),CheckOK,CheckErr)</f>
        <v/>
      </c>
      <c r="E33" s="45" t="str">
        <f>IF(NOT(ISBLANK(C33)),IF(ISNUMBER(ItemSize),F33/C33,"Enter Item Size"),"")</f>
        <v/>
      </c>
      <c r="F33" s="43" t="str">
        <f>IF(ISBLANK(B33),"",COUNTIF(DevAuthorInitials,B33))</f>
        <v/>
      </c>
      <c r="G33" s="43" t="str">
        <f t="shared" si="5"/>
        <v/>
      </c>
      <c r="H33" s="43" t="str">
        <f t="shared" si="5"/>
        <v/>
      </c>
      <c r="I33" s="43" t="str">
        <f t="shared" si="5"/>
        <v/>
      </c>
      <c r="J33" s="43" t="str">
        <f t="shared" si="5"/>
        <v/>
      </c>
      <c r="K33" s="43" t="str">
        <f>IF(ISBLANK(B33),"",IF(F33=G33+H33+I33+J33,CheckOK,CheckErr))</f>
        <v/>
      </c>
    </row>
    <row r="34" spans="1:11" outlineLevel="2">
      <c r="A34" s="145"/>
      <c r="B34" s="145"/>
      <c r="C34" s="145"/>
      <c r="D34" s="46" t="str">
        <f>IF(OR(COUNTA(A34:C34)=0,COUNTA(A34:C34)=COUNTA(A$13:C$13)),CheckOK,CheckErr)</f>
        <v/>
      </c>
      <c r="E34" s="45" t="str">
        <f>IF(NOT(ISBLANK(C34)),IF(ISNUMBER(ItemSize),F34/C34,"Enter Item Size"),"")</f>
        <v/>
      </c>
      <c r="F34" s="43" t="str">
        <f>IF(ISBLANK(B34),"",COUNTIF(DevAuthorInitials,B34))</f>
        <v/>
      </c>
      <c r="G34" s="43" t="str">
        <f t="shared" si="5"/>
        <v/>
      </c>
      <c r="H34" s="43" t="str">
        <f t="shared" si="5"/>
        <v/>
      </c>
      <c r="I34" s="43" t="str">
        <f t="shared" si="5"/>
        <v/>
      </c>
      <c r="J34" s="43" t="str">
        <f t="shared" si="5"/>
        <v/>
      </c>
      <c r="K34" s="43" t="str">
        <f>IF(ISBLANK(B34),"",IF(F34=G34+H34+I34+J34,CheckOK,CheckErr))</f>
        <v/>
      </c>
    </row>
    <row r="35" spans="1:11" outlineLevel="2">
      <c r="A35" s="145"/>
      <c r="B35" s="145"/>
      <c r="C35" s="145"/>
      <c r="D35" s="46" t="str">
        <f>IF(OR(COUNTA(A35:C35)=0,COUNTA(A35:C35)=COUNTA(A$13:C$13)),CheckOK,CheckErr)</f>
        <v/>
      </c>
      <c r="E35" s="45" t="str">
        <f>IF(NOT(ISBLANK(C35)),IF(ISNUMBER(ItemSize),F35/C35,"Enter Item Size"),"")</f>
        <v/>
      </c>
      <c r="F35" s="43" t="str">
        <f>IF(ISBLANK(B35),"",COUNTIF(DevAuthorInitials,B35))</f>
        <v/>
      </c>
      <c r="G35" s="43" t="str">
        <f t="shared" si="5"/>
        <v/>
      </c>
      <c r="H35" s="43" t="str">
        <f t="shared" si="5"/>
        <v/>
      </c>
      <c r="I35" s="43" t="str">
        <f t="shared" si="5"/>
        <v/>
      </c>
      <c r="J35" s="43" t="str">
        <f t="shared" si="5"/>
        <v/>
      </c>
      <c r="K35" s="43" t="str">
        <f>IF(ISBLANK(B35),"",IF(F35=G35+H35+I35+J35,CheckOK,CheckErr))</f>
        <v/>
      </c>
    </row>
    <row r="36" spans="1:11" outlineLevel="2">
      <c r="A36" s="145"/>
      <c r="B36" s="145"/>
      <c r="C36" s="145"/>
      <c r="D36" s="46" t="str">
        <f>IF(OR(COUNTA(A36:C36)=0,COUNTA(A36:C36)=COUNTA(A$13:C$13)),CheckOK,CheckErr)</f>
        <v/>
      </c>
      <c r="E36" s="45" t="str">
        <f>IF(NOT(ISBLANK(C36)),IF(ISNUMBER(ItemSize),F36/C36,"Enter Item Size"),"")</f>
        <v/>
      </c>
      <c r="F36" s="43" t="str">
        <f>IF(ISBLANK(B36),"",COUNTIF(DevAuthorInitials,B36))</f>
        <v/>
      </c>
      <c r="G36" s="43" t="str">
        <f t="shared" si="5"/>
        <v/>
      </c>
      <c r="H36" s="43" t="str">
        <f t="shared" si="5"/>
        <v/>
      </c>
      <c r="I36" s="43" t="str">
        <f t="shared" si="5"/>
        <v/>
      </c>
      <c r="J36" s="43" t="str">
        <f t="shared" si="5"/>
        <v/>
      </c>
      <c r="K36" s="43" t="str">
        <f>IF(ISBLANK(B36),"",IF(F36=G36+H36+I36+J36,CheckOK,CheckErr))</f>
        <v/>
      </c>
    </row>
    <row r="37" spans="1:11" outlineLevel="2">
      <c r="A37" s="223" t="s">
        <v>92</v>
      </c>
      <c r="B37" s="223"/>
      <c r="C37" s="132">
        <f>TotalEffortToFix</f>
        <v>0</v>
      </c>
      <c r="D37" s="133"/>
      <c r="E37" s="44" t="str">
        <f>IF(NOT(ISNUMBER(ItemSize)),"Enter Item Size",IF(C37&gt;0,ItemSize/C37,"-"))</f>
        <v>Enter Item Size</v>
      </c>
      <c r="F37" s="134">
        <f>SUM(F32:F36)</f>
        <v>0</v>
      </c>
      <c r="G37" s="134">
        <f>SUM(G32:G36)</f>
        <v>0</v>
      </c>
      <c r="H37" s="134">
        <f>SUM(H32:H36)</f>
        <v>0</v>
      </c>
      <c r="I37" s="134">
        <f>SUM(I32:I36)</f>
        <v>0</v>
      </c>
      <c r="J37" s="134">
        <f>SUM(J32:J36)</f>
        <v>0</v>
      </c>
      <c r="K37" s="43" t="str">
        <f>IF(F37=G37+H37+I37+J37,CheckOK,CheckErr)</f>
        <v/>
      </c>
    </row>
    <row r="38" spans="1:11" outlineLevel="2">
      <c r="A38" s="222" t="s">
        <v>91</v>
      </c>
      <c r="B38" s="222"/>
      <c r="C38" s="131"/>
      <c r="D38" s="135"/>
      <c r="E38" s="136"/>
      <c r="F38" s="137">
        <f>COUNTA(DevCommentInitials)</f>
        <v>95</v>
      </c>
      <c r="G38" s="137">
        <f>COUNTIF(DevCommentStatuses,G$12)</f>
        <v>79</v>
      </c>
      <c r="H38" s="137">
        <f>COUNTIF(DevCommentStatuses,H$12)</f>
        <v>23</v>
      </c>
      <c r="I38" s="137">
        <f>COUNTIF(DevCommentStatuses,I$12)</f>
        <v>0</v>
      </c>
      <c r="J38" s="137">
        <f>COUNTIF(DevCommentStatuses,J$12)</f>
        <v>15</v>
      </c>
      <c r="K38" s="43" t="str">
        <f>IF(AND(F38=G38+H38+I38+J38,F37=F38,G37=G38,H37=H38,I37=I38,J37=J38),CheckOK,CheckErr)</f>
        <v>!</v>
      </c>
    </row>
    <row r="40" spans="1:11" ht="21">
      <c r="A40" s="114" t="s">
        <v>163</v>
      </c>
    </row>
    <row r="42" spans="1:11">
      <c r="A42" s="218" t="str">
        <f>A40</f>
        <v>Time Spent Moderating</v>
      </c>
      <c r="B42" s="219"/>
      <c r="C42" s="37">
        <f>SUM(C46:C50)</f>
        <v>0</v>
      </c>
    </row>
    <row r="43" spans="1:11">
      <c r="A43" s="220" t="s">
        <v>102</v>
      </c>
      <c r="B43" s="221"/>
      <c r="C43" s="48" t="str">
        <f>CONCATENATE(INT(C42/60)," hour(s) and ", MOD(C42,60), " minutes")</f>
        <v>0 hour(s) and 0 minutes</v>
      </c>
    </row>
    <row r="44" spans="1:11">
      <c r="G44" s="123" t="s">
        <v>87</v>
      </c>
      <c r="H44" s="123" t="s">
        <v>86</v>
      </c>
      <c r="I44" s="123" t="s">
        <v>132</v>
      </c>
      <c r="J44" s="123" t="s">
        <v>85</v>
      </c>
    </row>
    <row r="45" spans="1:11" ht="45" customHeight="1" outlineLevel="2">
      <c r="A45" s="142" t="s">
        <v>171</v>
      </c>
      <c r="B45" s="143" t="s">
        <v>170</v>
      </c>
      <c r="C45" s="144" t="s">
        <v>129</v>
      </c>
      <c r="D45" s="127" t="s">
        <v>93</v>
      </c>
      <c r="E45" s="128" t="s">
        <v>167</v>
      </c>
      <c r="F45" s="129" t="s">
        <v>168</v>
      </c>
      <c r="G45" s="129" t="s">
        <v>96</v>
      </c>
      <c r="H45" s="129" t="s">
        <v>95</v>
      </c>
      <c r="I45" s="129" t="s">
        <v>131</v>
      </c>
      <c r="J45" s="129" t="s">
        <v>94</v>
      </c>
      <c r="K45" s="130" t="s">
        <v>93</v>
      </c>
    </row>
    <row r="46" spans="1:11" outlineLevel="2">
      <c r="A46" s="145"/>
      <c r="B46" s="145"/>
      <c r="C46" s="145"/>
      <c r="D46" s="46" t="str">
        <f>IF(OR(COUNTA(A46:C46)=0,COUNTA(A46:C46)=COUNTA(A$13:C$13)),CheckOK,CheckErr)</f>
        <v/>
      </c>
      <c r="E46" s="45" t="str">
        <f>IF(NOT(ISBLANK(C46)),IF(ISNUMBER(ItemSize),F46/C46,"Enter Item Size"),"")</f>
        <v/>
      </c>
      <c r="F46" s="43" t="str">
        <f>IF(ISBLANK(B46),"",COUNTIF(DevModeratorInitials,B46))</f>
        <v/>
      </c>
      <c r="G46" s="43" t="str">
        <f t="shared" ref="G46:J50" si="6">IF(ISBLANK($B46),"",COUNTIFS(DevModeratorInitials,$B46,DevCommentStatuses,G$12))</f>
        <v/>
      </c>
      <c r="H46" s="43" t="str">
        <f t="shared" si="6"/>
        <v/>
      </c>
      <c r="I46" s="43" t="str">
        <f t="shared" si="6"/>
        <v/>
      </c>
      <c r="J46" s="43" t="str">
        <f t="shared" si="6"/>
        <v/>
      </c>
      <c r="K46" s="43" t="str">
        <f>IF(ISBLANK(B46),"",IF(F46=G46+H46+I46+J46,CheckOK,CheckErr))</f>
        <v/>
      </c>
    </row>
    <row r="47" spans="1:11" outlineLevel="2">
      <c r="A47" s="145"/>
      <c r="B47" s="145"/>
      <c r="C47" s="145"/>
      <c r="D47" s="46" t="str">
        <f>IF(OR(COUNTA(A47:C47)=0,COUNTA(A47:C47)=COUNTA(A$13:C$13)),CheckOK,CheckErr)</f>
        <v/>
      </c>
      <c r="E47" s="45" t="str">
        <f>IF(NOT(ISBLANK(C47)),IF(ISNUMBER(ItemSize),F47/C47,"Enter Item Size"),"")</f>
        <v/>
      </c>
      <c r="F47" s="43" t="str">
        <f>IF(ISBLANK(B47),"",COUNTIF(DevModeratorInitials,B47))</f>
        <v/>
      </c>
      <c r="G47" s="43" t="str">
        <f t="shared" si="6"/>
        <v/>
      </c>
      <c r="H47" s="43" t="str">
        <f t="shared" si="6"/>
        <v/>
      </c>
      <c r="I47" s="43" t="str">
        <f t="shared" si="6"/>
        <v/>
      </c>
      <c r="J47" s="43" t="str">
        <f t="shared" si="6"/>
        <v/>
      </c>
      <c r="K47" s="43" t="str">
        <f>IF(ISBLANK(B47),"",IF(F47=G47+H47+I47+J47,CheckOK,CheckErr))</f>
        <v/>
      </c>
    </row>
    <row r="48" spans="1:11" outlineLevel="2">
      <c r="A48" s="145"/>
      <c r="B48" s="145"/>
      <c r="C48" s="145"/>
      <c r="D48" s="46" t="str">
        <f>IF(OR(COUNTA(A48:C48)=0,COUNTA(A48:C48)=COUNTA(A$13:C$13)),CheckOK,CheckErr)</f>
        <v/>
      </c>
      <c r="E48" s="45" t="str">
        <f>IF(NOT(ISBLANK(C48)),IF(ISNUMBER(ItemSize),F48/C48,"Enter Item Size"),"")</f>
        <v/>
      </c>
      <c r="F48" s="43" t="str">
        <f>IF(ISBLANK(B48),"",COUNTIF(DevModeratorInitials,B48))</f>
        <v/>
      </c>
      <c r="G48" s="43" t="str">
        <f t="shared" si="6"/>
        <v/>
      </c>
      <c r="H48" s="43" t="str">
        <f t="shared" si="6"/>
        <v/>
      </c>
      <c r="I48" s="43" t="str">
        <f t="shared" si="6"/>
        <v/>
      </c>
      <c r="J48" s="43" t="str">
        <f t="shared" si="6"/>
        <v/>
      </c>
      <c r="K48" s="43" t="str">
        <f>IF(ISBLANK(B48),"",IF(F48=G48+H48+I48+J48,CheckOK,CheckErr))</f>
        <v/>
      </c>
    </row>
    <row r="49" spans="1:11" outlineLevel="2">
      <c r="A49" s="145"/>
      <c r="B49" s="145"/>
      <c r="C49" s="145"/>
      <c r="D49" s="46" t="str">
        <f>IF(OR(COUNTA(A49:C49)=0,COUNTA(A49:C49)=COUNTA(A$13:C$13)),CheckOK,CheckErr)</f>
        <v/>
      </c>
      <c r="E49" s="45" t="str">
        <f>IF(NOT(ISBLANK(C49)),IF(ISNUMBER(ItemSize),F49/C49,"Enter Item Size"),"")</f>
        <v/>
      </c>
      <c r="F49" s="43" t="str">
        <f>IF(ISBLANK(B49),"",COUNTIF(DevModeratorInitials,B49))</f>
        <v/>
      </c>
      <c r="G49" s="43" t="str">
        <f t="shared" si="6"/>
        <v/>
      </c>
      <c r="H49" s="43" t="str">
        <f t="shared" si="6"/>
        <v/>
      </c>
      <c r="I49" s="43" t="str">
        <f t="shared" si="6"/>
        <v/>
      </c>
      <c r="J49" s="43" t="str">
        <f t="shared" si="6"/>
        <v/>
      </c>
      <c r="K49" s="43" t="str">
        <f>IF(ISBLANK(B49),"",IF(F49=G49+H49+I49+J49,CheckOK,CheckErr))</f>
        <v/>
      </c>
    </row>
    <row r="50" spans="1:11" outlineLevel="2">
      <c r="A50" s="145"/>
      <c r="B50" s="145"/>
      <c r="C50" s="145"/>
      <c r="D50" s="46" t="str">
        <f>IF(OR(COUNTA(A50:C50)=0,COUNTA(A50:C50)=COUNTA(A$13:C$13)),CheckOK,CheckErr)</f>
        <v/>
      </c>
      <c r="E50" s="45" t="str">
        <f>IF(NOT(ISBLANK(C50)),IF(ISNUMBER(ItemSize),F50/C50,"Enter Item Size"),"")</f>
        <v/>
      </c>
      <c r="F50" s="43" t="str">
        <f>IF(ISBLANK(B50),"",COUNTIF(DevModeratorInitials,B50))</f>
        <v/>
      </c>
      <c r="G50" s="43" t="str">
        <f t="shared" si="6"/>
        <v/>
      </c>
      <c r="H50" s="43" t="str">
        <f t="shared" si="6"/>
        <v/>
      </c>
      <c r="I50" s="43" t="str">
        <f t="shared" si="6"/>
        <v/>
      </c>
      <c r="J50" s="43" t="str">
        <f t="shared" si="6"/>
        <v/>
      </c>
      <c r="K50" s="43" t="str">
        <f>IF(ISBLANK(B50),"",IF(F50=G50+H50+I50+J50,CheckOK,CheckErr))</f>
        <v/>
      </c>
    </row>
    <row r="51" spans="1:11" outlineLevel="2">
      <c r="A51" s="223" t="s">
        <v>92</v>
      </c>
      <c r="B51" s="223"/>
      <c r="C51" s="132">
        <f>TotalTimeModerating</f>
        <v>0</v>
      </c>
      <c r="D51" s="133"/>
      <c r="E51" s="44" t="str">
        <f>IF(NOT(ISNUMBER(ItemSize)),"Enter Item Size",IF(C51&gt;0,ItemSize/C51,"-"))</f>
        <v>Enter Item Size</v>
      </c>
      <c r="F51" s="134">
        <f>SUM(F46:F50)</f>
        <v>0</v>
      </c>
      <c r="G51" s="134">
        <f>SUM(G46:G50)</f>
        <v>0</v>
      </c>
      <c r="H51" s="134">
        <f>SUM(H46:H50)</f>
        <v>0</v>
      </c>
      <c r="I51" s="134">
        <f>SUM(I46:I50)</f>
        <v>0</v>
      </c>
      <c r="J51" s="134">
        <f>SUM(J46:J50)</f>
        <v>0</v>
      </c>
      <c r="K51" s="43" t="str">
        <f>IF(F51=G51+H51+I51+J51,CheckOK,CheckErr)</f>
        <v/>
      </c>
    </row>
    <row r="52" spans="1:11" outlineLevel="2">
      <c r="A52" s="222" t="s">
        <v>91</v>
      </c>
      <c r="B52" s="222"/>
      <c r="C52" s="131"/>
      <c r="D52" s="135"/>
      <c r="E52" s="136"/>
      <c r="F52" s="137">
        <f>COUNTA(DevCommentInitials)</f>
        <v>95</v>
      </c>
      <c r="G52" s="137">
        <f>COUNTIF(DevCommentStatuses,G$12)</f>
        <v>79</v>
      </c>
      <c r="H52" s="137">
        <f>COUNTIF(DevCommentStatuses,H$12)</f>
        <v>23</v>
      </c>
      <c r="I52" s="137">
        <f>COUNTIF(DevCommentStatuses,I$12)</f>
        <v>0</v>
      </c>
      <c r="J52" s="137">
        <f>COUNTIF(DevCommentStatuses,J$12)</f>
        <v>15</v>
      </c>
      <c r="K52" s="43" t="str">
        <f>IF(AND(F52=G52+H52+I52+J52,F51=F52,G51=G52,H51=H52,I51=I52,J51=J52),CheckOK,CheckErr)</f>
        <v>!</v>
      </c>
    </row>
  </sheetData>
  <sheetProtection insertRows="0"/>
  <mergeCells count="17">
    <mergeCell ref="A43:B43"/>
    <mergeCell ref="A51:B51"/>
    <mergeCell ref="A52:B52"/>
    <mergeCell ref="A37:B37"/>
    <mergeCell ref="A38:B38"/>
    <mergeCell ref="A28:B28"/>
    <mergeCell ref="A29:B29"/>
    <mergeCell ref="A42:B42"/>
    <mergeCell ref="A10:B10"/>
    <mergeCell ref="A11:B11"/>
    <mergeCell ref="A25:B25"/>
    <mergeCell ref="A24:B24"/>
    <mergeCell ref="B2:C2"/>
    <mergeCell ref="B3:C3"/>
    <mergeCell ref="B4:C4"/>
    <mergeCell ref="B5:C5"/>
    <mergeCell ref="B6:C6"/>
  </mergeCells>
  <conditionalFormatting sqref="D1:D1048576">
    <cfRule type="cellIs" dxfId="10" priority="46" stopIfTrue="1" operator="equal">
      <formula>CheckErr</formula>
    </cfRule>
  </conditionalFormatting>
  <conditionalFormatting sqref="K1:K1048576">
    <cfRule type="expression" dxfId="9" priority="45" stopIfTrue="1">
      <formula>K1=CheckErr</formula>
    </cfRule>
  </conditionalFormatting>
  <conditionalFormatting sqref="A14:C23">
    <cfRule type="expression" dxfId="8" priority="6" stopIfTrue="1">
      <formula>$D14=CheckErr</formula>
    </cfRule>
  </conditionalFormatting>
  <conditionalFormatting sqref="C24:C25">
    <cfRule type="expression" dxfId="7" priority="5" stopIfTrue="1">
      <formula>$D24=CheckErr</formula>
    </cfRule>
  </conditionalFormatting>
  <conditionalFormatting sqref="A32:C36">
    <cfRule type="expression" dxfId="6" priority="4" stopIfTrue="1">
      <formula>$D32=CheckErr</formula>
    </cfRule>
  </conditionalFormatting>
  <conditionalFormatting sqref="C37:C38">
    <cfRule type="expression" dxfId="5" priority="3" stopIfTrue="1">
      <formula>$D37=CheckErr</formula>
    </cfRule>
  </conditionalFormatting>
  <conditionalFormatting sqref="A46:C50">
    <cfRule type="expression" dxfId="4" priority="2" stopIfTrue="1">
      <formula>$D46=CheckErr</formula>
    </cfRule>
  </conditionalFormatting>
  <conditionalFormatting sqref="C51:C52">
    <cfRule type="expression" dxfId="3" priority="1" stopIfTrue="1">
      <formula>$D51=CheckErr</formula>
    </cfRule>
  </conditionalFormatting>
  <pageMargins left="0.74803149606299213" right="0.74803149606299213" top="0.98425196850393704" bottom="0.98425196850393704" header="0.51181102362204722" footer="0.51181102362204722"/>
  <pageSetup paperSize="9" scale="98" fitToHeight="0" orientation="landscape"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7.xml><?xml version="1.0" encoding="utf-8"?>
<worksheet xmlns="http://schemas.openxmlformats.org/spreadsheetml/2006/main" xmlns:r="http://schemas.openxmlformats.org/officeDocument/2006/relationships">
  <sheetPr codeName="Sheet6">
    <tabColor rgb="FF92D050"/>
    <pageSetUpPr fitToPage="1"/>
  </sheetPr>
  <dimension ref="A1:F84"/>
  <sheetViews>
    <sheetView workbookViewId="0">
      <selection activeCell="F6" sqref="F6"/>
    </sheetView>
  </sheetViews>
  <sheetFormatPr defaultRowHeight="13.5"/>
  <cols>
    <col min="1" max="1" width="29" style="9" customWidth="1"/>
    <col min="2" max="2" width="18" style="9" customWidth="1"/>
    <col min="3" max="3" width="12.375" style="9" customWidth="1"/>
    <col min="4" max="4" width="28.125" style="9" customWidth="1"/>
    <col min="5" max="5" width="1.375" style="9" bestFit="1" customWidth="1"/>
    <col min="6" max="6" width="21.625" style="9" customWidth="1"/>
    <col min="7" max="16384" width="9" style="9"/>
  </cols>
  <sheetData>
    <row r="1" spans="1:5" ht="21">
      <c r="A1" s="31" t="s">
        <v>90</v>
      </c>
    </row>
    <row r="3" spans="1:5" ht="27" customHeight="1">
      <c r="A3" s="42" t="s">
        <v>89</v>
      </c>
      <c r="B3" s="240" t="str">
        <f>CONCATENATE('Calling Notice'!$B$3,", ",'Calling Notice'!$B$4,", ",'Calling Notice'!$B$5," ",'Calling Notice'!$B$6,", ",TEXT('Calling Notice'!$B$7,"dd MMMM yyyy"))</f>
        <v>&lt;Title&gt;, &lt;S.Pnnnn.nn.n&gt; or &lt;CM System path&gt;, &lt;Issue n.n&gt; or &lt;CM System revision number&gt; &lt;Status&gt;, dd MMMM yyyy</v>
      </c>
      <c r="C3" s="240"/>
      <c r="D3" s="240"/>
    </row>
    <row r="5" spans="1:5">
      <c r="A5" s="16" t="s">
        <v>88</v>
      </c>
      <c r="B5" s="41">
        <f>COUNTA(DevCommentInitials)</f>
        <v>95</v>
      </c>
      <c r="C5" s="40"/>
    </row>
    <row r="6" spans="1:5">
      <c r="A6" s="16" t="s">
        <v>398</v>
      </c>
      <c r="B6" s="37" t="e">
        <f>COUNTIFS(DevCommentStatuses,"Accepted",DevCommentCategory, "01 - Mandatory (Op)")</f>
        <v>#REF!</v>
      </c>
      <c r="C6" s="39" t="e">
        <f>IF($B$5&lt;&gt;0,B6/$B$5,0)</f>
        <v>#REF!</v>
      </c>
    </row>
    <row r="7" spans="1:5">
      <c r="A7" s="16" t="s">
        <v>399</v>
      </c>
      <c r="B7" s="37" t="e">
        <f>COUNTIF(DevCommentStatuses,"Accepted")-B6</f>
        <v>#REF!</v>
      </c>
      <c r="C7" s="39" t="e">
        <f>IF($B$5&lt;&gt;0,B7/$B$5,0)</f>
        <v>#REF!</v>
      </c>
    </row>
    <row r="8" spans="1:5">
      <c r="A8" s="16" t="s">
        <v>86</v>
      </c>
      <c r="B8" s="37">
        <f>COUNTIF(DevCommentStatuses,A8)</f>
        <v>23</v>
      </c>
      <c r="C8" s="39">
        <f>IF($B$5&lt;&gt;0,B8/$B$5,0)</f>
        <v>0.24210526315789474</v>
      </c>
    </row>
    <row r="9" spans="1:5">
      <c r="A9" s="16" t="s">
        <v>132</v>
      </c>
      <c r="B9" s="37">
        <f>COUNTIF(DevCommentStatuses,A9)</f>
        <v>0</v>
      </c>
      <c r="C9" s="39">
        <f>IF($B$5&lt;&gt;0,B9/$B$5,0)</f>
        <v>0</v>
      </c>
    </row>
    <row r="10" spans="1:5" ht="14.25" thickBot="1">
      <c r="A10" s="38" t="s">
        <v>85</v>
      </c>
      <c r="B10" s="37">
        <f>COUNTIF(DevCommentStatuses,A10)</f>
        <v>15</v>
      </c>
      <c r="C10" s="36">
        <f>IF($B$5&lt;&gt;0,B10/$B$5,0)</f>
        <v>0.15789473684210525</v>
      </c>
    </row>
    <row r="11" spans="1:5" ht="14.25" thickBot="1">
      <c r="A11" s="35" t="s">
        <v>84</v>
      </c>
      <c r="B11" s="34" t="e">
        <f>SUM(B6:B10)</f>
        <v>#REF!</v>
      </c>
      <c r="C11" s="33" t="e">
        <f>SUM(C6:C10)</f>
        <v>#REF!</v>
      </c>
      <c r="E11" s="9" t="e">
        <f>IF(C11&lt;&gt;1,CheckErr,CheckOK)</f>
        <v>#REF!</v>
      </c>
    </row>
    <row r="12" spans="1:5">
      <c r="B12" s="32"/>
    </row>
    <row r="13" spans="1:5">
      <c r="A13" s="92"/>
      <c r="B13" s="90" t="s">
        <v>189</v>
      </c>
      <c r="C13" s="90" t="s">
        <v>387</v>
      </c>
      <c r="D13" s="90" t="s">
        <v>388</v>
      </c>
    </row>
    <row r="14" spans="1:5">
      <c r="A14" s="93" t="s">
        <v>188</v>
      </c>
      <c r="B14" s="90" t="e">
        <f>Checklist_Total</f>
        <v>#REF!</v>
      </c>
      <c r="C14" s="90" t="e">
        <f>B14-Checklist_ToGo</f>
        <v>#REF!</v>
      </c>
      <c r="D14" s="90" t="e">
        <f>B14-Checklist_ToSign</f>
        <v>#REF!</v>
      </c>
      <c r="E14" s="9" t="e">
        <f>IF(OR(B14=0,NOT(AND(C14=B14,C14=D14))),CheckErr,CheckOK)</f>
        <v>#REF!</v>
      </c>
    </row>
    <row r="15" spans="1:5">
      <c r="B15" s="32"/>
    </row>
    <row r="16" spans="1:5" hidden="1">
      <c r="A16" s="16" t="s">
        <v>83</v>
      </c>
      <c r="B16" s="243" t="str">
        <f>Metrics!C11</f>
        <v>0 hour(s) and 0 minutes</v>
      </c>
      <c r="C16" s="244"/>
    </row>
    <row r="17" spans="1:5" hidden="1">
      <c r="A17" s="16" t="s">
        <v>82</v>
      </c>
      <c r="B17" s="236" t="str">
        <f>Metrics!C29</f>
        <v>0 hour(s) and 0 minutes</v>
      </c>
      <c r="C17" s="237"/>
    </row>
    <row r="18" spans="1:5" hidden="1">
      <c r="A18" s="16" t="s">
        <v>82</v>
      </c>
      <c r="B18" s="236" t="str">
        <f>Metrics!C43</f>
        <v>0 hour(s) and 0 minutes</v>
      </c>
      <c r="C18" s="237"/>
    </row>
    <row r="19" spans="1:5" hidden="1"/>
    <row r="20" spans="1:5" hidden="1"/>
    <row r="21" spans="1:5" hidden="1"/>
    <row r="23" spans="1:5" ht="21">
      <c r="A23" s="10" t="s">
        <v>81</v>
      </c>
    </row>
    <row r="25" spans="1:5">
      <c r="A25" s="104" t="s">
        <v>80</v>
      </c>
      <c r="B25" s="241"/>
      <c r="C25" s="241"/>
      <c r="D25" s="241"/>
      <c r="E25" s="9" t="str">
        <f>IF(ISBLANK(B25),CheckErr,CheckOK)</f>
        <v>!</v>
      </c>
    </row>
    <row r="26" spans="1:5">
      <c r="A26" s="94" t="s">
        <v>79</v>
      </c>
      <c r="B26" s="238" t="s">
        <v>27</v>
      </c>
      <c r="C26" s="239"/>
      <c r="D26" s="239"/>
      <c r="E26" s="9" t="str">
        <f>IF(OR(LEFT(B26,1)="&lt;",COUNTIF(Blanks,B26)&gt;0),CheckErr,CheckOK)</f>
        <v>!</v>
      </c>
    </row>
    <row r="28" spans="1:5">
      <c r="A28" s="94" t="s">
        <v>191</v>
      </c>
      <c r="B28" s="233" t="s">
        <v>192</v>
      </c>
      <c r="C28" s="234"/>
      <c r="D28" s="235"/>
      <c r="E28" s="5" t="str">
        <f>IF(OR(LEFT(B28,1)="&lt;",COUNTIF(Blanks,B28)&gt;0),CheckErr,CheckOK)</f>
        <v>!</v>
      </c>
    </row>
    <row r="29" spans="1:5">
      <c r="A29" s="94" t="s">
        <v>78</v>
      </c>
      <c r="B29" s="242" t="s">
        <v>77</v>
      </c>
      <c r="C29" s="241"/>
      <c r="D29" s="241"/>
      <c r="E29" s="9" t="str">
        <f>IF(OR(LEFT(B29,1)="&lt;",COUNTIF(Blanks,B29)&gt;0),CheckErr,CheckOK)</f>
        <v>!</v>
      </c>
    </row>
    <row r="30" spans="1:5">
      <c r="A30" s="94" t="s">
        <v>76</v>
      </c>
      <c r="B30" s="238" t="s">
        <v>27</v>
      </c>
      <c r="C30" s="239"/>
      <c r="D30" s="239"/>
      <c r="E30" s="9" t="str">
        <f>IF(OR(LEFT(B30,1)="&lt;",COUNTIF(Blanks,B30)&gt;0),CheckErr,CheckOK)</f>
        <v>!</v>
      </c>
    </row>
    <row r="32" spans="1:5">
      <c r="A32" s="94" t="s">
        <v>383</v>
      </c>
      <c r="B32" s="242" t="s">
        <v>77</v>
      </c>
      <c r="C32" s="241"/>
      <c r="D32" s="241"/>
      <c r="E32" s="9" t="e">
        <f>IF(Checklist_FailSafety&gt;0,CheckErr,CheckOK)</f>
        <v>#REF!</v>
      </c>
    </row>
    <row r="33" spans="1:6">
      <c r="A33" s="94" t="s">
        <v>384</v>
      </c>
      <c r="B33" s="238" t="s">
        <v>27</v>
      </c>
      <c r="C33" s="239"/>
      <c r="D33" s="239"/>
      <c r="E33" s="9" t="e">
        <f>IF(Checklist_FailSafety&gt;0,CheckErr,CheckOK)</f>
        <v>#REF!</v>
      </c>
    </row>
    <row r="35" spans="1:6">
      <c r="A35" s="94" t="s">
        <v>385</v>
      </c>
      <c r="B35" s="242" t="s">
        <v>77</v>
      </c>
      <c r="C35" s="241"/>
      <c r="D35" s="241"/>
      <c r="E35" s="9" t="e">
        <f>IF(Checklist_FailTechnical,CheckErr,CheckOK)</f>
        <v>#REF!</v>
      </c>
    </row>
    <row r="36" spans="1:6">
      <c r="A36" s="94" t="s">
        <v>386</v>
      </c>
      <c r="B36" s="238" t="s">
        <v>27</v>
      </c>
      <c r="C36" s="239"/>
      <c r="D36" s="239"/>
      <c r="E36" s="9" t="e">
        <f>IF(Checklist_FailTechnical,CheckErr,CheckOK)</f>
        <v>#REF!</v>
      </c>
    </row>
    <row r="39" spans="1:6" ht="21">
      <c r="A39" s="31" t="s">
        <v>75</v>
      </c>
    </row>
    <row r="41" spans="1:6" ht="29.25" customHeight="1">
      <c r="A41" s="229" t="s">
        <v>135</v>
      </c>
      <c r="B41" s="229"/>
      <c r="C41" s="229"/>
      <c r="D41" s="229"/>
      <c r="E41" s="229"/>
      <c r="F41" s="229"/>
    </row>
    <row r="43" spans="1:6">
      <c r="A43" s="81" t="s">
        <v>74</v>
      </c>
      <c r="B43" s="81" t="s">
        <v>73</v>
      </c>
      <c r="C43" s="30" t="s">
        <v>72</v>
      </c>
      <c r="D43" s="81" t="s">
        <v>71</v>
      </c>
      <c r="E43" s="232" t="s">
        <v>70</v>
      </c>
      <c r="F43" s="232"/>
    </row>
    <row r="44" spans="1:6">
      <c r="A44" s="28" t="s">
        <v>69</v>
      </c>
      <c r="B44" s="28" t="s">
        <v>68</v>
      </c>
      <c r="C44" s="29" t="s">
        <v>67</v>
      </c>
      <c r="D44" s="28" t="str">
        <f t="shared" ref="D44:D54" ca="1" si="0">IF(COUNTIF(INDIRECT("'" &amp; B44 &amp; "'!$" &amp; C44 &amp; ":$" &amp; C44),CheckErr)=0,StatusConsistent,StatusInconsistent)</f>
        <v>Inconsistent</v>
      </c>
      <c r="E44" s="228"/>
      <c r="F44" s="228"/>
    </row>
    <row r="45" spans="1:6">
      <c r="A45" s="28" t="s">
        <v>66</v>
      </c>
      <c r="B45" s="28" t="s">
        <v>201</v>
      </c>
      <c r="C45" s="29" t="s">
        <v>65</v>
      </c>
      <c r="D45" s="28" t="str">
        <f ca="1">IF(COUNTIF(INDIRECT("'" &amp; B45 &amp; "'!$" &amp; C45 &amp; ":$" &amp; C45),CheckErr)=0,StatusConsistent,StatusInconsistent)</f>
        <v>Consistent</v>
      </c>
      <c r="E45" s="228"/>
      <c r="F45" s="228"/>
    </row>
    <row r="46" spans="1:6">
      <c r="A46" s="28" t="s">
        <v>66</v>
      </c>
      <c r="B46" s="28" t="s">
        <v>62</v>
      </c>
      <c r="C46" s="29" t="s">
        <v>442</v>
      </c>
      <c r="D46" s="28" t="str">
        <f t="shared" ca="1" si="0"/>
        <v>Inconsistent</v>
      </c>
      <c r="E46" s="228"/>
      <c r="F46" s="228"/>
    </row>
    <row r="47" spans="1:6">
      <c r="A47" s="28" t="s">
        <v>66</v>
      </c>
      <c r="B47" s="28" t="s">
        <v>159</v>
      </c>
      <c r="C47" s="29" t="s">
        <v>391</v>
      </c>
      <c r="D47" s="28" t="e">
        <f t="shared" ca="1" si="0"/>
        <v>#REF!</v>
      </c>
      <c r="E47" s="225"/>
      <c r="F47" s="226"/>
    </row>
    <row r="48" spans="1:6">
      <c r="A48" s="28" t="s">
        <v>64</v>
      </c>
      <c r="B48" s="28" t="s">
        <v>62</v>
      </c>
      <c r="C48" s="29" t="s">
        <v>443</v>
      </c>
      <c r="D48" s="28" t="str">
        <f t="shared" ca="1" si="0"/>
        <v>Consistent</v>
      </c>
      <c r="E48" s="228"/>
      <c r="F48" s="228"/>
    </row>
    <row r="49" spans="1:6" hidden="1">
      <c r="A49" s="28" t="s">
        <v>64</v>
      </c>
      <c r="B49" s="28" t="s">
        <v>63</v>
      </c>
      <c r="C49" s="29" t="s">
        <v>65</v>
      </c>
      <c r="D49" s="28" t="str">
        <f ca="1">IF(COUNTIF(INDIRECT("'" &amp; B49 &amp; "'!$" &amp; C49 &amp; ":$" &amp; C49),CheckErr)=0,StatusConsistent,IF(CaptureEffortData, StatusInconsistent,StatusConsistent))</f>
        <v>Consistent</v>
      </c>
      <c r="E49" s="228"/>
      <c r="F49" s="228"/>
    </row>
    <row r="50" spans="1:6" hidden="1">
      <c r="A50" s="28" t="s">
        <v>64</v>
      </c>
      <c r="B50" s="28" t="s">
        <v>63</v>
      </c>
      <c r="C50" s="29" t="s">
        <v>204</v>
      </c>
      <c r="D50" s="28" t="str">
        <f ca="1">IF(COUNTIF(INDIRECT("'" &amp; B50 &amp; "'!$" &amp; C50 &amp; ":$" &amp; C50),CheckErr)=0,StatusConsistent,IF(CaptureEffortData, StatusInconsistent,StatusConsistent))</f>
        <v>Inconsistent</v>
      </c>
      <c r="E50" s="228"/>
      <c r="F50" s="228"/>
    </row>
    <row r="51" spans="1:6">
      <c r="A51" s="28" t="s">
        <v>61</v>
      </c>
      <c r="B51" s="28" t="s">
        <v>201</v>
      </c>
      <c r="C51" s="29" t="s">
        <v>59</v>
      </c>
      <c r="D51" s="28" t="str">
        <f ca="1">IF(COUNTIF(INDIRECT("'" &amp; B51 &amp; "'!$" &amp; C51 &amp; ":$" &amp; C51),CheckErr)=0,StatusConsistent,StatusInconsistent)</f>
        <v>Consistent</v>
      </c>
      <c r="E51" s="225"/>
      <c r="F51" s="226"/>
    </row>
    <row r="52" spans="1:6">
      <c r="A52" s="28" t="s">
        <v>61</v>
      </c>
      <c r="B52" s="28" t="s">
        <v>62</v>
      </c>
      <c r="C52" s="29" t="s">
        <v>187</v>
      </c>
      <c r="D52" s="28" t="str">
        <f t="shared" ca="1" si="0"/>
        <v>Consistent</v>
      </c>
      <c r="E52" s="228"/>
      <c r="F52" s="228"/>
    </row>
    <row r="53" spans="1:6">
      <c r="A53" s="28" t="s">
        <v>61</v>
      </c>
      <c r="B53" s="28" t="s">
        <v>159</v>
      </c>
      <c r="C53" s="29" t="s">
        <v>444</v>
      </c>
      <c r="D53" s="28" t="e">
        <f ca="1">IF(COUNTIF(INDIRECT("'" &amp; B53 &amp; "'!$" &amp; C53 &amp; ":$" &amp; C53),CheckErr)=0,StatusConsistent,StatusInconsistent)</f>
        <v>#REF!</v>
      </c>
      <c r="E53" s="225"/>
      <c r="F53" s="226"/>
    </row>
    <row r="54" spans="1:6">
      <c r="A54" s="28" t="s">
        <v>61</v>
      </c>
      <c r="B54" s="28" t="s">
        <v>60</v>
      </c>
      <c r="C54" s="29" t="s">
        <v>59</v>
      </c>
      <c r="D54" s="28" t="str">
        <f t="shared" ca="1" si="0"/>
        <v>Inconsistent</v>
      </c>
      <c r="E54" s="228"/>
      <c r="F54" s="228"/>
    </row>
    <row r="56" spans="1:6">
      <c r="A56" s="9" t="s">
        <v>58</v>
      </c>
    </row>
    <row r="57" spans="1:6">
      <c r="B57" s="20" t="s">
        <v>57</v>
      </c>
      <c r="C57" s="229" t="s">
        <v>56</v>
      </c>
      <c r="D57" s="229"/>
      <c r="E57" s="229"/>
      <c r="F57" s="229"/>
    </row>
    <row r="58" spans="1:6">
      <c r="B58" s="27" t="s">
        <v>55</v>
      </c>
      <c r="C58" s="229" t="s">
        <v>54</v>
      </c>
      <c r="D58" s="229"/>
      <c r="E58" s="229"/>
      <c r="F58" s="229"/>
    </row>
    <row r="59" spans="1:6">
      <c r="A59" s="25"/>
      <c r="B59" s="25"/>
      <c r="C59" s="25"/>
      <c r="D59" s="25"/>
      <c r="E59" s="23"/>
      <c r="F59" s="23"/>
    </row>
    <row r="60" spans="1:6">
      <c r="A60" s="25"/>
      <c r="B60" s="25"/>
      <c r="C60" s="25"/>
      <c r="D60" s="25"/>
      <c r="E60" s="23"/>
      <c r="F60" s="23"/>
    </row>
    <row r="61" spans="1:6" hidden="1">
      <c r="A61" s="172" t="s">
        <v>557</v>
      </c>
      <c r="B61" s="173" t="s">
        <v>558</v>
      </c>
      <c r="C61" s="173"/>
      <c r="D61" s="173"/>
      <c r="E61" s="174"/>
      <c r="F61" s="175"/>
    </row>
    <row r="62" spans="1:6" hidden="1">
      <c r="A62" s="25"/>
      <c r="B62" s="25"/>
      <c r="C62" s="25"/>
      <c r="D62" s="25"/>
      <c r="E62" s="23"/>
      <c r="F62" s="23"/>
    </row>
    <row r="63" spans="1:6" hidden="1">
      <c r="A63" s="26" t="s">
        <v>53</v>
      </c>
      <c r="B63" s="25"/>
      <c r="C63" s="25"/>
      <c r="D63" s="25"/>
      <c r="E63" s="23"/>
      <c r="F63" s="24" t="str">
        <f>""</f>
        <v/>
      </c>
    </row>
    <row r="64" spans="1:6" hidden="1">
      <c r="E64" s="25"/>
    </row>
    <row r="65" spans="1:6" hidden="1">
      <c r="A65" s="230" t="s">
        <v>52</v>
      </c>
      <c r="B65" s="230"/>
      <c r="C65" s="230"/>
      <c r="D65" s="230"/>
      <c r="E65" s="111"/>
      <c r="F65" s="22" t="s">
        <v>51</v>
      </c>
    </row>
    <row r="66" spans="1:6" hidden="1"/>
    <row r="67" spans="1:6" hidden="1">
      <c r="A67" s="9" t="s">
        <v>50</v>
      </c>
      <c r="E67" s="231"/>
      <c r="F67" s="231"/>
    </row>
    <row r="68" spans="1:6" hidden="1"/>
    <row r="69" spans="1:6" hidden="1">
      <c r="A69" s="9" t="s">
        <v>49</v>
      </c>
    </row>
    <row r="70" spans="1:6" hidden="1"/>
    <row r="71" spans="1:6" hidden="1">
      <c r="A71" s="81" t="s">
        <v>48</v>
      </c>
      <c r="B71" s="232" t="s">
        <v>47</v>
      </c>
      <c r="C71" s="232"/>
    </row>
    <row r="72" spans="1:6" hidden="1">
      <c r="A72" s="82" t="s">
        <v>46</v>
      </c>
      <c r="B72" s="224" t="s">
        <v>27</v>
      </c>
      <c r="C72" s="224"/>
    </row>
    <row r="73" spans="1:6" hidden="1">
      <c r="A73" s="82" t="s">
        <v>45</v>
      </c>
      <c r="B73" s="224" t="s">
        <v>203</v>
      </c>
      <c r="C73" s="224"/>
    </row>
    <row r="74" spans="1:6" hidden="1">
      <c r="A74" s="227" t="s">
        <v>44</v>
      </c>
      <c r="B74" s="227"/>
      <c r="C74" s="227"/>
    </row>
    <row r="75" spans="1:6" hidden="1"/>
    <row r="76" spans="1:6" hidden="1">
      <c r="A76" s="9" t="s">
        <v>200</v>
      </c>
      <c r="B76" s="9" t="b">
        <v>1</v>
      </c>
    </row>
    <row r="77" spans="1:6" hidden="1">
      <c r="A77" s="9" t="s">
        <v>318</v>
      </c>
      <c r="B77" s="9" t="b">
        <v>1</v>
      </c>
    </row>
    <row r="78" spans="1:6" hidden="1"/>
    <row r="79" spans="1:6" hidden="1"/>
    <row r="80" spans="1:6" hidden="1"/>
    <row r="81" hidden="1"/>
    <row r="82" hidden="1"/>
    <row r="83" hidden="1"/>
    <row r="84" hidden="1"/>
  </sheetData>
  <mergeCells count="34">
    <mergeCell ref="B32:D32"/>
    <mergeCell ref="B33:D33"/>
    <mergeCell ref="B35:D35"/>
    <mergeCell ref="B36:D36"/>
    <mergeCell ref="A41:F41"/>
    <mergeCell ref="B28:D28"/>
    <mergeCell ref="B18:C18"/>
    <mergeCell ref="B30:D30"/>
    <mergeCell ref="B3:D3"/>
    <mergeCell ref="B26:D26"/>
    <mergeCell ref="B25:D25"/>
    <mergeCell ref="B29:D29"/>
    <mergeCell ref="B16:C16"/>
    <mergeCell ref="B17:C17"/>
    <mergeCell ref="E43:F43"/>
    <mergeCell ref="E44:F44"/>
    <mergeCell ref="E46:F46"/>
    <mergeCell ref="E45:F45"/>
    <mergeCell ref="E48:F48"/>
    <mergeCell ref="E47:F47"/>
    <mergeCell ref="E49:F49"/>
    <mergeCell ref="E50:F50"/>
    <mergeCell ref="E52:F52"/>
    <mergeCell ref="B71:C71"/>
    <mergeCell ref="B72:C72"/>
    <mergeCell ref="B73:C73"/>
    <mergeCell ref="E53:F53"/>
    <mergeCell ref="E51:F51"/>
    <mergeCell ref="A74:C74"/>
    <mergeCell ref="E54:F54"/>
    <mergeCell ref="C57:F57"/>
    <mergeCell ref="C58:F58"/>
    <mergeCell ref="A65:D65"/>
    <mergeCell ref="E67:F67"/>
  </mergeCells>
  <conditionalFormatting sqref="E1:E38">
    <cfRule type="cellIs" dxfId="2" priority="7" stopIfTrue="1" operator="equal">
      <formula>CheckErr</formula>
    </cfRule>
  </conditionalFormatting>
  <conditionalFormatting sqref="D44:D54">
    <cfRule type="expression" dxfId="1" priority="4" stopIfTrue="1">
      <formula>D44=StatusInconsistent</formula>
    </cfRule>
  </conditionalFormatting>
  <conditionalFormatting sqref="B25:D38">
    <cfRule type="expression" dxfId="0" priority="1" stopIfTrue="1">
      <formula>$E25=CheckErr</formula>
    </cfRule>
  </conditionalFormatting>
  <dataValidations disablePrompts="1" count="4">
    <dataValidation allowBlank="1" showInputMessage="1" showErrorMessage="1" promptTitle="Date Rework Required By" prompt="Enter 'N/A' if rework is not required." sqref="B26:D26"/>
    <dataValidation type="list" allowBlank="1" showInputMessage="1" showErrorMessage="1" sqref="B25:D25">
      <formula1>"Approved,Revise and Proceed to Approved,Revise and Check Before Approved,Review Again"</formula1>
    </dataValidation>
    <dataValidation allowBlank="1" showInputMessage="1" showErrorMessage="1" promptTitle="Item Revision" prompt="Recommendation is to enter the CM system revision number, if not appropriate, the issue number may be used._x000a_If the &quot;File List&quot; has been used then set this to &quot;See Fie List.&quot;" sqref="B28:D28"/>
    <dataValidation type="date" operator="greaterThanOrEqual" allowBlank="1" showInputMessage="1" showErrorMessage="1" sqref="B30:D30 B33:D33 B36:D36">
      <formula1>40589</formula1>
    </dataValidation>
  </dataValidations>
  <pageMargins left="0.74803149606299213" right="0.74803149606299213" top="0.98425196850393704" bottom="0.98425196850393704" header="0.51181102362204722" footer="0.51181102362204722"/>
  <pageSetup paperSize="9" scale="94" orientation="portrait" r:id="rId1"/>
  <headerFooter alignWithMargins="0">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legacyDrawing r:id="rId2"/>
</worksheet>
</file>

<file path=xl/worksheets/sheet8.xml><?xml version="1.0" encoding="utf-8"?>
<worksheet xmlns="http://schemas.openxmlformats.org/spreadsheetml/2006/main" xmlns:r="http://schemas.openxmlformats.org/officeDocument/2006/relationships">
  <sheetPr codeName="Sheet2"/>
  <dimension ref="A1:C72"/>
  <sheetViews>
    <sheetView topLeftCell="A13" workbookViewId="0">
      <selection activeCell="B47" sqref="B47"/>
    </sheetView>
  </sheetViews>
  <sheetFormatPr defaultRowHeight="13.5"/>
  <cols>
    <col min="1" max="1" width="29.125" customWidth="1"/>
    <col min="2" max="2" width="19.625" bestFit="1" customWidth="1"/>
  </cols>
  <sheetData>
    <row r="1" spans="1:2" s="2" customFormat="1">
      <c r="A1" s="2" t="s">
        <v>2</v>
      </c>
      <c r="B1" s="2" t="s">
        <v>3</v>
      </c>
    </row>
    <row r="2" spans="1:2">
      <c r="A2" s="1" t="s">
        <v>0</v>
      </c>
      <c r="B2" t="e">
        <f>DocSet</f>
        <v>#REF!</v>
      </c>
    </row>
    <row r="3" spans="1:2">
      <c r="A3" s="1" t="s">
        <v>1</v>
      </c>
      <c r="B3" t="e">
        <f>DocTitle</f>
        <v>#REF!</v>
      </c>
    </row>
    <row r="4" spans="1:2">
      <c r="A4" s="1" t="s">
        <v>4</v>
      </c>
      <c r="B4" t="e">
        <f>DocRef</f>
        <v>#REF!</v>
      </c>
    </row>
    <row r="5" spans="1:2">
      <c r="A5" s="1" t="s">
        <v>5</v>
      </c>
      <c r="B5" t="e">
        <f>DocIssue</f>
        <v>#REF!</v>
      </c>
    </row>
    <row r="6" spans="1:2">
      <c r="A6" s="1" t="s">
        <v>6</v>
      </c>
      <c r="B6" s="105" t="e">
        <f>DocDate</f>
        <v>#REF!</v>
      </c>
    </row>
    <row r="7" spans="1:2">
      <c r="A7" s="1" t="s">
        <v>8</v>
      </c>
      <c r="B7" s="1" t="e">
        <f>DocAuthor</f>
        <v>#REF!</v>
      </c>
    </row>
    <row r="8" spans="1:2">
      <c r="A8" s="1" t="s">
        <v>7</v>
      </c>
      <c r="B8" t="e">
        <f>DocApprover</f>
        <v>#REF!</v>
      </c>
    </row>
    <row r="9" spans="1:2">
      <c r="A9" s="91" t="str">
        <f>SUBSTITUTE("RRR_"&amp;'Calling Notice'!A3," ","_")</f>
        <v>RRR_Item_Title</v>
      </c>
      <c r="B9" t="str">
        <f>'Calling Notice'!B3</f>
        <v>&lt;Title&gt;</v>
      </c>
    </row>
    <row r="10" spans="1:2">
      <c r="A10" s="91" t="str">
        <f>SUBSTITUTE("RRR_"&amp;'Calling Notice'!A4," ","_")</f>
        <v>RRR_Item_Reference</v>
      </c>
      <c r="B10" t="str">
        <f>'Calling Notice'!B4</f>
        <v>&lt;S.Pnnnn.nn.n&gt; or &lt;CM System path&gt;</v>
      </c>
    </row>
    <row r="11" spans="1:2">
      <c r="A11" s="91" t="str">
        <f>SUBSTITUTE("RRR_"&amp;'Calling Notice'!A5," ","_")</f>
        <v>RRR_Item_Issue/Revision</v>
      </c>
      <c r="B11" t="str">
        <f>'Calling Notice'!B5</f>
        <v>&lt;Issue n.n&gt; or &lt;CM System revision number&gt;</v>
      </c>
    </row>
    <row r="12" spans="1:2">
      <c r="A12" s="91" t="str">
        <f>SUBSTITUTE("RRR_"&amp;'Calling Notice'!A6," ","_")</f>
        <v>RRR_Item_Status</v>
      </c>
      <c r="B12" t="str">
        <f>'Calling Notice'!B6</f>
        <v>&lt;Status&gt;</v>
      </c>
    </row>
    <row r="13" spans="1:2">
      <c r="A13" s="91" t="str">
        <f>SUBSTITUTE("RRR_"&amp;'Calling Notice'!A7," ","_")</f>
        <v>RRR_Item_Date</v>
      </c>
      <c r="B13" t="str">
        <f>'Calling Notice'!B7</f>
        <v>dd MMMM yyyy</v>
      </c>
    </row>
    <row r="14" spans="1:2">
      <c r="A14" s="91" t="str">
        <f>SUBSTITUTE("RRR_"&amp;'Calling Notice'!A8," ","_")</f>
        <v>RRR_Item_Author</v>
      </c>
      <c r="B14" t="str">
        <f>'Calling Notice'!B8</f>
        <v>&lt;Author&gt;</v>
      </c>
    </row>
    <row r="15" spans="1:2">
      <c r="A15" s="91" t="str">
        <f>SUBSTITUTE("RRR_"&amp;'Calling Notice'!A9," ","_")</f>
        <v>RRR_Item_Size_(Added)</v>
      </c>
      <c r="B15" t="str">
        <f>'Calling Notice'!B9</f>
        <v>&lt;Item Size&gt;</v>
      </c>
    </row>
    <row r="16" spans="1:2">
      <c r="A16" s="91" t="str">
        <f>SUBSTITUTE("RRR_"&amp;'Calling Notice'!A10," ","_")</f>
        <v>RRR_Item_Size_(Modified)</v>
      </c>
      <c r="B16" t="str">
        <f>'Calling Notice'!B10</f>
        <v>&lt;Item Size&gt;</v>
      </c>
    </row>
    <row r="17" spans="1:2">
      <c r="A17" s="91" t="str">
        <f>SUBSTITUTE("RRR_"&amp;'Calling Notice'!A11," ","_")</f>
        <v>RRR_Item_Size_(Deleted)</v>
      </c>
      <c r="B17" t="str">
        <f>'Calling Notice'!B11</f>
        <v>&lt;Item Size&gt;</v>
      </c>
    </row>
    <row r="18" spans="1:2">
      <c r="A18" s="91" t="str">
        <f>SUBSTITUTE("RRR_"&amp;'Calling Notice'!A12," ","_")</f>
        <v>RRR_Item_Size_Units</v>
      </c>
      <c r="B18" t="str">
        <f>'Calling Notice'!B12</f>
        <v>&lt;Item Size Units&gt;</v>
      </c>
    </row>
    <row r="19" spans="1:2">
      <c r="A19" s="91" t="str">
        <f>SUBSTITUTE("RRR_"&amp;'Calling Notice'!A13," ","_")</f>
        <v>RRR_File_List_Used</v>
      </c>
      <c r="B19" t="str">
        <f>'Calling Notice'!B13</f>
        <v>NO</v>
      </c>
    </row>
    <row r="20" spans="1:2">
      <c r="A20" s="91" t="str">
        <f>SUBSTITUTE("RRR_"&amp;'Calling Notice'!A17," ","_")</f>
        <v>RRR_Date_Review_Issued</v>
      </c>
      <c r="B20" t="str">
        <f>'Calling Notice'!B17</f>
        <v>dd MMMM yyyy</v>
      </c>
    </row>
    <row r="21" spans="1:2">
      <c r="A21" s="91" t="str">
        <f>SUBSTITUTE("RRR_"&amp;'Calling Notice'!A18," ","_")</f>
        <v>RRR_Type_of_Review</v>
      </c>
      <c r="B21" t="str">
        <f>'Calling Notice'!B18</f>
        <v>Offline Review (by Individual Reviewers)</v>
      </c>
    </row>
    <row r="22" spans="1:2">
      <c r="A22" s="91" t="str">
        <f>SUBSTITUTE("RRR_"&amp;'Calling Notice'!A19," ","_")</f>
        <v>RRR_Comments_Required_By</v>
      </c>
      <c r="B22" t="str">
        <f>'Calling Notice'!B19</f>
        <v>dd MMMM yyyy hh:mm</v>
      </c>
    </row>
    <row r="23" spans="1:2">
      <c r="A23" s="91" t="str">
        <f>SUBSTITUTE("RRR_"&amp;'Calling Notice'!A22," ","_")</f>
        <v>RRR_Book_Review_Time_To_WBS</v>
      </c>
      <c r="B23" t="str">
        <f>'Calling Notice'!B22</f>
        <v>&lt;WBS e.g. TnnnnR&gt;</v>
      </c>
    </row>
    <row r="24" spans="1:2">
      <c r="A24" s="91" t="str">
        <f>SUBSTITUTE("RRR_"&amp;'Calling Notice'!A23," ","_")</f>
        <v>RRR_Moderator</v>
      </c>
      <c r="B24" t="str">
        <f>'Calling Notice'!B23</f>
        <v>&lt;Name of Moderator&gt;</v>
      </c>
    </row>
    <row r="25" spans="1:2">
      <c r="A25" s="91" t="s">
        <v>172</v>
      </c>
      <c r="B25" t="str">
        <f>'Calling Notice'!B24</f>
        <v>&lt;Item Approver(s) - should always be invited to review even if the Moderator role is delegated&gt;</v>
      </c>
    </row>
    <row r="26" spans="1:2">
      <c r="A26" s="91" t="s">
        <v>173</v>
      </c>
      <c r="B26" t="str">
        <f>'Calling Notice'!B25</f>
        <v>&lt;Name of Reviewer and Role&gt;</v>
      </c>
    </row>
    <row r="27" spans="1:2">
      <c r="A27" s="91" t="s">
        <v>174</v>
      </c>
      <c r="B27" t="str">
        <f>'Calling Notice'!B26</f>
        <v>&lt;Name of Reviewer and Role&gt;</v>
      </c>
    </row>
    <row r="28" spans="1:2">
      <c r="A28" s="91" t="s">
        <v>175</v>
      </c>
      <c r="B28" t="str">
        <f>'Calling Notice'!B27</f>
        <v>A.N.Other (Checklist)</v>
      </c>
    </row>
    <row r="29" spans="1:2">
      <c r="A29" s="91" t="s">
        <v>176</v>
      </c>
      <c r="B29" t="str">
        <f>'Calling Notice'!B28</f>
        <v>A.N.Other (Typos, grammar, spelling, formatting etc.)</v>
      </c>
    </row>
    <row r="30" spans="1:2">
      <c r="A30" s="91" t="s">
        <v>177</v>
      </c>
      <c r="B30">
        <f>'Calling Notice'!B29</f>
        <v>0</v>
      </c>
    </row>
    <row r="31" spans="1:2">
      <c r="A31" s="91" t="s">
        <v>178</v>
      </c>
      <c r="B31" t="str">
        <f>StandardNo1</f>
        <v>Document Review Entry Checks (Review Procedure)</v>
      </c>
    </row>
    <row r="32" spans="1:2">
      <c r="A32" s="91" t="s">
        <v>179</v>
      </c>
      <c r="B32">
        <f>StandardNo2</f>
        <v>0</v>
      </c>
    </row>
    <row r="33" spans="1:2">
      <c r="A33" s="91" t="s">
        <v>357</v>
      </c>
      <c r="B33">
        <f>StandardNo3</f>
        <v>0</v>
      </c>
    </row>
    <row r="34" spans="1:2">
      <c r="A34" s="91" t="s">
        <v>358</v>
      </c>
      <c r="B34">
        <f>StandardNo4</f>
        <v>0</v>
      </c>
    </row>
    <row r="35" spans="1:2">
      <c r="A35" s="91" t="s">
        <v>359</v>
      </c>
      <c r="B35">
        <f>StandardNo5</f>
        <v>0</v>
      </c>
    </row>
    <row r="36" spans="1:2">
      <c r="A36" s="91" t="s">
        <v>360</v>
      </c>
      <c r="B36">
        <f>StandardNo6</f>
        <v>0</v>
      </c>
    </row>
    <row r="37" spans="1:2">
      <c r="A37" s="91" t="s">
        <v>361</v>
      </c>
      <c r="B37">
        <f>StandardNo7</f>
        <v>0</v>
      </c>
    </row>
    <row r="38" spans="1:2">
      <c r="A38" s="91" t="s">
        <v>362</v>
      </c>
      <c r="B38">
        <f>StandardNo8</f>
        <v>0</v>
      </c>
    </row>
    <row r="39" spans="1:2">
      <c r="A39" s="91" t="s">
        <v>363</v>
      </c>
      <c r="B39">
        <f>StandardNo9</f>
        <v>0</v>
      </c>
    </row>
    <row r="40" spans="1:2">
      <c r="A40" s="91" t="s">
        <v>377</v>
      </c>
      <c r="B40" t="e">
        <f>Checklist_Total</f>
        <v>#REF!</v>
      </c>
    </row>
    <row r="41" spans="1:2">
      <c r="A41" s="91" t="s">
        <v>180</v>
      </c>
      <c r="B41" t="e">
        <f>Checklist_ToGo</f>
        <v>#REF!</v>
      </c>
    </row>
    <row r="42" spans="1:2">
      <c r="A42" s="91" t="s">
        <v>376</v>
      </c>
      <c r="B42" t="e">
        <f>Checklist_ToSign</f>
        <v>#REF!</v>
      </c>
    </row>
    <row r="43" spans="1:2">
      <c r="A43" s="91" t="s">
        <v>378</v>
      </c>
      <c r="B43" t="e">
        <f ca="1">INDIRECT(MID(A43,5,100))</f>
        <v>#REF!</v>
      </c>
    </row>
    <row r="44" spans="1:2">
      <c r="A44" s="91" t="s">
        <v>379</v>
      </c>
      <c r="B44" t="e">
        <f ca="1">INDIRECT(MID(A44,5,100))</f>
        <v>#REF!</v>
      </c>
    </row>
    <row r="45" spans="1:2">
      <c r="A45" s="91" t="s">
        <v>380</v>
      </c>
      <c r="B45" t="e">
        <f ca="1">INDIRECT(MID(A45,5,100))</f>
        <v>#REF!</v>
      </c>
    </row>
    <row r="46" spans="1:2">
      <c r="A46" s="91" t="s">
        <v>381</v>
      </c>
      <c r="B46" t="e">
        <f ca="1">INDIRECT(MID(A46,5,100))</f>
        <v>#REF!</v>
      </c>
    </row>
    <row r="47" spans="1:2">
      <c r="A47" s="91" t="s">
        <v>382</v>
      </c>
      <c r="B47" t="e">
        <f ca="1">INDIRECT(MID(A47,5,100))</f>
        <v>#REF!</v>
      </c>
    </row>
    <row r="48" spans="1:2">
      <c r="A48" s="91" t="s">
        <v>181</v>
      </c>
      <c r="B48">
        <f>TotalTimeSpentReviewing</f>
        <v>0</v>
      </c>
    </row>
    <row r="49" spans="1:2">
      <c r="A49" s="91" t="s">
        <v>182</v>
      </c>
      <c r="B49">
        <f>TotalEffortToFix</f>
        <v>0</v>
      </c>
    </row>
    <row r="50" spans="1:2">
      <c r="A50" s="91" t="s">
        <v>183</v>
      </c>
      <c r="B50">
        <f>TotalTimeModerating</f>
        <v>0</v>
      </c>
    </row>
    <row r="51" spans="1:2">
      <c r="A51" s="91" t="str">
        <f>"RRR_Total_"&amp;'Summary and Sign Off'!A6</f>
        <v>RRR_Total_Accepted  (Op)</v>
      </c>
      <c r="B51" t="e">
        <f>'Summary and Sign Off'!B6</f>
        <v>#REF!</v>
      </c>
    </row>
    <row r="52" spans="1:2">
      <c r="A52" s="91" t="str">
        <f>"RRR_Total_"&amp;'Summary and Sign Off'!A8</f>
        <v>RRR_Total_Rejected</v>
      </c>
      <c r="B52">
        <f>'Summary and Sign Off'!B8</f>
        <v>23</v>
      </c>
    </row>
    <row r="53" spans="1:2">
      <c r="A53" s="91" t="str">
        <f>"RRR_Total_"&amp;'Summary and Sign Off'!A9</f>
        <v>RRR_Total_Duplicate</v>
      </c>
      <c r="B53">
        <f>'Summary and Sign Off'!B9</f>
        <v>0</v>
      </c>
    </row>
    <row r="54" spans="1:2">
      <c r="A54" s="91" t="str">
        <f>"RRR_Total_"&amp;'Summary and Sign Off'!A10</f>
        <v>RRR_Total_Noted</v>
      </c>
      <c r="B54">
        <f>'Summary and Sign Off'!B10</f>
        <v>15</v>
      </c>
    </row>
    <row r="55" spans="1:2">
      <c r="A55" s="91" t="s">
        <v>184</v>
      </c>
      <c r="B55">
        <f>'Summary and Sign Off'!B25:D25</f>
        <v>0</v>
      </c>
    </row>
    <row r="56" spans="1:2">
      <c r="A56" s="91" t="s">
        <v>185</v>
      </c>
      <c r="B56" t="str">
        <f>'Summary and Sign Off'!B29:D29</f>
        <v>&lt;Name of Approver&gt;</v>
      </c>
    </row>
    <row r="57" spans="1:2">
      <c r="A57" s="91" t="s">
        <v>186</v>
      </c>
      <c r="B57" t="str">
        <f>'Summary and Sign Off'!B30:D30</f>
        <v>dd MMMM yyyy</v>
      </c>
    </row>
    <row r="58" spans="1:2">
      <c r="A58" s="91" t="s">
        <v>392</v>
      </c>
      <c r="B58" t="str">
        <f>'Summary and Sign Off'!B32:D32</f>
        <v>&lt;Name of Approver&gt;</v>
      </c>
    </row>
    <row r="59" spans="1:2">
      <c r="A59" s="91" t="s">
        <v>393</v>
      </c>
      <c r="B59" t="str">
        <f>'Summary and Sign Off'!B33:D33</f>
        <v>dd MMMM yyyy</v>
      </c>
    </row>
    <row r="60" spans="1:2">
      <c r="A60" s="91" t="s">
        <v>394</v>
      </c>
      <c r="B60" t="str">
        <f>'Summary and Sign Off'!B35:D35</f>
        <v>&lt;Name of Approver&gt;</v>
      </c>
    </row>
    <row r="61" spans="1:2">
      <c r="A61" s="91" t="s">
        <v>395</v>
      </c>
      <c r="B61" t="str">
        <f>'Summary and Sign Off'!B36:D36</f>
        <v>dd MMMM yyyy</v>
      </c>
    </row>
    <row r="62" spans="1:2">
      <c r="A62" s="91" t="s">
        <v>396</v>
      </c>
      <c r="B62">
        <f ca="1">COUNTIF('Summary and Sign Off'!D44:D54,"Inconsistent")</f>
        <v>4</v>
      </c>
    </row>
    <row r="63" spans="1:2">
      <c r="A63" s="91" t="s">
        <v>397</v>
      </c>
      <c r="B63">
        <f>COUNTA('Summary and Sign Off'!E44:F54)</f>
        <v>0</v>
      </c>
    </row>
    <row r="64" spans="1:2">
      <c r="A64" s="91" t="s">
        <v>194</v>
      </c>
      <c r="B64">
        <f>CommentsRaised</f>
        <v>128</v>
      </c>
    </row>
    <row r="65" spans="1:3">
      <c r="A65" s="91" t="s">
        <v>195</v>
      </c>
      <c r="B65">
        <f>CommentsToAction</f>
        <v>9</v>
      </c>
    </row>
    <row r="66" spans="1:3">
      <c r="A66" s="91" t="s">
        <v>196</v>
      </c>
      <c r="B66">
        <f>CommentsToSignOff</f>
        <v>34</v>
      </c>
    </row>
    <row r="67" spans="1:3">
      <c r="A67" s="91" t="s">
        <v>202</v>
      </c>
      <c r="B67" t="str">
        <f>Final_Revision</f>
        <v>&lt;Issue n.n&gt; or &lt;CM System revision number&gt;</v>
      </c>
    </row>
    <row r="68" spans="1:3">
      <c r="A68" s="91" t="str">
        <f>"RRR_Total_"&amp;C68&amp;"_Op"</f>
        <v>RRR_Total_Accepted_Op</v>
      </c>
      <c r="B68" t="e">
        <f>COUNTIFS(DevCommentStatuses,C68,DevCommentCategory, "01 - Mandatory (Op)")</f>
        <v>#REF!</v>
      </c>
      <c r="C68" t="s">
        <v>87</v>
      </c>
    </row>
    <row r="69" spans="1:3">
      <c r="A69" s="91" t="str">
        <f>"RRR_Total_"&amp;C69&amp;"_Op"</f>
        <v>RRR_Total_Rejected_Op</v>
      </c>
      <c r="B69" t="e">
        <f>COUNTIFS(DevCommentStatuses,C69,DevCommentCategory, "01 - Mandatory (Op)")</f>
        <v>#REF!</v>
      </c>
      <c r="C69" t="s">
        <v>86</v>
      </c>
    </row>
    <row r="70" spans="1:3">
      <c r="A70" s="91" t="str">
        <f>"RRR_Total_"&amp;C70&amp;"_Op"</f>
        <v>RRR_Total_Duplicated_Op</v>
      </c>
      <c r="B70" t="e">
        <f>COUNTIFS(DevCommentStatuses,C70,DevCommentCategory, "01 - Mandatory (Op)")</f>
        <v>#REF!</v>
      </c>
      <c r="C70" t="s">
        <v>319</v>
      </c>
    </row>
    <row r="71" spans="1:3">
      <c r="A71" s="91" t="str">
        <f>"RRR_Total_"&amp;C71&amp;"_Op"</f>
        <v>RRR_Total_Noted_Op</v>
      </c>
      <c r="B71" t="e">
        <f>COUNTIFS(DevCommentStatuses,C71,DevCommentCategory, "01 - Mandatory (Op)")</f>
        <v>#REF!</v>
      </c>
      <c r="C71" t="s">
        <v>85</v>
      </c>
    </row>
    <row r="72" spans="1:3">
      <c r="A72" s="91"/>
    </row>
  </sheetData>
  <pageMargins left="0.7" right="0.7" top="0.75" bottom="0.75" header="0.3" footer="0.3"/>
  <pageSetup paperSize="9" orientation="portrait" r:id="rId1"/>
  <headerFooter>
    <oddHeader>&amp;C&amp;"Franklin Gothic Book,Regular"&amp;9Implement Foundation Behaviours_x000D_&amp;"Franklin Gothic Demi,Regular"&amp;9RRR Template&amp;R&amp;"Franklin Gothic Book,Regular"&amp;9S.Q1200.50.2_x000D_Issue: 1.1</oddHeader>
    <oddFooter>&amp;C&amp;"Franklin Gothic Book,Regular"&amp;9&amp;A&amp;R&amp;"Franklin Gothic Book,Regular"&amp;9Page &amp;P of &amp;N&amp;L&amp;"Franklin Gothic Demi,Regular"&amp;9Commercial In Confidence</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vt:i4>
      </vt:variant>
    </vt:vector>
  </HeadingPairs>
  <TitlesOfParts>
    <vt:vector size="47" baseType="lpstr">
      <vt:lpstr>Usage</vt:lpstr>
      <vt:lpstr>Calling Notice</vt:lpstr>
      <vt:lpstr>File List</vt:lpstr>
      <vt:lpstr>Comments</vt:lpstr>
      <vt:lpstr>Checklists</vt:lpstr>
      <vt:lpstr>Metrics</vt:lpstr>
      <vt:lpstr>Summary and Sign Off</vt:lpstr>
      <vt:lpstr>CustomProperties</vt:lpstr>
      <vt:lpstr>Blanks</vt:lpstr>
      <vt:lpstr>CaptureEffortData</vt:lpstr>
      <vt:lpstr>CaptureSizeMetrics</vt:lpstr>
      <vt:lpstr>CheckErr</vt:lpstr>
      <vt:lpstr>CheckOK</vt:lpstr>
      <vt:lpstr>CodeFileListUsed</vt:lpstr>
      <vt:lpstr>CommentsRaised</vt:lpstr>
      <vt:lpstr>CommentsToAction</vt:lpstr>
      <vt:lpstr>CommentsToSignOff</vt:lpstr>
      <vt:lpstr>DevAuthorInitials</vt:lpstr>
      <vt:lpstr>DevCommentEffortToFix</vt:lpstr>
      <vt:lpstr>DevCommentInitials</vt:lpstr>
      <vt:lpstr>DevCommentStatuses</vt:lpstr>
      <vt:lpstr>DevModeratorInitials</vt:lpstr>
      <vt:lpstr>Final_Revision</vt:lpstr>
      <vt:lpstr>ItemSize</vt:lpstr>
      <vt:lpstr>'Calling Notice'!Print_Area</vt:lpstr>
      <vt:lpstr>'Summary and Sign Off'!Print_Area</vt:lpstr>
      <vt:lpstr>Comments!Print_Titles</vt:lpstr>
      <vt:lpstr>RRR_DevAuthorInitials</vt:lpstr>
      <vt:lpstr>RRR_DevCommentCategory</vt:lpstr>
      <vt:lpstr>RRR_DevCommentInitials</vt:lpstr>
      <vt:lpstr>RRR_DevCommentStatuses</vt:lpstr>
      <vt:lpstr>RRR_DevModeratorInitials</vt:lpstr>
      <vt:lpstr>StandardNo1</vt:lpstr>
      <vt:lpstr>StandardNo2</vt:lpstr>
      <vt:lpstr>StandardNo3</vt:lpstr>
      <vt:lpstr>StandardNo4</vt:lpstr>
      <vt:lpstr>StandardNo5</vt:lpstr>
      <vt:lpstr>StandardNo6</vt:lpstr>
      <vt:lpstr>StandardNo7</vt:lpstr>
      <vt:lpstr>StandardNo8</vt:lpstr>
      <vt:lpstr>StandardNo9</vt:lpstr>
      <vt:lpstr>Standards</vt:lpstr>
      <vt:lpstr>StatusConsistent</vt:lpstr>
      <vt:lpstr>StatusInconsistent</vt:lpstr>
      <vt:lpstr>TotalEffortToFix</vt:lpstr>
      <vt:lpstr>TotalTimeModerating</vt:lpstr>
      <vt:lpstr>TotalTimeSpentReviewing</vt:lpstr>
    </vt:vector>
  </TitlesOfParts>
  <Company>Altran Praxis Limited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Nik Kanuritch</dc:creator>
  <dc:description/>
  <cp:lastModifiedBy>jon.burton</cp:lastModifiedBy>
  <cp:lastPrinted>2013-02-21T10:07:59Z</cp:lastPrinted>
  <dcterms:created xsi:type="dcterms:W3CDTF">2006-01-10T12:16:43Z</dcterms:created>
  <dcterms:modified xsi:type="dcterms:W3CDTF">2013-02-21T10:45:58Z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Set">
    <vt:lpwstr>#REF!</vt:lpwstr>
  </property>
  <property fmtid="{D5CDD505-2E9C-101B-9397-08002B2CF9AE}" pid="3" name="DocTitle">
    <vt:lpwstr>#REF!</vt:lpwstr>
  </property>
  <property fmtid="{D5CDD505-2E9C-101B-9397-08002B2CF9AE}" pid="4" name="DocRef">
    <vt:lpwstr>#REF!</vt:lpwstr>
  </property>
  <property fmtid="{D5CDD505-2E9C-101B-9397-08002B2CF9AE}" pid="5" name="DocIssue">
    <vt:lpwstr>#REF!</vt:lpwstr>
  </property>
  <property fmtid="{D5CDD505-2E9C-101B-9397-08002B2CF9AE}" pid="6" name="DocDate">
    <vt:lpwstr>#REF!</vt:lpwstr>
  </property>
  <property fmtid="{D5CDD505-2E9C-101B-9397-08002B2CF9AE}" pid="7" name="DocAuthor">
    <vt:lpwstr>#REF!</vt:lpwstr>
  </property>
  <property fmtid="{D5CDD505-2E9C-101B-9397-08002B2CF9AE}" pid="8" name="DocApprover">
    <vt:lpwstr>#REF!</vt:lpwstr>
  </property>
  <property fmtid="{D5CDD505-2E9C-101B-9397-08002B2CF9AE}" pid="9" name="RRR_Item_Title">
    <vt:lpwstr>&lt;Title&gt;</vt:lpwstr>
  </property>
  <property fmtid="{D5CDD505-2E9C-101B-9397-08002B2CF9AE}" pid="10" name="RRR_Item_Reference">
    <vt:lpwstr>&lt;S.Pnnnn.nn.n&gt; or &lt;CM System path&gt;</vt:lpwstr>
  </property>
  <property fmtid="{D5CDD505-2E9C-101B-9397-08002B2CF9AE}" pid="11" name="RRR_Item_Revision">
    <vt:lpwstr>&lt;CM System revision number&gt;</vt:lpwstr>
  </property>
  <property fmtid="{D5CDD505-2E9C-101B-9397-08002B2CF9AE}" pid="12" name="RRR_Item_Status">
    <vt:lpwstr>&lt;Status&gt;</vt:lpwstr>
  </property>
  <property fmtid="{D5CDD505-2E9C-101B-9397-08002B2CF9AE}" pid="13" name="RRR_Item_Date">
    <vt:lpwstr>dd MMMM yyyy</vt:lpwstr>
  </property>
  <property fmtid="{D5CDD505-2E9C-101B-9397-08002B2CF9AE}" pid="14" name="RRR_Item_Author">
    <vt:lpwstr>&lt;Author&gt;</vt:lpwstr>
  </property>
  <property fmtid="{D5CDD505-2E9C-101B-9397-08002B2CF9AE}" pid="15" name="RRR_Item_Size_(Added)">
    <vt:lpwstr>&lt;Item Size&gt;</vt:lpwstr>
  </property>
  <property fmtid="{D5CDD505-2E9C-101B-9397-08002B2CF9AE}" pid="16" name="RRR_Item_Size_(Modified)">
    <vt:lpwstr>&lt;Item Size&gt;</vt:lpwstr>
  </property>
  <property fmtid="{D5CDD505-2E9C-101B-9397-08002B2CF9AE}" pid="17" name="RRR_Item_Size_(Deleted)">
    <vt:lpwstr>&lt;Item Size&gt;</vt:lpwstr>
  </property>
  <property fmtid="{D5CDD505-2E9C-101B-9397-08002B2CF9AE}" pid="18" name="RRR_Item_Size_Units">
    <vt:lpwstr>&lt;Item Size Units&gt;</vt:lpwstr>
  </property>
  <property fmtid="{D5CDD505-2E9C-101B-9397-08002B2CF9AE}" pid="19" name="RRR_Code_File_List_Used">
    <vt:lpwstr>NO</vt:lpwstr>
  </property>
  <property fmtid="{D5CDD505-2E9C-101B-9397-08002B2CF9AE}" pid="20" name="RRR_Date_Review_Issued">
    <vt:lpwstr>dd MMMM yyyy</vt:lpwstr>
  </property>
  <property fmtid="{D5CDD505-2E9C-101B-9397-08002B2CF9AE}" pid="21" name="RRR_Type_of_Review">
    <vt:lpwstr>Offline Review (by Individual Reviewers)</vt:lpwstr>
  </property>
  <property fmtid="{D5CDD505-2E9C-101B-9397-08002B2CF9AE}" pid="22" name="RRR_Comments_Required_By">
    <vt:lpwstr>dd MMMM yyyy hh:mm</vt:lpwstr>
  </property>
  <property fmtid="{D5CDD505-2E9C-101B-9397-08002B2CF9AE}" pid="23" name="RRR_Book_Review_Time_To_WBS">
    <vt:lpwstr>&lt;WBS e.g. TnnnnR&gt;</vt:lpwstr>
  </property>
  <property fmtid="{D5CDD505-2E9C-101B-9397-08002B2CF9AE}" pid="24" name="RRR_Moderator">
    <vt:lpwstr>&lt;Name of Moderator&gt;</vt:lpwstr>
  </property>
  <property fmtid="{D5CDD505-2E9C-101B-9397-08002B2CF9AE}" pid="25" name="RRR_Reviewer1">
    <vt:lpwstr>&lt;Item Approver(s) - should always be invited to review even if the Moderator role is delegated&gt;</vt:lpwstr>
  </property>
  <property fmtid="{D5CDD505-2E9C-101B-9397-08002B2CF9AE}" pid="26" name="RRR_Reviewer2">
    <vt:lpwstr>&lt;Name of Reviewer and Role&gt;</vt:lpwstr>
  </property>
  <property fmtid="{D5CDD505-2E9C-101B-9397-08002B2CF9AE}" pid="27" name="RRR_Reviewer3">
    <vt:lpwstr>&lt;Name of Reviewer and Role&gt;</vt:lpwstr>
  </property>
  <property fmtid="{D5CDD505-2E9C-101B-9397-08002B2CF9AE}" pid="28" name="RRR_Reviewer4">
    <vt:lpwstr>A.N.Other (Checklist)</vt:lpwstr>
  </property>
  <property fmtid="{D5CDD505-2E9C-101B-9397-08002B2CF9AE}" pid="29" name="RRR_Reviewer5">
    <vt:lpwstr>A.N.Other (Typos, grammar, spelling, formatting etc.)</vt:lpwstr>
  </property>
  <property fmtid="{D5CDD505-2E9C-101B-9397-08002B2CF9AE}" pid="30" name="RRR_Reviewer6">
    <vt:lpwstr>0</vt:lpwstr>
  </property>
  <property fmtid="{D5CDD505-2E9C-101B-9397-08002B2CF9AE}" pid="31" name="RRR_StandardNo1">
    <vt:lpwstr>Document Review Entry Checks (Review Procedure)</vt:lpwstr>
  </property>
  <property fmtid="{D5CDD505-2E9C-101B-9397-08002B2CF9AE}" pid="32" name="RRR_StandardNo2">
    <vt:lpwstr>0</vt:lpwstr>
  </property>
  <property fmtid="{D5CDD505-2E9C-101B-9397-08002B2CF9AE}" pid="33" name="RRR_Checklist_Count">
    <vt:lpwstr>0</vt:lpwstr>
  </property>
  <property fmtid="{D5CDD505-2E9C-101B-9397-08002B2CF9AE}" pid="34" name="RRR_Checklist_ToGo">
    <vt:lpwstr>#REF!</vt:lpwstr>
  </property>
  <property fmtid="{D5CDD505-2E9C-101B-9397-08002B2CF9AE}" pid="35" name="RRR_Review_Effort">
    <vt:lpwstr>0</vt:lpwstr>
  </property>
  <property fmtid="{D5CDD505-2E9C-101B-9397-08002B2CF9AE}" pid="36" name="RRR_Rework_Effort">
    <vt:lpwstr>0</vt:lpwstr>
  </property>
  <property fmtid="{D5CDD505-2E9C-101B-9397-08002B2CF9AE}" pid="37" name="RRR_Moderation_Effort">
    <vt:lpwstr>0</vt:lpwstr>
  </property>
  <property fmtid="{D5CDD505-2E9C-101B-9397-08002B2CF9AE}" pid="38" name="RRR_Total_Accepted">
    <vt:lpwstr>0</vt:lpwstr>
  </property>
  <property fmtid="{D5CDD505-2E9C-101B-9397-08002B2CF9AE}" pid="39" name="RRR_Total_Rejected">
    <vt:lpwstr>21</vt:lpwstr>
  </property>
  <property fmtid="{D5CDD505-2E9C-101B-9397-08002B2CF9AE}" pid="40" name="RRR_Total_Duplicate">
    <vt:lpwstr>0</vt:lpwstr>
  </property>
  <property fmtid="{D5CDD505-2E9C-101B-9397-08002B2CF9AE}" pid="41" name="RRR_Total_Noted">
    <vt:lpwstr>12</vt:lpwstr>
  </property>
  <property fmtid="{D5CDD505-2E9C-101B-9397-08002B2CF9AE}" pid="42" name="RRR_Rvw_Outcome">
    <vt:lpwstr>0</vt:lpwstr>
  </property>
  <property fmtid="{D5CDD505-2E9C-101B-9397-08002B2CF9AE}" pid="43" name="RRR_ApprovedBy">
    <vt:lpwstr>&lt;Name of Approver&gt;</vt:lpwstr>
  </property>
  <property fmtid="{D5CDD505-2E9C-101B-9397-08002B2CF9AE}" pid="44" name="RRR_ApprovedOn">
    <vt:lpwstr>dd MMMM yyyy</vt:lpwstr>
  </property>
  <property fmtid="{D5CDD505-2E9C-101B-9397-08002B2CF9AE}" pid="45" name="RRR_Item_Issue/Revision">
    <vt:lpwstr>&lt;Issue n.n&gt; or &lt;CM System revision number&gt;</vt:lpwstr>
  </property>
  <property fmtid="{D5CDD505-2E9C-101B-9397-08002B2CF9AE}" pid="46" name="RRR_CommentsRaised">
    <vt:lpwstr>128</vt:lpwstr>
  </property>
  <property fmtid="{D5CDD505-2E9C-101B-9397-08002B2CF9AE}" pid="47" name="RRR_CommentsToAction">
    <vt:lpwstr>12</vt:lpwstr>
  </property>
  <property fmtid="{D5CDD505-2E9C-101B-9397-08002B2CF9AE}" pid="48" name="RRR_CommentsToSignOff">
    <vt:lpwstr>34</vt:lpwstr>
  </property>
  <property fmtid="{D5CDD505-2E9C-101B-9397-08002B2CF9AE}" pid="49" name="RRR_Item_Rev_After_Moderation">
    <vt:lpwstr>&lt;Issue n.n&gt; or &lt;CM System revision number&gt;</vt:lpwstr>
  </property>
  <property fmtid="{D5CDD505-2E9C-101B-9397-08002B2CF9AE}" pid="50" name="RRR_File_List_Used">
    <vt:lpwstr>NO</vt:lpwstr>
  </property>
  <property fmtid="{D5CDD505-2E9C-101B-9397-08002B2CF9AE}" pid="51" name="RRR_DevCommentInitials">
    <vt:lpwstr>[,,af,,af,,,,,,,,,,,,,,,,,,,,,,,,,,,,,,,,,,,,,,,,,,,,,,,,,,,,,,,,,,,,,,,,,,,,,,,,,,,,,,,,,,,,,,,,,,,,,,,,,,,,,,,,,,,,,,,,,,,,,,,,,,,,,,,,,,,,,,,,,,,,,,,,,,,]</vt:lpwstr>
  </property>
  <property fmtid="{D5CDD505-2E9C-101B-9397-08002B2CF9AE}" pid="52" name="RRR_DevCommentCategory">
    <vt:lpwstr>[,,01 - Mandatory (Func),,06 - No comment,,,,,,,,,,,,,,,,,,,,,,,,,,,,,,,,,,,,,,,,,,,,,,,,,,,,,,,,,,,,,,,,,,,,,,,,,,,,,,,,,,,,,,,,,,,,,,,,,,,,,,,,,,,,,,,,,,,,,,,,,,,,,,,,,,,,,,,,,,,,,,,,,,,]</vt:lpwstr>
  </property>
  <property fmtid="{D5CDD505-2E9C-101B-9397-08002B2CF9AE}" pid="53" name="RRR_DevAuthorInitials">
    <vt:lpwstr>[,,MJW,,RM,,,,,,,,,,,,,,,,,,,,,,,,,,,,,,,,,,,,,,,,,,,,,,,,,,,,,,,,,,,,,,,,,,,,,,,,,,,,,,,,,,,,,,,,,,,,,,,,,,,,,,,,,,,,,,,,,,,,,,,,,,,,,,,,,,,,,,,,,,,,,,,,,,,]</vt:lpwstr>
  </property>
  <property fmtid="{D5CDD505-2E9C-101B-9397-08002B2CF9AE}" pid="54" name="RRR_DevCommentStatuses">
    <vt:lpwstr>[,,Duplicate,,Noted,,,,,,,,,,,,,,,,,,,,,,,,,,,,,,,,,,,,,,,,,,,,,,,,,,,,,,,,,,,,,,,,,,,,,,,,,,,,,,,,,,,,,,,,,,,,,,,,,,,,,,,,,,,,,,,,,,,,,,,,,,,,,,,,,,,,,,,,,,,,,,,,,,,]</vt:lpwstr>
  </property>
  <property fmtid="{D5CDD505-2E9C-101B-9397-08002B2CF9AE}" pid="55" name="RRR_DevModeratorInitials">
    <vt:lpwstr>[,,tmw,,SP,,,,,,,,,,,,,,,,,,,,,,,,,,,,,,,,,,,,,,,,,,,,,,,,,,,,,,,,,,,,,,,,,,,,,,,,,,,,,,,,,,,,,,,,,,,,,,,,,,,,,,,,,,,,,,,,,,,,,,,,,,,,,,,,,,,,,,,,,,,,,,,,,,,]</vt:lpwstr>
  </property>
  <property fmtid="{D5CDD505-2E9C-101B-9397-08002B2CF9AE}" pid="56" name="RRR_Comments_Accepted">
    <vt:lpwstr>0</vt:lpwstr>
  </property>
  <property fmtid="{D5CDD505-2E9C-101B-9397-08002B2CF9AE}" pid="57" name="RRR_Comments_Rejected">
    <vt:lpwstr>0</vt:lpwstr>
  </property>
  <property fmtid="{D5CDD505-2E9C-101B-9397-08002B2CF9AE}" pid="58" name="RRR_Comments_Duplicated">
    <vt:lpwstr>0</vt:lpwstr>
  </property>
  <property fmtid="{D5CDD505-2E9C-101B-9397-08002B2CF9AE}" pid="59" name="RRR_Comments_Noted">
    <vt:lpwstr>0</vt:lpwstr>
  </property>
  <property fmtid="{D5CDD505-2E9C-101B-9397-08002B2CF9AE}" pid="60" name="RRR_Total_Accepted_Op">
    <vt:lpwstr>#REF!</vt:lpwstr>
  </property>
  <property fmtid="{D5CDD505-2E9C-101B-9397-08002B2CF9AE}" pid="61" name="RRR_Total_Rejected_Op">
    <vt:lpwstr>#REF!</vt:lpwstr>
  </property>
  <property fmtid="{D5CDD505-2E9C-101B-9397-08002B2CF9AE}" pid="62" name="RRR_Total_Duplicated_Op">
    <vt:lpwstr>#REF!</vt:lpwstr>
  </property>
  <property fmtid="{D5CDD505-2E9C-101B-9397-08002B2CF9AE}" pid="63" name="RRR_Total_Noted_Op">
    <vt:lpwstr>#REF!</vt:lpwstr>
  </property>
  <property fmtid="{D5CDD505-2E9C-101B-9397-08002B2CF9AE}" pid="64" name="RRR_Total_Accepted (Mandatory Op)">
    <vt:lpwstr>0</vt:lpwstr>
  </property>
  <property fmtid="{D5CDD505-2E9C-101B-9397-08002B2CF9AE}" pid="65" name="RRR_StandardNo3">
    <vt:lpwstr>0</vt:lpwstr>
  </property>
  <property fmtid="{D5CDD505-2E9C-101B-9397-08002B2CF9AE}" pid="66" name="RRR_StandardNo4">
    <vt:lpwstr>0</vt:lpwstr>
  </property>
  <property fmtid="{D5CDD505-2E9C-101B-9397-08002B2CF9AE}" pid="67" name="RRR_StandardNo5">
    <vt:lpwstr>0</vt:lpwstr>
  </property>
  <property fmtid="{D5CDD505-2E9C-101B-9397-08002B2CF9AE}" pid="68" name="RRR_StandardNo6">
    <vt:lpwstr>0</vt:lpwstr>
  </property>
  <property fmtid="{D5CDD505-2E9C-101B-9397-08002B2CF9AE}" pid="69" name="RRR_StandardNo7">
    <vt:lpwstr>0</vt:lpwstr>
  </property>
  <property fmtid="{D5CDD505-2E9C-101B-9397-08002B2CF9AE}" pid="70" name="RRR_StandardNo8">
    <vt:lpwstr>0</vt:lpwstr>
  </property>
  <property fmtid="{D5CDD505-2E9C-101B-9397-08002B2CF9AE}" pid="71" name="RRR_StandardNo9">
    <vt:lpwstr>0</vt:lpwstr>
  </property>
  <property fmtid="{D5CDD505-2E9C-101B-9397-08002B2CF9AE}" pid="72" name="RRR_Checklist_Total">
    <vt:lpwstr>#REF!</vt:lpwstr>
  </property>
  <property fmtid="{D5CDD505-2E9C-101B-9397-08002B2CF9AE}" pid="73" name="RRR_Checklist_ToSign">
    <vt:lpwstr>#REF!</vt:lpwstr>
  </property>
  <property fmtid="{D5CDD505-2E9C-101B-9397-08002B2CF9AE}" pid="74" name="RRR_Checklist_TotalPass">
    <vt:lpwstr>#REF!</vt:lpwstr>
  </property>
  <property fmtid="{D5CDD505-2E9C-101B-9397-08002B2CF9AE}" pid="75" name="RRR_Checklist_FailSafety">
    <vt:lpwstr>#REF!</vt:lpwstr>
  </property>
  <property fmtid="{D5CDD505-2E9C-101B-9397-08002B2CF9AE}" pid="76" name="RRR_Checklist_FailTechnical">
    <vt:lpwstr>#REF!</vt:lpwstr>
  </property>
  <property fmtid="{D5CDD505-2E9C-101B-9397-08002B2CF9AE}" pid="77" name="RRR_Checklist_FailStandards">
    <vt:lpwstr>#REF!</vt:lpwstr>
  </property>
  <property fmtid="{D5CDD505-2E9C-101B-9397-08002B2CF9AE}" pid="78" name="RRR_Checklist_FailRecommended">
    <vt:lpwstr>#REF!</vt:lpwstr>
  </property>
  <property fmtid="{D5CDD505-2E9C-101B-9397-08002B2CF9AE}" pid="79" name="RRR_SafetyApprovedBy">
    <vt:lpwstr>&lt;Name of Approver&gt;</vt:lpwstr>
  </property>
  <property fmtid="{D5CDD505-2E9C-101B-9397-08002B2CF9AE}" pid="80" name="RRR_SafetyApprovedOn">
    <vt:lpwstr>dd MMMM yyyy</vt:lpwstr>
  </property>
  <property fmtid="{D5CDD505-2E9C-101B-9397-08002B2CF9AE}" pid="81" name="RRR_TechnicalApprovedBy">
    <vt:lpwstr>&lt;Name of Approver&gt;</vt:lpwstr>
  </property>
  <property fmtid="{D5CDD505-2E9C-101B-9397-08002B2CF9AE}" pid="82" name="RRR_TechnicalApprovedOn">
    <vt:lpwstr>dd MMMM yyyy</vt:lpwstr>
  </property>
  <property fmtid="{D5CDD505-2E9C-101B-9397-08002B2CF9AE}" pid="83" name="RRR_Inconsistencies">
    <vt:lpwstr>4</vt:lpwstr>
  </property>
  <property fmtid="{D5CDD505-2E9C-101B-9397-08002B2CF9AE}" pid="84" name="RRR_InconsistenciesJustified">
    <vt:lpwstr>0</vt:lpwstr>
  </property>
  <property fmtid="{D5CDD505-2E9C-101B-9397-08002B2CF9AE}" pid="85" name="RRR_Total_Accepted  (Op)">
    <vt:lpwstr>#REF!</vt:lpwstr>
  </property>
</Properties>
</file>