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C10" i="17"/>
  <c r="C12"/>
  <c r="C9"/>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P238"/>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D45" i="19"/>
  <c r="D47"/>
  <c r="D51"/>
  <c r="D44"/>
  <c r="B43" i="15"/>
  <c r="B46"/>
  <c r="D49" i="19"/>
  <c r="B45" i="15"/>
  <c r="D48" i="19"/>
  <c r="D52"/>
  <c r="D53"/>
  <c r="B44" i="15"/>
  <c r="H24" i="20" l="1"/>
  <c r="I37"/>
  <c r="G51"/>
  <c r="I24"/>
  <c r="H51"/>
  <c r="F51"/>
  <c r="J51"/>
  <c r="H37"/>
  <c r="F37"/>
  <c r="F24"/>
  <c r="C8" i="19"/>
  <c r="C10"/>
  <c r="J37" i="20"/>
  <c r="I51"/>
  <c r="G24"/>
  <c r="J24"/>
  <c r="G37"/>
  <c r="C6" i="19"/>
  <c r="C11" s="1"/>
  <c r="E11" s="1"/>
  <c r="M12" i="23"/>
  <c r="B66" i="15" s="1"/>
  <c r="K12" i="23"/>
  <c r="F11" s="1"/>
  <c r="B11" i="19"/>
  <c r="B40" i="15"/>
  <c r="B14" i="19"/>
  <c r="D46"/>
  <c r="B47" i="15"/>
  <c r="K51" i="20" l="1"/>
  <c r="K52"/>
  <c r="K37"/>
  <c r="K24"/>
  <c r="K25"/>
  <c r="K38"/>
  <c r="B65" i="15"/>
  <c r="H11" i="23"/>
  <c r="D14" i="19"/>
  <c r="C14"/>
  <c r="E14" s="1"/>
  <c r="D50"/>
  <c r="D54"/>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<sst xmlns="http://schemas.openxmlformats.org/spreadsheetml/2006/main" count="2070" uniqueCount="1058">
  <si>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</si>
  <si>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</si>
  <si>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</si>
  <si>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</si>
  <si>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</si>
  <si>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</si>
  <si>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</si>
  <si>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</si>
  <si>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</si>
  <si>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</si>
  <si>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</si>
  <si>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</si>
  <si>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</si>
  <si>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</si>
  <si>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</si>
  <si>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</si>
  <si>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</si>
  <si>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</si>
  <si>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</si>
  <si>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</si>
  <si>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</si>
  <si>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</si>
  <si>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</si>
  <si>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</si>
  <si>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</si>
  <si>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</si>
  <si>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</si>
  <si>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</si>
  <si>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</si>
  <si>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</si>
  <si>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</si>
  <si>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</si>
  <si>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</si>
  <si>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</si>
  <si>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</si>
  <si>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</si>
  <si>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</si>
  <si>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</si>
  <si>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</si>
  <si>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</si>
  <si>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</si>
  <si>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</si>
  <si>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</si>
  <si>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</si>
  <si>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</si>
  <si>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</si>
  <si>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</si>
  <si>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</si>
  <si>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</si>
  <si>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</si>
  <si>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</si>
  <si>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</si>
  <si>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</si>
  <si>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</si>
  <si>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</si>
  <si>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</si>
  <si>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</si>
  <si>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</si>
  <si>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</si>
  <si>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</si>
  <si>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</si>
  <si>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</si>
  <si>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</si>
  <si>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</si>
  <si>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</si>
  <si>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</si>
  <si>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</si>
  <si>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</si>
  <si>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</si>
  <si>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</si>
  <si>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</si>
  <si>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</si>
  <si>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</si>
  <si>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</si>
  <si>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</si>
  <si>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</si>
  <si>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</si>
  <si>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</si>
  <si>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</si>
  <si>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</si>
  <si>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</si>
  <si>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</si>
  <si>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</si>
  <si>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</si>
  <si>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</si>
  <si>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</si>
  <si>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</si>
  <si>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</si>
  <si>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</si>
  <si>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</si>
  <si>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</si>
  <si>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</si>
  <si>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</si>
  <si>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</si>
  <si>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</si>
  <si>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</si>
  <si>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</si>
  <si>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</si>
  <si>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</si>
  <si>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</si>
  <si>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</si>
  <si>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</si>
  <si>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</si>
  <si>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</si>
  <si>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</si>
  <si>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</si>
  <si>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</si>
  <si>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</si>
  <si>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</si>
  <si>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</si>
  <si>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</si>
  <si>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</si>
  <si>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</si>
  <si>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</si>
  <si>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</si>
  <si>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</si>
  <si>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</si>
  <si>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</si>
  <si>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</si>
  <si>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</si>
  <si>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</si>
  <si>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</si>
  <si>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</si>
  <si>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</si>
  <si>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</si>
  <si>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</si>
  <si>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</si>
  <si>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</si>
  <si>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</si>
  <si>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</si>
  <si>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</si>
  <si>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</si>
  <si>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</si>
  <si>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</si>
  <si>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</si>
  <si>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</si>
  <si>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</si>
  <si>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</si>
  <si>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</si>
  <si>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</si>
  <si>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</si>
  <si>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</si>
  <si>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</si>
  <si>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</si>
  <si>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</si>
  <si>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</si>
  <si>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</si>
  <si>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</si>
  <si>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</si>
  <si>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</si>
  <si>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</si>
  <si>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</si>
  <si>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</si>
  <si>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</si>
  <si>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</si>
  <si>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</si>
  <si>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</si>
  <si>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</si>
  <si>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</si>
  <si>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</si>
  <si>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</si>
  <si>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</si>
  <si>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</si>
  <si>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</si>
  <si>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</si>
  <si>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</si>
  <si>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</si>
  <si>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</si>
  <si>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</si>
  <si>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</si>
  <si>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</si>
  <si>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</si>
  <si>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</si>
  <si>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</si>
  <si>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</si>
  <si>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</si>
  <si>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</si>
  <si>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</si>
  <si>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</si>
  <si>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</si>
  <si>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</si>
  <si>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</si>
  <si>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</si>
  <si>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</si>
  <si>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</si>
  <si>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</si>
  <si>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</si>
  <si>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</si>
  <si>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</si>
  <si>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</si>
  <si>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</si>
  <si>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</si>
  <si>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</si>
  <si>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</si>
  <si>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</si>
  <si>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</si>
  <si>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</si>
  <si>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</si>
  <si>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</si>
  <si>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</si>
  <si>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</si>
  <si>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</si>
  <si>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</si>
  <si>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</si>
  <si>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</si>
  <si>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</si>
  <si>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</si>
  <si>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</si>
  <si>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</si>
  <si>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</si>
  <si>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</si>
  <si>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</si>
  <si>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</si>
  <si>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</si>
  <si>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</si>
  <si>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</si>
  <si>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</si>
  <si>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</si>
  <si>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</si>
  <si>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</si>
  <si>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</si>
  <si>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</si>
  <si>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</si>
  <si>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</si>
  <si>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</si>
  <si>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</si>
  <si>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</si>
  <si>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</si>
  <si>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</si>
  <si>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</si>
  <si>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</si>
  <si>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</si>
  <si>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</si>
  <si>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</si>
  <si>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</si>
  <si>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</si>
  <si>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</si>
  <si>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</si>
  <si>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</si>
  <si>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</si>
  <si>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</si>
  <si>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</si>
  <si>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</si>
  <si>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</si>
  <si>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</si>
  <si>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</si>
  <si>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</si>
  <si>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</si>
  <si>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</si>
  <si>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</si>
  <si>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</si>
  <si>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</si>
  <si>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</si>
  <si>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</si>
  <si>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</si>
  <si>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</si>
  <si>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</si>
  <si>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</si>
  <si>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</si>
  <si>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</si>
  <si>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</si>
  <si>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</si>
  <si>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</si>
  <si>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</si>
  <si>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</si>
  <si>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</si>
  <si>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</si>
  <si>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</si>
  <si>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</si>
  <si>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</si>
  <si>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</si>
  <si>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</si>
  <si>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</si>
  <si>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</si>
  <si>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</si>
  <si>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</si>
  <si>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</si>
  <si>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</si>
  <si>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</si>
  <si>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</si>
  <si>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</si>
  <si>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</si>
  <si>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</si>
  <si>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</si>
  <si>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</si>
  <si>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</si>
  <si>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</si>
  <si>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</si>
  <si>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</si>
  <si>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</si>
  <si>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</si>
  <si>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</si>
  <si>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</si>
  <si>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</si>
  <si>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</si>
  <si>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</si>
  <si>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</si>
  <si>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</si>
  <si>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</si>
  <si>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</si>
  <si>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</si>
  <si>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</si>
  <si>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</si>
  <si>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</si>
  <si>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</si>
  <si>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</si>
  <si>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</si>
  <si>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</si>
  <si>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</si>
  <si>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</si>
  <si>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</si>
  <si>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</si>
  <si>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</si>
  <si>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</si>
  <si>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</si>
  <si>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</si>
  <si>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</si>
  <si>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</si>
  <si>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</si>
  <si>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</si>
  <si>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</si>
  <si>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</si>
  <si>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</si>
  <si>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</si>
  <si>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</si>
  <si>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</si>
  <si>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</si>
  <si>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</si>
  <si>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</si>
  <si>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</si>
  <si>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</si>
  <si>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</si>
  <si>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</si>
  <si>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</si>
  <si>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</si>
  <si>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</si>
  <si>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</si>
  <si>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</si>
  <si>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</si>
  <si>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</si>
  <si>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</si>
  <si>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</si>
  <si>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</si>
  <si>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</si>
  <si>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</si>
  <si>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</si>
  <si>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</si>
  <si>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</si>
  <si>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</si>
  <si>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</si>
  <si>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</si>
  <si>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</si>
  <si>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</si>
  <si>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</si>
  <si>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</si>
  <si>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</si>
  <si>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</si>
  <si>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</si>
  <si>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</si>
  <si>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</si>
  <si>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</si>
  <si>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</si>
  <si>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</si>
  <si>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</si>
  <si>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</si>
  <si>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</si>
  <si>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</si>
  <si>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</si>
  <si>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</si>
  <si>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</si>
  <si>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</si>
  <si>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</si>
  <si>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</si>
  <si>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</si>
  <si>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</si>
  <si>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</si>
  <si>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</si>
  <si>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</si>
  <si>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</si>
  <si>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</si>
  <si>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</si>
  <si>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</si>
  <si>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</si>
  <si>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</si>
  <si>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</si>
  <si>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</si>
  <si>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</si>
  <si>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</si>
  <si>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</si>
  <si>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</si>
  <si>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</si>
  <si>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</si>
  <si>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</si>
  <si>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</si>
  <si>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</si>
  <si>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</si>
  <si>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</si>
  <si>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</si>
  <si>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</si>
  <si>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</si>
  <si>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</si>
  <si>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</si>
  <si>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</si>
  <si>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</si>
  <si>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</si>
  <si>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</si>
  <si>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</si>
  <si>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</si>
  <si>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</si>
  <si>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</si>
  <si>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</si>
  <si>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</si>
  <si>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</si>
  <si>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</si>
  <si>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</si>
  <si>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</si>
  <si>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</si>
  <si>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</si>
  <si>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</si>
  <si>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</si>
  <si>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</si>
  <si>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</si>
  <si>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</si>
  <si>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</si>
  <si>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</si>
  <si>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</si>
  <si>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</si>
  <si>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</si>
  <si>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</si>
  <si>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</si>
  <si>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</si>
  <si>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</si>
  <si>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</si>
  <si>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</si>
  <si>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</si>
  <si>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</si>
  <si>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</si>
  <si>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</si>
  <si>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</si>
  <si>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</si>
  <si>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</si>
  <si>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</si>
  <si>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</si>
  <si>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</si>
  <si>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</si>
  <si>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</si>
  <si>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</si>
  <si>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</si>
  <si>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</si>
  <si>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</si>
  <si>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</si>
  <si>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</si>
  <si>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</si>
  <si>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</si>
  <si>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</si>
  <si>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</si>
  <si>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</si>
  <si>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</si>
  <si>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</si>
  <si>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</si>
  <si>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</si>
  <si>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</si>
  <si>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</si>
  <si>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</si>
  <si>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</si>
  <si>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</si>
  <si>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</si>
  <si>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</si>
  <si>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</si>
  <si>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</si>
  <si>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</si>
  <si>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</si>
  <si>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</si>
  <si>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</si>
  <si>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</si>
  <si>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</si>
  <si>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</si>
  <si>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</si>
  <si>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</si>
  <si>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</si>
  <si>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</si>
  <si>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</si>
  <si>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</si>
  <si>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</si>
  <si>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</si>
  <si>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</si>
  <si>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</si>
  <si>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</si>
  <si>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</si>
  <si>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</si>
  <si>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</si>
  <si>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</si>
  <si>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</si>
  <si>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</si>
  <si>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</si>
  <si>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</si>
  <si>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</si>
  <si>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</si>
  <si>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</si>
  <si>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</si>
  <si>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</si>
  <si>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</si>
  <si>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</si>
  <si>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</si>
  <si>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</si>
  <si>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</si>
  <si>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</si>
  <si>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</si>
  <si>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</si>
  <si>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</si>
  <si>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</si>
  <si>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</si>
  <si>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</si>
  <si>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</si>
  <si>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</si>
  <si>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</si>
  <si>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</si>
  <si>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</si>
  <si>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</si>
  <si>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</si>
  <si>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</si>
  <si>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</si>
  <si>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</si>
  <si>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</si>
  <si>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</si>
  <si>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</si>
  <si>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</si>
  <si>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</si>
  <si>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</si>
  <si>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</si>
  <si>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</si>
  <si>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</si>
  <si>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</si>
  <si>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</si>
  <si>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</si>
  <si>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</si>
  <si>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</si>
  <si>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</si>
  <si>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</si>
  <si>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</si>
  <si>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</si>
  <si>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</si>
  <si>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</si>
  <si>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</si>
  <si>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</si>
  <si>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</si>
  <si>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</si>
  <si>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</si>
  <si>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</si>
  <si>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</si>
  <si>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</si>
  <si>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</si>
  <si>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</si>
  <si>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</si>
  <si>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</si>
  <si>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</si>
  <si>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</si>
  <si>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</si>
  <si>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</si>
  <si>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</si>
  <si>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</si>
  <si>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</si>
  <si>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</si>
  <si>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</si>
  <si>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</si>
  <si>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</si>
  <si>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</si>
  <si>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</si>
  <si>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</si>
  <si>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</si>
  <si>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</si>
  <si>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</si>
  <si>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</si>
  <si>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</si>
  <si>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</si>
  <si>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</si>
  <si>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</si>
  <si>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</si>
  <si>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</si>
  <si>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</si>
  <si>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</si>
  <si>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</si>
  <si>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</si>
  <si>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</si>
  <si>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</si>
  <si>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</si>
  <si>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</si>
  <si>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</si>
  <si>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</si>
  <si>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</si>
  <si>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</si>
  <si>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</si>
  <si>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</si>
  <si>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</si>
  <si>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</si>
  <si>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</si>
  <si>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</si>
  <si>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</si>
  <si>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</si>
  <si>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</si>
  <si>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</si>
  <si>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</si>
  <si>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</si>
  <si>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</si>
  <si>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</si>
  <si>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</si>
  <si>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</si>
  <si>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</si>
  <si>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</si>
  <si>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</si>
  <si>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</si>
  <si>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</si>
  <si>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</si>
  <si>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</si>
  <si>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</si>
  <si>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</si>
  <si>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</si>
  <si>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</si>
  <si>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</si>
  <si>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</si>
  <si>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</si>
  <si>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</si>
  <si>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</si>
  <si>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</si>
  <si>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</si>
  <si>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</si>
  <si>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</si>
  <si>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</si>
  <si>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</si>
  <si>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</si>
  <si>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</si>
  <si>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</si>
  <si>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</si>
  <si>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</si>
  <si>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</si>
  <si>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</si>
  <si>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</si>
  <si>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</si>
  <si>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</si>
  <si>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</si>
  <si>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</si>
  <si>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</si>
  <si>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</si>
  <si>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</si>
  <si>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</si>
  <si>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</si>
  <si>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</si>
  <si>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</si>
  <si>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</si>
  <si>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</si>
  <si>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</si>
  <si>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</si>
  <si>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</si>
  <si>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</si>
  <si>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</si>
  <si>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</si>
  <si>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</si>
  <si>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</si>
  <si>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</si>
  <si>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</si>
  <si>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</si>
  <si>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</si>
  <si>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</si>
  <si>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</si>
  <si>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</si>
  <si>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</si>
  <si>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</si>
  <si>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</si>
  <si>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</si>
  <si>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</si>
  <si>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</si>
  <si>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</si>
  <si>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</si>
  <si>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</si>
  <si>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</si>
  <si>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</si>
  <si>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</si>
  <si>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</si>
  <si>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</si>
  <si>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</si>
  <si>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</si>
  <si>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</si>
  <si>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</si>
  <si>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</si>
  <si>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</si>
  <si>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</si>
  <si>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</si>
  <si>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</si>
  <si>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</si>
  <si>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</si>
  <si>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</si>
  <si>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</si>
  <si>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</si>
  <si>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</si>
  <si>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</si>
  <si>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</si>
  <si>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</si>
  <si>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</si>
  <si>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</si>
  <si>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</si>
  <si>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</si>
  <si>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</si>
  <si>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</si>
  <si>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</si>
  <si>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</si>
  <si>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</si>
  <si>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</si>
  <si>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</si>
  <si>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</si>
  <si>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</si>
  <si>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</si>
  <si>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</si>
  <si>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</si>
  <si>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</si>
  <si>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</si>
  <si>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</si>
  <si>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</si>
  <si>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</si>
  <si>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</si>
  <si>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</si>
  <si>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</si>
  <si>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</si>
  <si>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</si>
  <si>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</si>
  <si>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</si>
  <si>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</si>
  <si>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</si>
  <si>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</si>
  <si>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</si>
  <si>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</si>
  <si>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</si>
  <si>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</si>
  <si>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</si>
  <si>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</si>
  <si>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</si>
  <si>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</si>
  <si>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</si>
  <si>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</si>
  <si>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</si>
  <si>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</si>
  <si>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</si>
  <si>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</si>
  <si>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</si>
  <si>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</si>
  <si>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</si>
  <si>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</si>
  <si>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</si>
  <si>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</si>
  <si>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</si>
  <si>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</si>
  <si>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</si>
  <si>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</si>
  <si>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</si>
  <si>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</si>
  <si>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</si>
  <si>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</si>
  <si>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</si>
  <si>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</si>
  <si>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</si>
  <si>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</si>
  <si>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</si>
  <si>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</si>
  <si>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</si>
  <si>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</si>
  <si>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</si>
  <si>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</si>
  <si>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</si>
  <si>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</si>
  <si>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</si>
  <si>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</si>
  <si>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</si>
  <si>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</si>
  <si>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</si>
  <si>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</si>
  <si>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</si>
  <si>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</si>
  <si>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</si>
  <si>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</si>
  <si>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</si>
  <si>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</si>
  <si>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</si>
  <si>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</si>
  <si>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</si>
  <si>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</si>
  <si>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</si>
  <si>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</si>
  <si>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</si>
  <si>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</si>
  <si>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</si>
  <si>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</si>
  <si>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</si>
  <si>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</si>
  <si>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</si>
  <si>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</si>
  <si>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</si>
  <si>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</si>
  <si>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</si>
  <si>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</si>
  <si>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</si>
  <si>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</si>
  <si>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</si>
  <si>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</si>
  <si>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</si>
  <si>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</si>
  <si>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</si>
  <si>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</si>
  <si>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</si>
  <si>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</si>
  <si>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</si>
  <si>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</si>
  <si>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</si>
  <si>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</si>
  <si>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</si>
  <si>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</si>
  <si>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</si>
  <si>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</si>
  <si>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</si>
  <si>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</si>
  <si>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</si>
  <si>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</si>
  <si>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</si>
  <si>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</si>
  <si>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</si>
  <si>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</si>
  <si>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</si>
  <si>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</si>
  <si>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</si>
  <si>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</si>
  <si>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</si>
  <si>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</si>
  <si>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</si>
  <si>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</si>
  <si>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</si>
  <si>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</si>
  <si>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</si>
  <si>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</si>
  <si>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</si>
  <si>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</si>
  <si>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</si>
  <si>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</si>
  <si>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</si>
  <si>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</si>
  <si>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</si>
  <si>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</si>
  <si>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</si>
  <si>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</si>
  <si>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</si>
  <si>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</si>
  <si>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</si>
  <si>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</si>
  <si>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</si>
  <si>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</si>
  <si>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</si>
  <si>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</si>
  <si>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</si>
  <si>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</si>
  <si>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</si>
  <si>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</si>
  <si>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</si>
  <si>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</si>
  <si>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</si>
  <si>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</si>
  <si>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</si>
  <si>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</si>
  <si>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</si>
  <si>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</si>
  <si>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</si>
  <si>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</si>
  <si>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</si>
  <si>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</si>
  <si>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</si>
  <si>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</si>
  <si>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</si>
  <si>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</si>
  <si>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</si>
  <si>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</si>
  <si>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</si>
  <si>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</si>
  <si>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</si>
  <si>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</si>
  <si>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</si>
  <si>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</si>
  <si>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</si>
  <si>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</si>
  <si>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</si>
  <si>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</si>
  <si>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</si>
  <si>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</si>
  <si>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</si>
  <si>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</si>
  <si>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</si>
  <si>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</si>
  <si>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</si>
  <si>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</si>
  <si>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</si>
  <si>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</si>
  <si>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</si>
  <si>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</si>
  <si>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</si>
  <si>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</si>
  <si>
    <t>Corrected</t>
  </si>
  <si>
    <t>Text updated</t>
  </si>
  <si>
    <t>Statement removed as
it was partially incorrect and is covered elsewhere.</t>
  </si>
  <si>
    <t>Duplicate of SM/6.</t>
  </si>
  <si>
    <t>6.3.3, 6.3.4</t>
  </si>
  <si>
    <t>42, 43</t>
  </si>
  <si>
    <t>These sections just talk about Global and Depends aspects respectively. Do
the rules need to reflect the possibility of having a Refined_Global or Refined_Depends aspect?</t>
  </si>
  <si>
    <t>It doesn't appear to be
possible to do this in ReST.</t>
  </si>
  <si>
    <t>This is just because of
where it falls on the
page (i.e. there is only enough space at the bottom of the page to include ToDo, rather than the text of the ToDo.</t>
  </si>
  <si>
    <t>That is the
consequence: but it is needed if we are going to do generative analysis, since we need to distinguish between  a missing global and the intention to have no globals.</t>
  </si>
  <si>
    <t>Duplicate of AH/1.</t>
  </si>
  <si>
    <t>Note added.</t>
  </si>
  <si>
    <t>Updated to say "observable".</t>
  </si>
  <si>
    <t>Sentence removed.</t>
  </si>
  <si>
    <t>Word removed</t>
  </si>
  <si>
    <t>Terms have been
italicised.</t>
  </si>
  <si>
    <t>To be left in for the
moment; this will be discussed at the Advisory Panel.</t>
  </si>
  <si>
    <t>The definition of input
and output is given in
the Static Section in 6.1, and this covers what you want.</t>
  </si>
  <si>
    <t>That isn't necessary in
explanatory text and is
instead made clear in the relevant rule/s.</t>
  </si>
  <si>
    <t>They denote text that is
redundant in terms of information content, in that it just attempts to make the explanation clearer.</t>
  </si>
  <si>
    <t>Text added to say we
won't do this where
customers haven't found the language feature useful.</t>
  </si>
  <si>
    <t>Duplicate of AH/4.</t>
  </si>
  <si>
    <t>It is part of the ToDo.</t>
  </si>
  <si>
    <t>Text update to make
clear that content in scope for this draft issue will only be regarded as definitive when the final document is ready.</t>
  </si>
  <si>
    <t xml:space="preserve">Have provided a
natural language definition. </t>
  </si>
  <si>
    <t>We refer throughout to
the SPARK 2014 language and toolset. I have updated the text to make sure it always refers to both, rather than just the toolset.</t>
  </si>
  <si>
    <t xml:space="preserve"> FS/01</t>
  </si>
  <si>
    <t>JIB/01</t>
  </si>
  <si>
    <t xml:space="preserve"> 3.2.4 </t>
  </si>
  <si>
    <t xml:space="preserve"> YM03 </t>
  </si>
  <si>
    <t xml:space="preserve"> The LRM says that SPARK 2014 pragmas either have no dynamics semantics, or are used "to define assertions whose success shall be proven statically". This is not the case, as Loop_Invariant and Loop_Variant can perfectly be used for their dynamic role only.</t>
  </si>
  <si>
    <t xml:space="preserve"> 6/2 </t>
  </si>
  <si>
    <t xml:space="preserve"> YM02 </t>
  </si>
  <si>
    <t xml:space="preserve"> The Verification Rules are presented as enforcement of flow analysis only. This is not the case, for example Verification Rules for Loop_Invariant have nothing to do with flow analysis.</t>
  </si>
  <si>
    <t xml:space="preserve"> 5/1st para after bullet points </t>
  </si>
  <si>
    <t xml:space="preserve"> YM01 </t>
  </si>
  <si>
    <t xml:space="preserve"> 58 - 59 </t>
  </si>
  <si>
    <t xml:space="preserve"> 7.2.8 &amp; 7.2.9 </t>
  </si>
  <si>
    <t xml:space="preserve"> JK6 </t>
  </si>
  <si>
    <t xml:space="preserve"> 4/1-4 </t>
  </si>
  <si>
    <t xml:space="preserve"> JK5 </t>
  </si>
  <si>
    <t xml:space="preserve"> 3/5 </t>
  </si>
  <si>
    <t xml:space="preserve"> JK4 </t>
  </si>
  <si>
    <t xml:space="preserve"> If one uses pragmas, any Ada compiler can be used, not only an Ada 2012 compiler, right?</t>
  </si>
  <si>
    <t xml:space="preserve"> 3/4 </t>
  </si>
  <si>
    <t xml:space="preserve"> JK3 </t>
  </si>
  <si>
    <t xml:space="preserve"> 3/3 </t>
  </si>
  <si>
    <t xml:space="preserve"> JK2 </t>
  </si>
  <si>
    <t xml:space="preserve"> n/a </t>
  </si>
  <si>
    <t xml:space="preserve"> introduction </t>
  </si>
  <si>
    <t xml:space="preserve"> JK1 </t>
  </si>
  <si>
    <t xml:space="preserve"> why are some things bolded (e.g. "Pre") and some not (e.g. "Post")?</t>
  </si>
  <si>
    <t xml:space="preserve"> A.2.1 </t>
  </si>
  <si>
    <t xml:space="preserve"> STT/16 </t>
  </si>
  <si>
    <t xml:space="preserve"> quantified expression needs to be parenthesized:   Post =&gt; (for all I in X’Range =&gt; (X (I) = 0)); Also, why is "Depends" in bold, while Pre and Post are not?</t>
  </si>
  <si>
    <t xml:space="preserve"> A.1.3 </t>
  </si>
  <si>
    <t xml:space="preserve"> STT/15 </t>
  </si>
  <si>
    <t xml:space="preserve"> "Swap" example used to explain shift from "Derives" to "Depends" is not helpful because it is symmetric.  It starts from:   Derives X from Y &amp; Y from X and goes to Depends =&gt; (X =&gt; Y, Y =&gt; X) so it is unclear whether "Derives" and "Depends" use essentially the same order or if the order should be reversed.</t>
  </si>
  <si>
    <t xml:space="preserve"> A.1.1 </t>
  </si>
  <si>
    <t xml:space="preserve"> STT/14 </t>
  </si>
  <si>
    <t xml:space="preserve"> (Editorial) Two paragraphs are numbered "1.". The paragraph numbered "2." has the following typo: "The specification is [is] checked..." The paragraph numbered "3." should use "that" rather than "which": "... with a property list [which] {that} includes the Volatile property..." In the Example, a comment should be revised:  "... abstract state name{d} State ..." In the Example, "Global" is bolded in some cases and not in others. In general the "bolding" is not consistent (here and elsewhere).</t>
  </si>
  <si>
    <t xml:space="preserve"> p. 50 </t>
  </si>
  <si>
    <t xml:space="preserve"> STT/13 </t>
  </si>
  <si>
    <t xml:space="preserve"> Here is a more general question about private descendants: We seem to be treating them as "part" of the parent, but whether or not a particular private descendant is included in a program can depend on whether it is mentioned in a "with" clause by a public descendant.  So this implies that some private descendants might not be included, even though the parent is included in a program.  How does this affect the model? Should we treat private descendants on which the parent has no dependence as though there were a public descendant? Similarly, should we treat public descendants on which the parent *has* a dependence in the way we were proposing to treat private descendants? Or should we treat each library package independently? (That would be the simplest!)</t>
  </si>
  <si>
    <t xml:space="preserve"> STT/12 </t>
  </si>
  <si>
    <t xml:space="preserve"> In the following: 2. The hidden state of a package P consists of: * any variables declared immediately within the private part or body of P; and * the visible state and state abstractions of any packages declared immediately within the private part or body of P, and of any private child units of P or of their public descendants. This seems to leave out the hidden state of nested packages.  Shouldn't we change the last bullet to be two bullets: * the hidden state of any packages declared immediately within the visible   part of P * the hidden and visible state and state abstractions of any packages declared   immediately within the private part or body of P, and of any private child  units of P or of their public descendants.</t>
  </si>
  <si>
    <t xml:space="preserve"> STT/11 </t>
  </si>
  <si>
    <t xml:space="preserve"> In the following legality rule:  7. A package_declaration or generic_package_declaration requires a     completion [(a body)] if it contains a non-null Abstract State aspect     specification. the magic phrase "requires a completion" (of 3.11.1 fame) appears.  I suspect it should be changed to "shall have a completion" to avoid implying that the presence of this aspect triggers the "requires a completion" semantics. My belief is that we still want the programmer to insert a "pragma Elaborate_Body" for example, if there is nothing else in the spec that would normally trigger the "requires a completion" semantics. I think we want to be able to erase Abstract_State aspects and still have a legal Ada program. NOTE: The "requires completion" wording also appears later in 7.1.3, and should probably also be changed to "shall have a completion."</t>
  </si>
  <si>
    <t xml:space="preserve"> p. 49 (and later) </t>
  </si>
  <si>
    <t xml:space="preserve"> STT/10 </t>
  </si>
  <si>
    <t xml:space="preserve"> In syntax descriptions, reserved words should be bolded or quoted or upper-cased or somehow distinguished from non-terminals.  E.g., in:   ( state_name with property_list ) the "with" should be &lt;b&gt;with&lt;/b&gt; or WITH or 'with' or something like that.</t>
  </si>
  <si>
    <t xml:space="preserve"> p. 49 </t>
  </si>
  <si>
    <t xml:space="preserve"> 7.1.3 (and perhaps elsewhere) </t>
  </si>
  <si>
    <t xml:space="preserve"> STT/9 </t>
  </si>
  <si>
    <t xml:space="preserve"> No need to capitalize "aspect."  E.g. "Global Aspect" =&gt; "Global aspect".</t>
  </si>
  <si>
    <t xml:space="preserve"> p. 49 (and elsewhere) </t>
  </si>
  <si>
    <t xml:space="preserve"> 7.1.3 (and probably elsewhere) </t>
  </si>
  <si>
    <t xml:space="preserve"> STT/8 </t>
  </si>
  <si>
    <t xml:space="preserve"> "The hidden state of a package may be represented by one or more state abstractions, with [each] {any} pair of state abstractions representing disjoint sets of hidden variables."</t>
  </si>
  <si>
    <t xml:space="preserve"> STT/7 </t>
  </si>
  <si>
    <t xml:space="preserve">   the parenthetical parts of this sentence are confusing: State abstraction provides a mechanism for naming, in a package’s visible_part, state (typically variable declarations) that will be declared within the package’s body (or private_part, or within private descendants of the package). It would make sense to say "(typically variables)" since the variables are the state, not their declarations.  But it would be even better to leave it out, or move it later in the sentence.  It also doesn't make sense to parenthesize "or private_part, or within private descendants of the package" since there is nothing parenthetical about this. I also find it funny to say that State abstraction is primarily about "naming", and also note that the names are used outside of the visible part, e.g. during a refinement in the body.  All in all, I think this sentence should be rewritten, or perhaps even dropped completely.</t>
  </si>
  <si>
    <t xml:space="preserve"> STT/6 </t>
  </si>
  <si>
    <t xml:space="preserve"> "... since modular [is] analysis {is} performed before ..." </t>
  </si>
  <si>
    <t xml:space="preserve"> STT/5 </t>
  </si>
  <si>
    <t xml:space="preserve"> singular/plural mismatch, and "a assertion": A volatile variable or state abstractions cannot be mentioned directly in a assertion expression as the reading of a volatile may affect its value.</t>
  </si>
  <si>
    <t xml:space="preserve"> 7.1.2 </t>
  </si>
  <si>
    <t xml:space="preserve"> STT/4 </t>
  </si>
  <si>
    <t xml:space="preserve"> Ditto for this sentence: In a Depends aspect it need not appear as an input an implicit self dependency of the entity will be declared.</t>
  </si>
  <si>
    <t xml:space="preserve"> STT/3 </t>
  </si>
  <si>
    <t xml:space="preserve"> This sentence is missing something (a semicolon or a dash?): In a Depends aspect it need not appear as an output an implicit self dependency of the entity will be declared.</t>
  </si>
  <si>
    <t xml:space="preserve"> STT/2</t>
  </si>
  <si>
    <t xml:space="preserve"> This paragraph is confusing.  What is a "more obvious view"?  Perhaps a more "intuitive" or "natural" view?  In the phrase "this may be given explicitly" to what does "this" refer? The read or update of a volatile variable or state abstraction is considered to be both a read and an update of the entity. In Global and Depends aspects this means that volatile entities will be regarded as being both an input and an output and this may be given explicitly. However if a variable or abstract state is explicitly designated as being a Volatile Input or a Volatile Output, an abbreviated form of the Global and Depends aspect is permitted which gives a more obvious view of the global and dependency.</t>
  </si>
  <si>
    <t xml:space="preserve"> STT/1 </t>
  </si>
  <si>
    <t xml:space="preserve"> It is visible that the introduction has been written by several persons simultaneously; it lacks coherence, there are repetitions. Nothing serious though.</t>
  </si>
  <si>
    <t xml:space="preserve"> Mixture of test and proof: that's correct, but it is unnecessarily restrictive. Can we say something like: Support for proof of only part of the program, and combination with other verification methods such as testing.</t>
  </si>
  <si>
    <t xml:space="preserve"> I think there is no need to mention the tools. SPARK 2014 is a language, and exists independently of the tools. I also think it would be OK for the language definition to include more than is supported by the first release, and it would also be OK for the tool to support more than just what is defined in the language definition. This is already the case anyway (GNAT has some vendor-specific pragmas).</t>
  </si>
  <si>
    <t xml:space="preserve"> I do not feel the need for Refined_Pre and Refined_Post. The same effect can be easily achieved by a wrapper subprogram, where the wrapped subprogram has the refined pre/post as normal pre/post. </t>
  </si>
  <si>
    <r>
      <t xml:space="preserve"> If subtype predicates are to be included in SPARK 2014, additional verification rules should be created, so that formal verification is possible at the level of an individual subprogram. In particular, the variables that are mentioned in the Global contract of a subprogram should have the corresponding predicate verified on entry (for IN and IN OUT) and exit (for OUT and IN OUT) of the subprogram. Also, the Ada RM rules (see RM 3.2.4 Dynamic Semantics) only define checks for values of parameters whose type has a subtype predicate attached. But no check is performed when the subtype predicate is attached to a component of the type. For example, in the code below, no violation is detected when calling Violate on a parameter of type T. It would be expected in SPARK to have the same kind of rules that Ada has for type invariants (that apply on any "part" of an object that has a type invariant attached).
</t>
    </r>
    <r>
      <rPr>
        <b/>
        <sz val="10"/>
        <rFont val="Franklin Gothic Book"/>
        <family val="2"/>
      </rPr>
      <t>Comment continued in next box.</t>
    </r>
  </si>
  <si>
    <t xml:space="preserve">procedure P is
   type R is tagged record
      A, B : Integer;
   end record with Predicate =&gt; R.A = R.B;
   procedure Violate (C : in out R) is
   begin
      C.A := C.B + 1;
   end Violate;
   type T is record
      C : R;
   end record;
   procedure Violate (D : in out T) is
   begin
      D.C.A := D.C.A + 1;
   end Violate;
   E : T;
begin
   E := (C =&gt; (A | B =&gt; 0));
   Violate (E);    --  not detected
   E := (C =&gt; (A | B =&gt; 0));
   Violate (E.C);  --  detected
end P;
As subtype predicates are an important specification feature of Ada 2012, it would not be understandable to leave it outside SPARK 2014. But this requires work to define sensible Verification Rules. Note that it may be appropriate to define reasonable constraints on the content of the predicate in SPARK 2014 (like the fact the expression cannot refer to global variables), to both simplify verification and facilitate their correct use.
</t>
  </si>
  <si>
    <t xml:space="preserve"> In the section Verification Rules, it is not clear what is described here. Maybe there should be a sentence per pragma? As for Assume, the manual states that it is not required to prove that the Boolean expression is true. For a reader, it sounds like this proof may be attempted though and raise a warning if it is not proved. As I understand pragma Assume, it is not the case. The proof should not be attempted but the result should be assumed to be true (the manual says that it can be assumed only). An other small point, if Loop_Invariant is described 5.5.3 Language Definition, shouldn't the information about it being a cut point appear rather in this section?</t>
  </si>
  <si>
    <t xml:space="preserve"> 5.9.2 </t>
  </si>
  <si>
    <t xml:space="preserve"> CD1 </t>
  </si>
  <si>
    <t xml:space="preserve"> Expanding on YM08, there should be visibility rules for verification. Otherwise, nothing prevents a verification tool from looking at the body of a subprogram inside the package body of P to perform the verification of the body of another subprogram inside the package body of Q. If SPARK 2014 defines a language for modular verification, visibility rules that prevent the above should be given.</t>
  </si>
  <si>
    <t xml:space="preserve"> YM09 </t>
  </si>
  <si>
    <t xml:space="preserve"> Verification tools should be prevented from using the value of the deferred constant when analyzing a unit which has no visibility over the private part where the value of the constant is defined.</t>
  </si>
  <si>
    <t xml:space="preserve"> YM08 </t>
  </si>
  <si>
    <t xml:space="preserve"> In order for type invariants to be always true outside of the unit implementing the type, restrictions should be imposed on the expression stating the type invariant property. In particular, it should not mention global variables, or else it could be broken anytime by code modifying the global variable. Additionally, there should be Verification Rules that state in which cases a global variable (mentioned in the Global contract) has its type invariant checked, similarly to what should be done for predicate subtypes.</t>
  </si>
  <si>
    <t xml:space="preserve"> 7.3.2 </t>
  </si>
  <si>
    <t xml:space="preserve"> YM07 </t>
  </si>
  <si>
    <t xml:space="preserve"> I am not convinced by the rationale for refined pre/post/global/depends/contract_cases. Here is what it says: "1. The semantics of properties defined in terms of abstract state can only be precisely defined in terms of the corresponding concrete state, though nested abstraction is also necessary to manage hierarchies of data." Although this was true for SPARK 2005, this is not the case anymore with SPARK 2014. Functional properties expressed as pre/post/contract_cases can use actual program functions (instead of separate logic functions in SPARK 2005), whose implementation is precisely defined in terms of the concrete state. Regarding global/depends contracts, the benefit of re-specifying them in terms of concrete state is not obvious at all. "2. There may be multiple possible refinements for a given abstract specification and so the user should be able to specify what they actually want." The main way that a user specifies this "refinement" is by an "implementation" of the specified abstraction. Of course there are multiple possible implementations for an abstraction, but what is the benefit of stating twice (in the implementation, and in the refined aspects) the same implementation? "3. This is necessary to support development via stepwise refinement." The implementation is not really a refinement of the spec. The real refinement (like in the B method) is between a higher-level specification and a lower-level specification. I don't believe we provide useful features here for stepwise refinement. Overall, I feel that refinement was useful in SPARK 2005, but won't be useful in SPARK 2014. I did not see an example which could not be slightly rewritten (say, by introducing a wrapper function) to attain the same verification goals with only Pre/Post/Global/Depends. Note that this is independent of Refined_State, which is clearly needed. Given the additional complexity of refined Pre/Post/etc. for little gain, I favor not putting them in SPARK 2014.</t>
  </si>
  <si>
    <t xml:space="preserve"> 7.2.2 </t>
  </si>
  <si>
    <t xml:space="preserve"> YM06 </t>
  </si>
  <si>
    <t xml:space="preserve"> The rationale for providing an Initial_Condition aspect is not clear, now that initialization of library-level constants and variables has been restricted in SPARK to compiler-known values. The LRM says this serves to establish the "precondition" of the program proper, but this is given by the compiler-known values initializing the library-level constants and variables. It seems that Initial_Condition is mostly useful for stating the effect of statements in package body elaboration, which should be mentioned.</t>
  </si>
  <si>
    <t xml:space="preserve"> 7.1.5 </t>
  </si>
  <si>
    <t xml:space="preserve"> YM05 </t>
  </si>
  <si>
    <t xml:space="preserve"> Nothing is currently added to expression functions in the LRM, wrt Ada LRM. Does that mean they cannot be given a Global/Depends/Contract_Cases aspect?</t>
  </si>
  <si>
    <t xml:space="preserve"> YM04 </t>
  </si>
  <si>
    <t>Added a ToDo</t>
  </si>
  <si>
    <t>ToDo added</t>
  </si>
  <si>
    <t>Text updated
accordingly.</t>
  </si>
  <si>
    <t xml:space="preserve"> I don't understand this paragraph. Obviously the language needs a compiler that implements it! No need to mention GNAT specifically.</t>
  </si>
  <si>
    <t>There is no
contradiction, as the
Verification Rules
section says proof must show the exception is never raised.</t>
  </si>
  <si>
    <t>This is covered by a
ToDo in section 1.9.4.</t>
  </si>
  <si>
    <t>Pragma Assume *is*
an assertion and
generates a run-time
check, although that check will not be proved.</t>
  </si>
  <si>
    <t>Yes, it will; further
detail will be provided
in a subsequent draft of the doc.</t>
  </si>
  <si>
    <t>Makes sense as it is.</t>
  </si>
  <si>
    <t>Reference is there to
make clear there is at
least one implementation of the language.</t>
  </si>
  <si>
    <t>Toolset is mentioned due to earlier review comments regarding how it related to the content of the LRM. If the LRM ends up including more than is in the toolset, then this will be noted at that time.</t>
  </si>
  <si>
    <t>Duplicate of YM/06.</t>
  </si>
  <si>
    <t>Text has now been removed.</t>
  </si>
  <si>
    <t>TJJ</t>
  </si>
  <si>
    <t>What seems to have been implemented and what I thought had been agreed is that an explicit global does not have to be provided even when there is a dependency relation.  As this is the case no changes are required to the RM related to [M213-043] except that  I have added the missing semantic regarding Global =&gt; null</t>
  </si>
  <si>
    <t xml:space="preserve">TJJ to discuss
with SB.  After discussions with SB, still think moving state abstraction into the parent is the simplest option and the easiest to police.   This means parents will have to at least limited with their private children.  Have left text and model as-is.  Further discussins may be needed on this point before the next release. </t>
  </si>
  <si>
    <t>A statement has been added to reference SPARK 2005.</t>
  </si>
  <si>
    <t>Duplicate of AH/19.</t>
  </si>
  <si>
    <t>Updated as suggested.</t>
  </si>
  <si>
    <t>Substituted "shall have a completion" as suggested.</t>
  </si>
  <si>
    <t>Updated.</t>
  </si>
  <si>
    <t>Numbering issue will go away when Notes are removed. Comments have been updated. Any issues with bolding within examples is to do with the Ada style in ReST.</t>
  </si>
  <si>
    <t>This isn't true, as a SPARK 2014 program may include other Ada 2012 language elements that are not in earlier versions of the language.</t>
  </si>
  <si>
    <t>Sentence on dynamic semantics removed.</t>
  </si>
  <si>
    <t>Comment added to say this supports modular analysis.</t>
  </si>
  <si>
    <t>This is an issue to do with the the Ada style within ReST.</t>
  </si>
  <si>
    <t>JB to check.</t>
  </si>
  <si>
    <t>This occurs naturally due to the visibility rules of Ada.</t>
  </si>
  <si>
    <t>Have discussed this with SM and no further action needed.</t>
  </si>
  <si>
    <t>ToDo added to the Introduction.</t>
  </si>
  <si>
    <t>Ticket M221-008 raised to address this issue as it is a problem with ReST.</t>
  </si>
  <si>
    <t>It isn't possible to nest mark-up in ReST, so we can't use nesting to have italicized terms within the Syntax sections. This is a problem in relation to a number of places in the document, not just in relation to discrete_expression. Ticket M221-008 raised to address this issue.</t>
  </si>
  <si>
    <t>Additional explanatory
text given.</t>
  </si>
  <si>
    <t>PE</t>
  </si>
  <si>
    <t>Expressions have been parenthesised. Ticket raised (M221-008) in relation
to bolding issue, as this is a problem with ReST.</t>
  </si>
  <si>
    <t>Text of notes tidied up.</t>
  </si>
  <si>
    <t>ToDo added covering this.</t>
  </si>
  <si>
    <t>Detail added.</t>
  </si>
  <si>
    <t>ToDo added under
Refined_Global aspect to cover the needed discussions.</t>
  </si>
  <si>
    <t>ToDo added.</t>
  </si>
  <si>
    <t>Detail reworked</t>
  </si>
</sst>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5">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xf numFmtId="0" fontId="1" fillId="0" borderId="0" xfId="9" applyFont="1" applyFill="1" applyBorder="1">
      <alignment horizontal="left" vertical="top" wrapText="1"/>
      <protection locked="0"/>
    </xf>
    <xf numFmtId="0" fontId="0" fillId="0" borderId="0" xfId="0" applyFont="1" applyFill="1" applyBorder="1"/>
    <xf numFmtId="0" fontId="0" fillId="0" borderId="0" xfId="0" applyFont="1"/>
    <xf numFmtId="0" fontId="6" fillId="0" borderId="0" xfId="0" applyFont="1" applyAlignment="1">
      <alignment wrapText="1"/>
    </xf>
    <xf numFmtId="2" fontId="6" fillId="0" borderId="1" xfId="9" applyNumberFormat="1" applyFont="1">
      <alignment horizontal="left" vertical="top" wrapText="1"/>
      <protection locked="0"/>
    </xf>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1" fontId="1" fillId="0" borderId="1" xfId="9" applyNumberFormat="1" applyFont="1" applyBorder="1" applyAlignment="1" applyProtection="1">
      <alignment horizontal="lef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6" fillId="6" borderId="10" xfId="0" applyFont="1" applyFill="1" applyBorder="1" applyAlignment="1">
      <alignment horizontal="left" wrapText="1"/>
    </xf>
    <xf numFmtId="0" fontId="6" fillId="6" borderId="7" xfId="0" applyFont="1" applyFill="1" applyBorder="1" applyAlignment="1">
      <alignment horizontal="left" wrapText="1"/>
    </xf>
    <xf numFmtId="0" fontId="6" fillId="6" borderId="7" xfId="0" applyFont="1" applyFill="1" applyBorder="1" applyAlignment="1">
      <alignment horizontal="left"/>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1" fillId="0" borderId="0" xfId="5" applyAlignment="1" applyProtection="1">
      <alignment horizontal="left"/>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alignment horizontal="left" vertical="top" wrapText="1"/>
    </xf>
    <xf numFmtId="0" fontId="6" fillId="0" borderId="1" xfId="5" applyFont="1" applyBorder="1" applyAlignment="1" applyProtection="1"/>
    <xf numFmtId="0" fontId="1" fillId="0" borderId="1" xfId="5" applyBorder="1" applyProtection="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12"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3" borderId="1" xfId="5" applyFill="1" applyBorder="1"/>
    <xf numFmtId="0" fontId="1" fillId="3" borderId="1" xfId="5" applyFill="1" applyBorder="1"/>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2" fontId="1" fillId="0" borderId="1" xfId="7" applyNumberFormat="1" applyProtection="1">
      <alignment horizontal="left" vertical="top" wrapText="1"/>
    </xf>
    <xf numFmtId="0" fontId="1" fillId="0" borderId="1" xfId="7">
      <alignment horizontal="left" vertical="top" wrapText="1"/>
      <protection locked="0"/>
    </xf>
    <xf numFmtId="0" fontId="1" fillId="0" borderId="1" xfId="7" applyFont="1">
      <alignment horizontal="left" vertical="top" wrapText="1"/>
      <protection locked="0"/>
    </xf>
    <xf numFmtId="166" fontId="1" fillId="0" borderId="10" xfId="7" applyNumberFormat="1" applyBorder="1" applyAlignment="1" applyProtection="1">
      <alignment horizontal="left" vertical="top" wrapText="1"/>
    </xf>
    <xf numFmtId="0" fontId="1" fillId="0" borderId="7" xfId="5" applyBorder="1" applyAlignment="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34">
    <dxf>
      <fill>
        <patternFill>
          <bgColor rgb="FFFFCCFF"/>
        </patternFill>
      </fill>
    </dxf>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91" t="s">
        <v>190</v>
      </c>
      <c r="B2" s="191"/>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84" t="s">
        <v>21</v>
      </c>
      <c r="B24" s="13" t="s">
        <v>20</v>
      </c>
      <c r="C24" s="5" t="str">
        <f t="shared" si="1"/>
        <v>!</v>
      </c>
    </row>
    <row r="25" spans="1:3">
      <c r="A25" s="185"/>
      <c r="B25" s="12" t="s">
        <v>323</v>
      </c>
      <c r="C25" s="5" t="str">
        <f t="shared" si="1"/>
        <v>!</v>
      </c>
    </row>
    <row r="26" spans="1:3">
      <c r="A26" s="185"/>
      <c r="B26" s="147" t="s">
        <v>323</v>
      </c>
      <c r="C26" s="5" t="str">
        <f t="shared" si="1"/>
        <v>!</v>
      </c>
    </row>
    <row r="27" spans="1:3">
      <c r="A27" s="185"/>
      <c r="B27" s="12" t="s">
        <v>537</v>
      </c>
      <c r="C27" s="5" t="str">
        <f t="shared" si="1"/>
        <v/>
      </c>
    </row>
    <row r="28" spans="1:3">
      <c r="A28" s="185"/>
      <c r="B28" s="12" t="s">
        <v>538</v>
      </c>
      <c r="C28" s="5" t="str">
        <f t="shared" si="1"/>
        <v/>
      </c>
    </row>
    <row r="29" spans="1:3">
      <c r="A29" s="185"/>
      <c r="B29" s="12"/>
      <c r="C29" s="5" t="str">
        <f t="shared" si="1"/>
        <v/>
      </c>
    </row>
    <row r="30" spans="1:3" ht="38.25">
      <c r="A30" s="185"/>
      <c r="B30" s="11" t="s">
        <v>400</v>
      </c>
      <c r="C30" s="5" t="str">
        <f t="shared" si="1"/>
        <v/>
      </c>
    </row>
    <row r="31" spans="1:3" s="9" customFormat="1"/>
    <row r="32" spans="1:3" s="9" customFormat="1" ht="21">
      <c r="A32" s="10" t="s">
        <v>19</v>
      </c>
    </row>
    <row r="34" spans="1:3">
      <c r="A34" s="186" t="s">
        <v>18</v>
      </c>
      <c r="B34" s="8" t="s">
        <v>518</v>
      </c>
      <c r="C34" s="5" t="str">
        <f>IF(OR(LEFT(B34,1)="&lt;",COUNTIF(Blanks,B34)&gt;0),CheckErr,CheckOK)</f>
        <v/>
      </c>
    </row>
    <row r="35" spans="1:3">
      <c r="A35" s="187"/>
      <c r="B35" s="158"/>
    </row>
    <row r="36" spans="1:3">
      <c r="A36" s="187"/>
      <c r="B36" s="158"/>
    </row>
    <row r="37" spans="1:3">
      <c r="A37" s="187"/>
      <c r="B37" s="158"/>
    </row>
    <row r="38" spans="1:3">
      <c r="A38" s="187"/>
      <c r="B38" s="158"/>
    </row>
    <row r="39" spans="1:3">
      <c r="A39" s="187"/>
      <c r="B39" s="158"/>
    </row>
    <row r="40" spans="1:3">
      <c r="A40" s="187"/>
      <c r="B40" s="158"/>
    </row>
    <row r="41" spans="1:3">
      <c r="A41" s="187"/>
      <c r="B41" s="158"/>
    </row>
    <row r="42" spans="1:3">
      <c r="A42" s="188"/>
      <c r="B42" s="159"/>
    </row>
    <row r="44" spans="1:3">
      <c r="A44" s="189" t="s">
        <v>17</v>
      </c>
      <c r="B44" s="8" t="s">
        <v>16</v>
      </c>
      <c r="C44" s="5" t="str">
        <f>IF(OR(LEFT(B44,1)="&lt;",COUNTIF(Blanks,B44)&gt;0),CheckErr,CheckOK)</f>
        <v>!</v>
      </c>
    </row>
    <row r="45" spans="1:3">
      <c r="A45" s="190"/>
      <c r="B45" s="7"/>
      <c r="C45" s="5" t="str">
        <f>IF(OR(LEFT(B45,1)="&lt;",COUNTIF(Blanks,B45)&gt;0),CheckErr,CheckOK)</f>
        <v/>
      </c>
    </row>
    <row r="47" spans="1:3">
      <c r="A47" s="189" t="s">
        <v>15</v>
      </c>
      <c r="B47" s="8" t="s">
        <v>14</v>
      </c>
      <c r="C47" s="5" t="str">
        <f>IF(OR(LEFT(B47,1)="&lt;",COUNTIF(Blanks,B47)&gt;0),CheckErr,CheckOK)</f>
        <v>!</v>
      </c>
    </row>
    <row r="48" spans="1:3">
      <c r="A48" s="190"/>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33" priority="7" stopIfTrue="1" operator="equal">
      <formula>CheckErr</formula>
    </cfRule>
  </conditionalFormatting>
  <conditionalFormatting sqref="B1:B1048576">
    <cfRule type="expression" dxfId="32"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31" priority="5" stopIfTrue="1">
      <formula>D1=CheckErr</formula>
    </cfRule>
  </conditionalFormatting>
  <conditionalFormatting sqref="C1:C1048576">
    <cfRule type="expression" dxfId="30" priority="1" stopIfTrue="1">
      <formula>$E1=CheckErr</formula>
    </cfRule>
  </conditionalFormatting>
  <conditionalFormatting sqref="A1:B1048576">
    <cfRule type="expression" dxfId="29"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R239"/>
  <sheetViews>
    <sheetView tabSelected="1" topLeftCell="F1" zoomScaleNormal="100" workbookViewId="0">
      <pane ySplit="13" topLeftCell="A14" activePane="bottomLeft" state="frozen"/>
      <selection activeCell="A6" sqref="A6"/>
      <selection pane="bottomLeft" activeCell="I105" sqref="I105"/>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98" t="s">
        <v>89</v>
      </c>
      <c r="B3" s="199"/>
      <c r="C3" s="199"/>
      <c r="D3" s="206"/>
      <c r="E3" s="206"/>
      <c r="F3" s="206"/>
      <c r="G3" s="206"/>
      <c r="H3" s="206"/>
      <c r="I3" s="206"/>
      <c r="J3" s="207"/>
      <c r="N3" s="169"/>
    </row>
    <row r="4" spans="1:18" s="70" customFormat="1" ht="12.75" customHeight="1" outlineLevel="1">
      <c r="A4" s="209" t="s">
        <v>127</v>
      </c>
      <c r="B4" s="210"/>
      <c r="C4" s="210"/>
      <c r="D4" s="195"/>
      <c r="E4" s="195"/>
      <c r="F4" s="196"/>
      <c r="G4" s="77"/>
      <c r="H4" s="77"/>
      <c r="I4" s="154"/>
      <c r="J4" s="77"/>
      <c r="N4" s="51" t="e">
        <f>IF(AND(OR(LEFT(#REF!,1)="&lt;",COUNTIF(Blanks,#REF!)&gt;0)),CheckErr,CheckOK)</f>
        <v>#REF!</v>
      </c>
    </row>
    <row r="5" spans="1:18" ht="12.75" customHeight="1" outlineLevel="1">
      <c r="A5" s="204" t="s">
        <v>115</v>
      </c>
      <c r="B5" s="205"/>
      <c r="C5" s="205"/>
      <c r="D5" s="195"/>
      <c r="E5" s="195"/>
      <c r="F5" s="196"/>
      <c r="G5" s="76"/>
      <c r="H5" s="76"/>
      <c r="I5" s="155"/>
      <c r="J5" s="76"/>
      <c r="N5" s="51" t="e">
        <f>IF(AND(OR(LEFT(#REF!,1)="&lt;",COUNTIF(Blanks,#REF!)&gt;0)),CheckErr,CheckOK)</f>
        <v>#REF!</v>
      </c>
    </row>
    <row r="6" spans="1:18" s="70" customFormat="1" hidden="1" outlineLevel="2">
      <c r="A6" s="198" t="s">
        <v>99</v>
      </c>
      <c r="B6" s="199"/>
      <c r="C6" s="199"/>
      <c r="D6" s="197"/>
      <c r="E6" s="197"/>
      <c r="F6" s="197"/>
      <c r="G6" s="75"/>
      <c r="H6" s="75"/>
      <c r="I6" s="156"/>
      <c r="J6" s="75"/>
      <c r="N6" s="51"/>
    </row>
    <row r="7" spans="1:18" s="70" customFormat="1" hidden="1" outlineLevel="2">
      <c r="A7" s="198" t="s">
        <v>128</v>
      </c>
      <c r="B7" s="199"/>
      <c r="C7" s="199"/>
      <c r="D7" s="197"/>
      <c r="E7" s="197"/>
      <c r="F7" s="197"/>
      <c r="G7" s="75"/>
      <c r="H7" s="75"/>
      <c r="I7" s="156"/>
      <c r="J7" s="75"/>
      <c r="O7" s="51"/>
    </row>
    <row r="8" spans="1:18" s="70" customFormat="1" hidden="1" outlineLevel="2">
      <c r="A8" s="198" t="s">
        <v>129</v>
      </c>
      <c r="B8" s="199"/>
      <c r="C8" s="199"/>
      <c r="D8" s="197"/>
      <c r="E8" s="197"/>
      <c r="F8" s="197"/>
      <c r="G8" s="75"/>
      <c r="H8" s="75"/>
      <c r="I8" s="156"/>
      <c r="J8" s="75"/>
      <c r="P8" s="51"/>
    </row>
    <row r="9" spans="1:18" s="70" customFormat="1" ht="12.75" customHeight="1" outlineLevel="1" collapsed="1">
      <c r="A9" s="194" t="s">
        <v>126</v>
      </c>
      <c r="B9" s="194"/>
      <c r="C9" s="194"/>
      <c r="D9" s="193"/>
      <c r="E9" s="168"/>
      <c r="F9" s="164"/>
      <c r="G9" s="164"/>
      <c r="H9" s="164"/>
      <c r="I9" s="164"/>
      <c r="J9" s="164"/>
      <c r="N9" s="164"/>
    </row>
    <row r="10" spans="1:18" s="70" customFormat="1" ht="12.75" customHeight="1" outlineLevel="1">
      <c r="D10" s="208"/>
      <c r="E10" s="208"/>
      <c r="F10" s="208"/>
      <c r="G10" s="208"/>
      <c r="H10" s="208"/>
      <c r="I10" s="208"/>
      <c r="J10" s="208"/>
      <c r="N10" s="167"/>
    </row>
    <row r="11" spans="1:18" s="70" customFormat="1" ht="15.75" customHeight="1" outlineLevel="1">
      <c r="A11" s="74"/>
      <c r="B11" s="74"/>
      <c r="C11" s="74"/>
      <c r="D11" s="200"/>
      <c r="E11" s="200"/>
      <c r="F11" s="165" t="str">
        <f>"Comments to action: "&amp;CommentsToAction</f>
        <v>Comments to action: 1</v>
      </c>
      <c r="G11" s="166"/>
      <c r="H11" s="201" t="str">
        <f>"Comments to sign-off: " &amp; CommentsToSignOff</f>
        <v>Comments to sign-off: 34</v>
      </c>
      <c r="I11" s="202"/>
      <c r="J11" s="203"/>
      <c r="M11" s="167"/>
      <c r="N11" s="168"/>
      <c r="O11" s="167"/>
      <c r="P11" s="167"/>
    </row>
    <row r="12" spans="1:18" s="70" customFormat="1" ht="27" customHeight="1" outlineLevel="1">
      <c r="A12" s="73" t="s">
        <v>114</v>
      </c>
      <c r="B12" s="73"/>
      <c r="C12" s="73"/>
      <c r="F12" s="150">
        <f>COUNTA(F14:F1075)</f>
        <v>128</v>
      </c>
      <c r="G12" s="108"/>
      <c r="H12" s="108"/>
      <c r="I12" s="150"/>
      <c r="J12" s="110"/>
      <c r="K12" s="108">
        <f>COUNTIF($O14:$O1075,CheckErr)</f>
        <v>1</v>
      </c>
      <c r="L12" s="108"/>
      <c r="M12" s="108">
        <f>COUNTIF($P14:$P1075,CheckErr)</f>
        <v>34</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hidden="1">
      <c r="A14" s="68">
        <v>1</v>
      </c>
      <c r="B14" s="68" t="s">
        <v>876</v>
      </c>
      <c r="C14" s="68" t="s">
        <v>574</v>
      </c>
      <c r="D14" s="68" t="s">
        <v>575</v>
      </c>
      <c r="E14" s="68" t="s">
        <v>575</v>
      </c>
      <c r="F14" s="152" t="s">
        <v>871</v>
      </c>
      <c r="G14"/>
      <c r="H14" s="177" t="s">
        <v>884</v>
      </c>
      <c r="I14" s="4" t="s">
        <v>907</v>
      </c>
      <c r="J14" s="91" t="s">
        <v>87</v>
      </c>
      <c r="K14" s="91" t="s">
        <v>883</v>
      </c>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hidden="1">
      <c r="A15" s="68">
        <f t="shared" ref="A15:A46" si="0">A14+1</f>
        <v>2</v>
      </c>
      <c r="B15" s="68" t="s">
        <v>876</v>
      </c>
      <c r="C15" s="68" t="s">
        <v>576</v>
      </c>
      <c r="D15" s="68">
        <v>1.4</v>
      </c>
      <c r="E15" s="68" t="s">
        <v>577</v>
      </c>
      <c r="F15" s="152" t="s">
        <v>578</v>
      </c>
      <c r="G15"/>
      <c r="H15" s="177" t="s">
        <v>884</v>
      </c>
      <c r="I15" s="91" t="s">
        <v>900</v>
      </c>
      <c r="J15" s="91" t="s">
        <v>87</v>
      </c>
      <c r="K15" s="178" t="s">
        <v>883</v>
      </c>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hidden="1">
      <c r="A16" s="57">
        <f t="shared" si="0"/>
        <v>3</v>
      </c>
      <c r="B16" s="68" t="s">
        <v>876</v>
      </c>
      <c r="C16" s="68" t="s">
        <v>579</v>
      </c>
      <c r="D16" s="68">
        <v>1.5</v>
      </c>
      <c r="E16" s="68" t="s">
        <v>580</v>
      </c>
      <c r="F16" s="152" t="s">
        <v>872</v>
      </c>
      <c r="G16"/>
      <c r="H16" s="177" t="s">
        <v>884</v>
      </c>
      <c r="I16" s="4" t="s">
        <v>1019</v>
      </c>
      <c r="J16" s="91" t="s">
        <v>87</v>
      </c>
      <c r="K16" s="178" t="s">
        <v>883</v>
      </c>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hidden="1">
      <c r="A17" s="57">
        <f t="shared" si="0"/>
        <v>4</v>
      </c>
      <c r="B17" s="68" t="s">
        <v>876</v>
      </c>
      <c r="C17" s="68" t="s">
        <v>581</v>
      </c>
      <c r="D17" s="68" t="s">
        <v>582</v>
      </c>
      <c r="E17" s="68" t="s">
        <v>583</v>
      </c>
      <c r="F17" s="152" t="s">
        <v>584</v>
      </c>
      <c r="G17"/>
      <c r="H17" s="177" t="s">
        <v>884</v>
      </c>
      <c r="I17" s="91" t="s">
        <v>885</v>
      </c>
      <c r="J17" s="91" t="s">
        <v>87</v>
      </c>
      <c r="K17" s="178" t="s">
        <v>883</v>
      </c>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hidden="1">
      <c r="A18" s="57">
        <f t="shared" si="0"/>
        <v>5</v>
      </c>
      <c r="B18" s="68" t="s">
        <v>876</v>
      </c>
      <c r="C18" s="68" t="s">
        <v>585</v>
      </c>
      <c r="D18" s="68" t="s">
        <v>586</v>
      </c>
      <c r="E18" s="68" t="s">
        <v>587</v>
      </c>
      <c r="F18" s="152" t="s">
        <v>588</v>
      </c>
      <c r="G18"/>
      <c r="H18" s="177" t="s">
        <v>884</v>
      </c>
      <c r="I18" s="91" t="s">
        <v>885</v>
      </c>
      <c r="J18" s="91" t="s">
        <v>87</v>
      </c>
      <c r="K18" s="178" t="s">
        <v>883</v>
      </c>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108" hidden="1">
      <c r="A19" s="57">
        <f t="shared" si="0"/>
        <v>6</v>
      </c>
      <c r="B19" s="68" t="s">
        <v>876</v>
      </c>
      <c r="C19" s="68" t="s">
        <v>589</v>
      </c>
      <c r="D19" s="68" t="s">
        <v>586</v>
      </c>
      <c r="E19" s="68" t="s">
        <v>590</v>
      </c>
      <c r="F19" s="152" t="s">
        <v>873</v>
      </c>
      <c r="G19"/>
      <c r="H19" s="177" t="s">
        <v>884</v>
      </c>
      <c r="I19" s="4" t="s">
        <v>908</v>
      </c>
      <c r="J19" s="178" t="s">
        <v>86</v>
      </c>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hidden="1">
      <c r="A20" s="57">
        <f t="shared" si="0"/>
        <v>7</v>
      </c>
      <c r="B20" s="68" t="s">
        <v>876</v>
      </c>
      <c r="C20" s="68" t="s">
        <v>591</v>
      </c>
      <c r="D20" s="68" t="s">
        <v>592</v>
      </c>
      <c r="E20" s="68" t="s">
        <v>593</v>
      </c>
      <c r="F20" s="152" t="s">
        <v>874</v>
      </c>
      <c r="G20"/>
      <c r="H20" s="179" t="s">
        <v>884</v>
      </c>
      <c r="I20" s="178" t="s">
        <v>901</v>
      </c>
      <c r="J20" s="178" t="s">
        <v>87</v>
      </c>
      <c r="K20" s="178" t="s">
        <v>883</v>
      </c>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hidden="1">
      <c r="A21" s="57">
        <f t="shared" si="0"/>
        <v>8</v>
      </c>
      <c r="B21" s="68" t="s">
        <v>876</v>
      </c>
      <c r="C21" s="68" t="s">
        <v>594</v>
      </c>
      <c r="D21" s="68" t="s">
        <v>595</v>
      </c>
      <c r="E21" s="68" t="s">
        <v>596</v>
      </c>
      <c r="F21" s="152" t="s">
        <v>875</v>
      </c>
      <c r="G21"/>
      <c r="H21" s="177" t="s">
        <v>1030</v>
      </c>
      <c r="I21" s="2" t="s">
        <v>888</v>
      </c>
      <c r="J21" t="s">
        <v>87</v>
      </c>
      <c r="K21" s="180" t="s">
        <v>883</v>
      </c>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135" hidden="1">
      <c r="A22" s="57">
        <f t="shared" si="0"/>
        <v>9</v>
      </c>
      <c r="B22" s="68" t="s">
        <v>876</v>
      </c>
      <c r="C22" s="68" t="s">
        <v>597</v>
      </c>
      <c r="D22" s="68" t="s">
        <v>598</v>
      </c>
      <c r="E22" s="68" t="s">
        <v>599</v>
      </c>
      <c r="F22" s="152" t="s">
        <v>600</v>
      </c>
      <c r="G22"/>
      <c r="H22" s="179" t="s">
        <v>884</v>
      </c>
      <c r="I22" s="4" t="s">
        <v>909</v>
      </c>
      <c r="J22" s="181" t="s">
        <v>86</v>
      </c>
      <c r="K22" s="181"/>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54" hidden="1">
      <c r="A23" s="57">
        <f t="shared" si="0"/>
        <v>10</v>
      </c>
      <c r="B23" s="68" t="s">
        <v>876</v>
      </c>
      <c r="C23" s="68" t="s">
        <v>601</v>
      </c>
      <c r="D23" s="68">
        <v>3.9</v>
      </c>
      <c r="E23" s="68" t="s">
        <v>602</v>
      </c>
      <c r="F23" s="152" t="s">
        <v>603</v>
      </c>
      <c r="G23"/>
      <c r="H23" s="177" t="s">
        <v>884</v>
      </c>
      <c r="I23" s="3" t="s">
        <v>898</v>
      </c>
      <c r="J23" t="s">
        <v>87</v>
      </c>
      <c r="K23" t="s">
        <v>883</v>
      </c>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hidden="1">
      <c r="A24" s="57">
        <f t="shared" si="0"/>
        <v>11</v>
      </c>
      <c r="B24" s="68" t="s">
        <v>876</v>
      </c>
      <c r="C24" s="68" t="s">
        <v>604</v>
      </c>
      <c r="D24" s="68" t="s">
        <v>605</v>
      </c>
      <c r="E24" s="68" t="s">
        <v>606</v>
      </c>
      <c r="F24" s="152" t="s">
        <v>881</v>
      </c>
      <c r="G24"/>
      <c r="H24" s="177" t="s">
        <v>884</v>
      </c>
      <c r="I24" s="4" t="s">
        <v>1048</v>
      </c>
      <c r="J24" t="s">
        <v>85</v>
      </c>
      <c r="K24" s="180" t="s">
        <v>883</v>
      </c>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hidden="1">
      <c r="A25" s="57">
        <f t="shared" si="0"/>
        <v>12</v>
      </c>
      <c r="B25" s="68" t="s">
        <v>876</v>
      </c>
      <c r="C25" s="68" t="s">
        <v>607</v>
      </c>
      <c r="D25" s="68">
        <v>6.1</v>
      </c>
      <c r="E25" s="68" t="s">
        <v>608</v>
      </c>
      <c r="F25" s="152" t="s">
        <v>609</v>
      </c>
      <c r="G25"/>
      <c r="H25" s="177" t="s">
        <v>884</v>
      </c>
      <c r="I25" t="s">
        <v>888</v>
      </c>
      <c r="J25" s="176" t="s">
        <v>87</v>
      </c>
      <c r="K25" s="176" t="s">
        <v>883</v>
      </c>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hidden="1">
      <c r="A26" s="57">
        <f t="shared" si="0"/>
        <v>13</v>
      </c>
      <c r="B26" s="68" t="s">
        <v>876</v>
      </c>
      <c r="C26" s="68" t="s">
        <v>610</v>
      </c>
      <c r="D26" s="68" t="s">
        <v>611</v>
      </c>
      <c r="E26" s="68" t="s">
        <v>612</v>
      </c>
      <c r="F26" s="152" t="s">
        <v>613</v>
      </c>
      <c r="G26"/>
      <c r="H26" s="177" t="s">
        <v>884</v>
      </c>
      <c r="I26" s="4" t="s">
        <v>888</v>
      </c>
      <c r="J26" s="91" t="s">
        <v>87</v>
      </c>
      <c r="K26" s="178" t="s">
        <v>883</v>
      </c>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67.5" hidden="1">
      <c r="A27" s="57">
        <f t="shared" si="0"/>
        <v>14</v>
      </c>
      <c r="B27" s="68" t="s">
        <v>876</v>
      </c>
      <c r="C27" s="68" t="s">
        <v>614</v>
      </c>
      <c r="D27" s="68" t="s">
        <v>615</v>
      </c>
      <c r="E27" s="68" t="s">
        <v>616</v>
      </c>
      <c r="F27" s="152" t="s">
        <v>617</v>
      </c>
      <c r="G27"/>
      <c r="H27" s="177" t="s">
        <v>884</v>
      </c>
      <c r="I27" s="4" t="s">
        <v>917</v>
      </c>
      <c r="J27" t="s">
        <v>86</v>
      </c>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hidden="1">
      <c r="A28" s="57">
        <f t="shared" si="0"/>
        <v>15</v>
      </c>
      <c r="B28" s="68" t="s">
        <v>876</v>
      </c>
      <c r="C28" s="68" t="s">
        <v>618</v>
      </c>
      <c r="D28" s="68" t="s">
        <v>615</v>
      </c>
      <c r="E28" s="68" t="s">
        <v>619</v>
      </c>
      <c r="F28" s="152" t="s">
        <v>620</v>
      </c>
      <c r="G28"/>
      <c r="H28" s="177" t="s">
        <v>884</v>
      </c>
      <c r="I28" t="s">
        <v>888</v>
      </c>
      <c r="J28" s="176" t="s">
        <v>87</v>
      </c>
      <c r="K28" s="176" t="s">
        <v>883</v>
      </c>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ht="54" hidden="1">
      <c r="A29" s="57">
        <f t="shared" si="0"/>
        <v>16</v>
      </c>
      <c r="B29" s="68" t="s">
        <v>876</v>
      </c>
      <c r="C29" s="68" t="s">
        <v>621</v>
      </c>
      <c r="D29" s="68" t="s">
        <v>622</v>
      </c>
      <c r="E29" s="68" t="s">
        <v>623</v>
      </c>
      <c r="F29" s="152" t="s">
        <v>624</v>
      </c>
      <c r="G29"/>
      <c r="H29" s="177" t="s">
        <v>884</v>
      </c>
      <c r="I29" s="4" t="s">
        <v>918</v>
      </c>
      <c r="J29" t="s">
        <v>86</v>
      </c>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hidden="1">
      <c r="A30" s="57">
        <f t="shared" si="0"/>
        <v>17</v>
      </c>
      <c r="B30" s="68" t="s">
        <v>876</v>
      </c>
      <c r="C30" s="68" t="s">
        <v>625</v>
      </c>
      <c r="D30" s="68" t="s">
        <v>626</v>
      </c>
      <c r="E30" s="68" t="s">
        <v>627</v>
      </c>
      <c r="F30" s="152" t="s">
        <v>628</v>
      </c>
      <c r="G30"/>
      <c r="H30" s="177" t="s">
        <v>884</v>
      </c>
      <c r="I30" t="s">
        <v>895</v>
      </c>
      <c r="J30" t="s">
        <v>87</v>
      </c>
      <c r="K30" s="176" t="s">
        <v>883</v>
      </c>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hidden="1">
      <c r="A31" s="57">
        <f t="shared" si="0"/>
        <v>18</v>
      </c>
      <c r="B31" s="68" t="s">
        <v>876</v>
      </c>
      <c r="C31" s="68" t="s">
        <v>629</v>
      </c>
      <c r="D31" s="68" t="s">
        <v>630</v>
      </c>
      <c r="E31" s="68" t="s">
        <v>631</v>
      </c>
      <c r="F31" s="152" t="s">
        <v>632</v>
      </c>
      <c r="G31"/>
      <c r="H31" s="177" t="s">
        <v>884</v>
      </c>
      <c r="I31" t="s">
        <v>887</v>
      </c>
      <c r="J31" s="176" t="s">
        <v>87</v>
      </c>
      <c r="K31" s="176" t="s">
        <v>883</v>
      </c>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40.5" hidden="1">
      <c r="A32" s="57">
        <f t="shared" si="0"/>
        <v>19</v>
      </c>
      <c r="B32" s="68" t="s">
        <v>876</v>
      </c>
      <c r="C32" s="68" t="s">
        <v>633</v>
      </c>
      <c r="D32" s="68" t="s">
        <v>630</v>
      </c>
      <c r="E32" s="68" t="s">
        <v>575</v>
      </c>
      <c r="F32" s="152" t="s">
        <v>634</v>
      </c>
      <c r="G32"/>
      <c r="H32" s="177" t="s">
        <v>884</v>
      </c>
      <c r="I32" s="4" t="s">
        <v>888</v>
      </c>
      <c r="J32" s="91" t="s">
        <v>87</v>
      </c>
      <c r="K32" s="178" t="s">
        <v>883</v>
      </c>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hidden="1">
      <c r="A33" s="57">
        <f t="shared" si="0"/>
        <v>20</v>
      </c>
      <c r="B33" s="68" t="s">
        <v>876</v>
      </c>
      <c r="C33" s="68" t="s">
        <v>635</v>
      </c>
      <c r="D33" s="68" t="s">
        <v>636</v>
      </c>
      <c r="E33" s="68" t="s">
        <v>637</v>
      </c>
      <c r="F33" s="152" t="s">
        <v>638</v>
      </c>
      <c r="G33"/>
      <c r="H33" s="177" t="s">
        <v>884</v>
      </c>
      <c r="I33" s="91" t="s">
        <v>885</v>
      </c>
      <c r="J33" s="91" t="s">
        <v>87</v>
      </c>
      <c r="K33" s="178" t="s">
        <v>883</v>
      </c>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54" hidden="1">
      <c r="A34" s="57">
        <f t="shared" si="0"/>
        <v>21</v>
      </c>
      <c r="B34" s="68" t="s">
        <v>876</v>
      </c>
      <c r="C34" s="68" t="s">
        <v>639</v>
      </c>
      <c r="D34" s="68" t="s">
        <v>640</v>
      </c>
      <c r="E34" s="68" t="s">
        <v>641</v>
      </c>
      <c r="F34" s="152" t="s">
        <v>642</v>
      </c>
      <c r="G34"/>
      <c r="H34" s="177" t="s">
        <v>884</v>
      </c>
      <c r="I34" s="4" t="s">
        <v>916</v>
      </c>
      <c r="J34" s="91" t="s">
        <v>87</v>
      </c>
      <c r="K34" s="91" t="s">
        <v>883</v>
      </c>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hidden="1">
      <c r="A35" s="57">
        <f t="shared" si="0"/>
        <v>22</v>
      </c>
      <c r="B35" s="68" t="s">
        <v>876</v>
      </c>
      <c r="C35" s="68" t="s">
        <v>643</v>
      </c>
      <c r="D35" s="68" t="s">
        <v>640</v>
      </c>
      <c r="E35" s="68" t="s">
        <v>644</v>
      </c>
      <c r="F35" s="152" t="s">
        <v>645</v>
      </c>
      <c r="G35"/>
      <c r="H35" s="177" t="s">
        <v>884</v>
      </c>
      <c r="I35" s="3" t="s">
        <v>889</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hidden="1">
      <c r="A36" s="57">
        <f t="shared" si="0"/>
        <v>23</v>
      </c>
      <c r="B36" s="68" t="s">
        <v>876</v>
      </c>
      <c r="C36" s="68" t="s">
        <v>646</v>
      </c>
      <c r="D36" s="68">
        <v>10</v>
      </c>
      <c r="E36" s="68" t="s">
        <v>647</v>
      </c>
      <c r="F36" s="152" t="s">
        <v>648</v>
      </c>
      <c r="G36"/>
      <c r="H36" s="177" t="s">
        <v>1030</v>
      </c>
      <c r="I36" s="2" t="s">
        <v>888</v>
      </c>
      <c r="J36" t="s">
        <v>87</v>
      </c>
      <c r="K36" t="s">
        <v>883</v>
      </c>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94.5" hidden="1">
      <c r="A37" s="57">
        <f t="shared" si="0"/>
        <v>24</v>
      </c>
      <c r="B37" s="68" t="s">
        <v>876</v>
      </c>
      <c r="C37" s="68" t="s">
        <v>649</v>
      </c>
      <c r="D37" s="68">
        <v>11.1</v>
      </c>
      <c r="E37" s="68" t="s">
        <v>650</v>
      </c>
      <c r="F37" s="152" t="s">
        <v>651</v>
      </c>
      <c r="G37"/>
      <c r="H37"/>
      <c r="I37" s="4" t="s">
        <v>1021</v>
      </c>
      <c r="J37" t="s">
        <v>86</v>
      </c>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hidden="1">
      <c r="A38" s="57">
        <f t="shared" si="0"/>
        <v>25</v>
      </c>
      <c r="B38" s="68" t="s">
        <v>876</v>
      </c>
      <c r="C38" s="68" t="s">
        <v>652</v>
      </c>
      <c r="D38" s="68">
        <v>11.2</v>
      </c>
      <c r="E38" s="68" t="s">
        <v>653</v>
      </c>
      <c r="F38" s="152" t="s">
        <v>880</v>
      </c>
      <c r="G38"/>
      <c r="H38"/>
      <c r="I38"/>
      <c r="J38" t="s">
        <v>85</v>
      </c>
      <c r="K38" s="91" t="s">
        <v>883</v>
      </c>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40.5">
      <c r="A39" s="57">
        <f t="shared" si="0"/>
        <v>26</v>
      </c>
      <c r="B39" s="68" t="s">
        <v>876</v>
      </c>
      <c r="C39" s="68" t="s">
        <v>654</v>
      </c>
      <c r="D39" s="68" t="s">
        <v>655</v>
      </c>
      <c r="E39" s="68" t="s">
        <v>612</v>
      </c>
      <c r="F39" s="152" t="s">
        <v>656</v>
      </c>
      <c r="G39"/>
      <c r="H39"/>
      <c r="I39" s="2" t="s">
        <v>1043</v>
      </c>
      <c r="J39"/>
      <c r="K39"/>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hidden="1">
      <c r="A40" s="57">
        <f t="shared" si="0"/>
        <v>27</v>
      </c>
      <c r="B40" s="68" t="s">
        <v>876</v>
      </c>
      <c r="C40" s="68" t="s">
        <v>657</v>
      </c>
      <c r="D40" s="68" t="s">
        <v>575</v>
      </c>
      <c r="E40" s="68" t="s">
        <v>612</v>
      </c>
      <c r="F40" s="152" t="s">
        <v>658</v>
      </c>
      <c r="G40"/>
      <c r="H40" s="177" t="s">
        <v>884</v>
      </c>
      <c r="I40" s="4" t="s">
        <v>1022</v>
      </c>
      <c r="J40" t="s">
        <v>86</v>
      </c>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270" hidden="1">
      <c r="A41" s="57">
        <f t="shared" si="0"/>
        <v>28</v>
      </c>
      <c r="B41" s="68" t="s">
        <v>876</v>
      </c>
      <c r="C41" s="68" t="s">
        <v>659</v>
      </c>
      <c r="D41" s="68" t="s">
        <v>575</v>
      </c>
      <c r="E41" s="68" t="s">
        <v>612</v>
      </c>
      <c r="F41" s="152" t="s">
        <v>660</v>
      </c>
      <c r="G41"/>
      <c r="H41" s="177" t="s">
        <v>1030</v>
      </c>
      <c r="I41" s="182" t="s">
        <v>1031</v>
      </c>
      <c r="J41" t="s">
        <v>87</v>
      </c>
      <c r="K41" t="s">
        <v>883</v>
      </c>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hidden="1">
      <c r="A42" s="57">
        <f t="shared" si="0"/>
        <v>29</v>
      </c>
      <c r="B42" s="68" t="s">
        <v>877</v>
      </c>
      <c r="C42" s="68" t="s">
        <v>661</v>
      </c>
      <c r="D42" s="68" t="s">
        <v>662</v>
      </c>
      <c r="E42" s="68">
        <v>1</v>
      </c>
      <c r="F42" s="152" t="s">
        <v>663</v>
      </c>
      <c r="G42"/>
      <c r="H42" s="177" t="s">
        <v>884</v>
      </c>
      <c r="I42" s="91" t="s">
        <v>885</v>
      </c>
      <c r="J42" t="s">
        <v>87</v>
      </c>
      <c r="K42" s="176" t="s">
        <v>883</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ht="40.5" hidden="1">
      <c r="A43" s="57">
        <f t="shared" si="0"/>
        <v>30</v>
      </c>
      <c r="B43" s="68" t="s">
        <v>877</v>
      </c>
      <c r="C43" s="68" t="s">
        <v>664</v>
      </c>
      <c r="D43" s="68" t="s">
        <v>662</v>
      </c>
      <c r="E43" s="68">
        <v>1</v>
      </c>
      <c r="F43" s="152" t="s">
        <v>665</v>
      </c>
      <c r="G43"/>
      <c r="H43" s="177" t="s">
        <v>884</v>
      </c>
      <c r="I43" s="4" t="s">
        <v>1045</v>
      </c>
      <c r="J43" t="s">
        <v>85</v>
      </c>
      <c r="K43" s="91" t="s">
        <v>883</v>
      </c>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hidden="1">
      <c r="A44" s="57">
        <f t="shared" si="0"/>
        <v>31</v>
      </c>
      <c r="B44" s="68" t="s">
        <v>877</v>
      </c>
      <c r="C44" s="68" t="s">
        <v>666</v>
      </c>
      <c r="D44" s="68" t="s">
        <v>667</v>
      </c>
      <c r="E44" s="68" t="s">
        <v>668</v>
      </c>
      <c r="F44" s="152" t="s">
        <v>669</v>
      </c>
      <c r="G44"/>
      <c r="H44" s="177" t="s">
        <v>884</v>
      </c>
      <c r="I44" s="91" t="s">
        <v>913</v>
      </c>
      <c r="J44" s="91" t="s">
        <v>87</v>
      </c>
      <c r="K44" s="178" t="s">
        <v>883</v>
      </c>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hidden="1">
      <c r="A45" s="57">
        <f t="shared" si="0"/>
        <v>32</v>
      </c>
      <c r="B45" s="68" t="s">
        <v>877</v>
      </c>
      <c r="C45" s="68" t="s">
        <v>670</v>
      </c>
      <c r="D45" s="68" t="s">
        <v>667</v>
      </c>
      <c r="E45" s="68" t="s">
        <v>671</v>
      </c>
      <c r="F45" s="152" t="s">
        <v>672</v>
      </c>
      <c r="G45"/>
      <c r="H45" s="177" t="s">
        <v>884</v>
      </c>
      <c r="I45" s="91" t="s">
        <v>888</v>
      </c>
      <c r="J45" s="91" t="s">
        <v>87</v>
      </c>
      <c r="K45" s="178" t="s">
        <v>883</v>
      </c>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hidden="1">
      <c r="A46" s="57">
        <f t="shared" si="0"/>
        <v>33</v>
      </c>
      <c r="B46" s="68" t="s">
        <v>877</v>
      </c>
      <c r="C46" s="68" t="s">
        <v>673</v>
      </c>
      <c r="D46" s="68">
        <v>1.1000000000000001</v>
      </c>
      <c r="E46" s="68" t="s">
        <v>674</v>
      </c>
      <c r="F46" s="152" t="s">
        <v>675</v>
      </c>
      <c r="G46"/>
      <c r="H46" s="177" t="s">
        <v>884</v>
      </c>
      <c r="I46" s="91" t="s">
        <v>901</v>
      </c>
      <c r="J46" s="91" t="s">
        <v>87</v>
      </c>
      <c r="K46" s="178" t="s">
        <v>883</v>
      </c>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ht="54" hidden="1">
      <c r="A47" s="57">
        <f t="shared" ref="A47:A78" si="1">A46+1</f>
        <v>34</v>
      </c>
      <c r="B47" s="68" t="s">
        <v>877</v>
      </c>
      <c r="C47" s="68" t="s">
        <v>676</v>
      </c>
      <c r="D47" s="68">
        <v>1.4</v>
      </c>
      <c r="E47" s="68" t="s">
        <v>677</v>
      </c>
      <c r="F47" s="152" t="s">
        <v>678</v>
      </c>
      <c r="G47"/>
      <c r="H47" s="177" t="s">
        <v>884</v>
      </c>
      <c r="I47" s="4" t="s">
        <v>902</v>
      </c>
      <c r="J47" s="91" t="s">
        <v>87</v>
      </c>
      <c r="K47" s="91" t="s">
        <v>883</v>
      </c>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hidden="1">
      <c r="A48" s="57">
        <f t="shared" si="1"/>
        <v>35</v>
      </c>
      <c r="B48" s="68" t="s">
        <v>877</v>
      </c>
      <c r="C48" s="68" t="s">
        <v>679</v>
      </c>
      <c r="D48" s="68">
        <v>1.4</v>
      </c>
      <c r="E48" s="68" t="s">
        <v>677</v>
      </c>
      <c r="F48" s="152" t="s">
        <v>680</v>
      </c>
      <c r="G48"/>
      <c r="H48" s="177" t="s">
        <v>884</v>
      </c>
      <c r="I48" s="91" t="s">
        <v>1018</v>
      </c>
      <c r="J48" s="91" t="s">
        <v>87</v>
      </c>
      <c r="K48" s="178" t="s">
        <v>883</v>
      </c>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hidden="1">
      <c r="A49" s="57">
        <f t="shared" si="1"/>
        <v>36</v>
      </c>
      <c r="B49" s="68" t="s">
        <v>877</v>
      </c>
      <c r="C49" s="68" t="s">
        <v>681</v>
      </c>
      <c r="D49" s="68">
        <v>1.5</v>
      </c>
      <c r="E49" s="68" t="s">
        <v>682</v>
      </c>
      <c r="F49" s="152" t="s">
        <v>683</v>
      </c>
      <c r="G49"/>
      <c r="H49" s="177" t="s">
        <v>884</v>
      </c>
      <c r="I49" s="91" t="s">
        <v>901</v>
      </c>
      <c r="J49" s="91" t="s">
        <v>87</v>
      </c>
      <c r="K49" s="178" t="s">
        <v>883</v>
      </c>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hidden="1">
      <c r="A50" s="57">
        <f t="shared" si="1"/>
        <v>37</v>
      </c>
      <c r="B50" s="68" t="s">
        <v>877</v>
      </c>
      <c r="C50" s="68" t="s">
        <v>684</v>
      </c>
      <c r="D50" s="68">
        <v>1.5</v>
      </c>
      <c r="E50" s="68" t="s">
        <v>685</v>
      </c>
      <c r="F50" s="152" t="s">
        <v>686</v>
      </c>
      <c r="G50"/>
      <c r="H50" s="179" t="s">
        <v>884</v>
      </c>
      <c r="I50" s="91" t="s">
        <v>888</v>
      </c>
      <c r="J50" s="178" t="s">
        <v>87</v>
      </c>
      <c r="K50" s="178" t="s">
        <v>883</v>
      </c>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hidden="1">
      <c r="A51" s="57">
        <f t="shared" si="1"/>
        <v>38</v>
      </c>
      <c r="B51" s="68" t="s">
        <v>877</v>
      </c>
      <c r="C51" s="68" t="s">
        <v>687</v>
      </c>
      <c r="D51" s="68" t="s">
        <v>688</v>
      </c>
      <c r="E51" s="68" t="s">
        <v>689</v>
      </c>
      <c r="F51" s="152" t="s">
        <v>690</v>
      </c>
      <c r="G51"/>
      <c r="H51" s="177" t="s">
        <v>884</v>
      </c>
      <c r="I51" s="91" t="s">
        <v>1017</v>
      </c>
      <c r="J51" s="91" t="s">
        <v>87</v>
      </c>
      <c r="K51" s="178" t="s">
        <v>883</v>
      </c>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81" hidden="1">
      <c r="A52" s="57">
        <f t="shared" si="1"/>
        <v>39</v>
      </c>
      <c r="B52" s="68" t="s">
        <v>877</v>
      </c>
      <c r="C52" s="68" t="s">
        <v>691</v>
      </c>
      <c r="D52" s="68" t="s">
        <v>692</v>
      </c>
      <c r="E52" s="68" t="s">
        <v>693</v>
      </c>
      <c r="F52" s="152" t="s">
        <v>694</v>
      </c>
      <c r="G52"/>
      <c r="H52" s="177" t="s">
        <v>884</v>
      </c>
      <c r="I52" s="4" t="s">
        <v>1023</v>
      </c>
      <c r="J52" t="s">
        <v>86</v>
      </c>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hidden="1">
      <c r="A53" s="57">
        <f t="shared" si="1"/>
        <v>40</v>
      </c>
      <c r="B53" s="68" t="s">
        <v>877</v>
      </c>
      <c r="C53" s="68" t="s">
        <v>695</v>
      </c>
      <c r="D53" s="68" t="s">
        <v>692</v>
      </c>
      <c r="E53" s="68" t="s">
        <v>696</v>
      </c>
      <c r="F53" s="152" t="s">
        <v>697</v>
      </c>
      <c r="G53"/>
      <c r="H53" s="177" t="s">
        <v>884</v>
      </c>
      <c r="I53" s="91" t="s">
        <v>901</v>
      </c>
      <c r="J53" s="91" t="s">
        <v>87</v>
      </c>
      <c r="K53" s="178" t="s">
        <v>883</v>
      </c>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hidden="1">
      <c r="A54" s="57">
        <f t="shared" si="1"/>
        <v>41</v>
      </c>
      <c r="B54" s="68" t="s">
        <v>877</v>
      </c>
      <c r="C54" s="68" t="s">
        <v>698</v>
      </c>
      <c r="D54" s="68">
        <v>1.6</v>
      </c>
      <c r="E54" s="68" t="s">
        <v>699</v>
      </c>
      <c r="F54" s="152" t="s">
        <v>700</v>
      </c>
      <c r="G54"/>
      <c r="H54" s="177" t="s">
        <v>884</v>
      </c>
      <c r="I54" s="4" t="s">
        <v>901</v>
      </c>
      <c r="J54" s="91" t="s">
        <v>87</v>
      </c>
      <c r="K54" s="91" t="s">
        <v>883</v>
      </c>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hidden="1">
      <c r="A55" s="57">
        <f t="shared" si="1"/>
        <v>42</v>
      </c>
      <c r="B55" s="68" t="s">
        <v>877</v>
      </c>
      <c r="C55" s="68" t="s">
        <v>701</v>
      </c>
      <c r="D55" s="68" t="s">
        <v>702</v>
      </c>
      <c r="E55" s="68">
        <v>6</v>
      </c>
      <c r="F55" s="152" t="s">
        <v>703</v>
      </c>
      <c r="G55"/>
      <c r="H55" s="177" t="s">
        <v>884</v>
      </c>
      <c r="I55" s="91" t="s">
        <v>888</v>
      </c>
      <c r="J55" s="91" t="s">
        <v>87</v>
      </c>
      <c r="K55" s="178" t="s">
        <v>883</v>
      </c>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94.5" hidden="1">
      <c r="A56" s="57">
        <f t="shared" si="1"/>
        <v>43</v>
      </c>
      <c r="B56" s="68" t="s">
        <v>877</v>
      </c>
      <c r="C56" s="68" t="s">
        <v>704</v>
      </c>
      <c r="D56" s="68" t="s">
        <v>667</v>
      </c>
      <c r="E56" s="68" t="s">
        <v>705</v>
      </c>
      <c r="F56" s="152" t="s">
        <v>706</v>
      </c>
      <c r="G56"/>
      <c r="H56" s="177" t="s">
        <v>884</v>
      </c>
      <c r="I56" s="4" t="s">
        <v>919</v>
      </c>
      <c r="J56" t="s">
        <v>85</v>
      </c>
      <c r="K56" s="91" t="s">
        <v>883</v>
      </c>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hidden="1">
      <c r="A57" s="57">
        <f t="shared" si="1"/>
        <v>44</v>
      </c>
      <c r="B57" s="68" t="s">
        <v>877</v>
      </c>
      <c r="C57" s="68" t="s">
        <v>707</v>
      </c>
      <c r="D57" s="68">
        <v>1.8</v>
      </c>
      <c r="E57" s="68" t="s">
        <v>708</v>
      </c>
      <c r="F57" s="152" t="s">
        <v>709</v>
      </c>
      <c r="G57"/>
      <c r="H57" s="177" t="s">
        <v>884</v>
      </c>
      <c r="I57" s="91" t="s">
        <v>888</v>
      </c>
      <c r="J57" s="91" t="s">
        <v>87</v>
      </c>
      <c r="K57" s="178" t="s">
        <v>883</v>
      </c>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67.5" hidden="1">
      <c r="A58" s="57">
        <f t="shared" si="1"/>
        <v>45</v>
      </c>
      <c r="B58" s="68" t="s">
        <v>877</v>
      </c>
      <c r="C58" s="68" t="s">
        <v>710</v>
      </c>
      <c r="D58" s="68">
        <v>1.8</v>
      </c>
      <c r="E58" s="68" t="s">
        <v>711</v>
      </c>
      <c r="F58" s="152" t="s">
        <v>712</v>
      </c>
      <c r="G58"/>
      <c r="H58" s="177" t="s">
        <v>884</v>
      </c>
      <c r="I58" s="4" t="s">
        <v>920</v>
      </c>
      <c r="J58" s="91" t="s">
        <v>87</v>
      </c>
      <c r="K58" s="91" t="s">
        <v>883</v>
      </c>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ht="94.5" hidden="1">
      <c r="A59" s="57">
        <f t="shared" si="1"/>
        <v>46</v>
      </c>
      <c r="B59" s="68" t="s">
        <v>877</v>
      </c>
      <c r="C59" s="68" t="s">
        <v>713</v>
      </c>
      <c r="D59" s="68" t="s">
        <v>714</v>
      </c>
      <c r="E59" s="68" t="s">
        <v>715</v>
      </c>
      <c r="F59" s="152" t="s">
        <v>716</v>
      </c>
      <c r="G59"/>
      <c r="H59" s="91" t="s">
        <v>884</v>
      </c>
      <c r="I59" s="4" t="s">
        <v>925</v>
      </c>
      <c r="J59" s="91" t="s">
        <v>87</v>
      </c>
      <c r="K59" s="178" t="s">
        <v>883</v>
      </c>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hidden="1">
      <c r="A60" s="57">
        <f t="shared" si="1"/>
        <v>47</v>
      </c>
      <c r="B60" s="68" t="s">
        <v>877</v>
      </c>
      <c r="C60" s="68" t="s">
        <v>717</v>
      </c>
      <c r="D60" s="68" t="s">
        <v>718</v>
      </c>
      <c r="E60" s="68" t="s">
        <v>719</v>
      </c>
      <c r="F60" s="152" t="s">
        <v>720</v>
      </c>
      <c r="G60"/>
      <c r="H60" s="177" t="s">
        <v>884</v>
      </c>
      <c r="I60" s="91" t="s">
        <v>885</v>
      </c>
      <c r="J60" s="91" t="s">
        <v>87</v>
      </c>
      <c r="K60" s="178" t="s">
        <v>883</v>
      </c>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hidden="1">
      <c r="A61" s="57">
        <f t="shared" si="1"/>
        <v>48</v>
      </c>
      <c r="B61" s="68" t="s">
        <v>877</v>
      </c>
      <c r="C61" s="68" t="s">
        <v>721</v>
      </c>
      <c r="D61" s="68" t="s">
        <v>722</v>
      </c>
      <c r="E61" s="68" t="s">
        <v>723</v>
      </c>
      <c r="F61" s="152" t="s">
        <v>724</v>
      </c>
      <c r="G61"/>
      <c r="H61" s="177" t="s">
        <v>884</v>
      </c>
      <c r="I61" s="91" t="s">
        <v>885</v>
      </c>
      <c r="J61" s="91" t="s">
        <v>87</v>
      </c>
      <c r="K61" s="178" t="s">
        <v>883</v>
      </c>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hidden="1">
      <c r="A62" s="57">
        <f t="shared" si="1"/>
        <v>49</v>
      </c>
      <c r="B62" s="68" t="s">
        <v>877</v>
      </c>
      <c r="C62" s="68" t="s">
        <v>725</v>
      </c>
      <c r="D62" s="68" t="s">
        <v>726</v>
      </c>
      <c r="E62" s="68" t="s">
        <v>727</v>
      </c>
      <c r="F62" s="152" t="s">
        <v>728</v>
      </c>
      <c r="G62"/>
      <c r="H62" s="177" t="s">
        <v>884</v>
      </c>
      <c r="I62" s="91" t="s">
        <v>921</v>
      </c>
      <c r="J62" s="91" t="s">
        <v>86</v>
      </c>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hidden="1">
      <c r="A63" s="57">
        <f t="shared" si="1"/>
        <v>50</v>
      </c>
      <c r="B63" s="68" t="s">
        <v>877</v>
      </c>
      <c r="C63" s="68" t="s">
        <v>729</v>
      </c>
      <c r="D63" s="68" t="s">
        <v>730</v>
      </c>
      <c r="E63" s="68" t="s">
        <v>731</v>
      </c>
      <c r="F63" s="152" t="s">
        <v>732</v>
      </c>
      <c r="G63"/>
      <c r="H63" s="177" t="s">
        <v>884</v>
      </c>
      <c r="I63" s="91" t="s">
        <v>922</v>
      </c>
      <c r="J63" s="91" t="s">
        <v>85</v>
      </c>
      <c r="K63" s="178" t="s">
        <v>883</v>
      </c>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t="27" hidden="1">
      <c r="A64" s="57">
        <f t="shared" si="1"/>
        <v>51</v>
      </c>
      <c r="B64" s="68" t="s">
        <v>877</v>
      </c>
      <c r="C64" s="68" t="s">
        <v>733</v>
      </c>
      <c r="D64" s="68" t="s">
        <v>734</v>
      </c>
      <c r="E64" s="68">
        <v>14</v>
      </c>
      <c r="F64" s="152" t="s">
        <v>735</v>
      </c>
      <c r="G64"/>
      <c r="H64" s="177" t="s">
        <v>884</v>
      </c>
      <c r="I64" s="4" t="s">
        <v>915</v>
      </c>
      <c r="J64" s="91" t="s">
        <v>87</v>
      </c>
      <c r="K64" s="91" t="s">
        <v>883</v>
      </c>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hidden="1">
      <c r="A65" s="57">
        <f t="shared" si="1"/>
        <v>52</v>
      </c>
      <c r="B65" s="68" t="s">
        <v>877</v>
      </c>
      <c r="C65" s="68" t="s">
        <v>736</v>
      </c>
      <c r="D65" s="68">
        <v>1.1100000000000001</v>
      </c>
      <c r="E65" s="68">
        <v>15</v>
      </c>
      <c r="F65" s="152" t="s">
        <v>737</v>
      </c>
      <c r="G65"/>
      <c r="H65" s="91" t="s">
        <v>884</v>
      </c>
      <c r="I65" s="91" t="s">
        <v>914</v>
      </c>
      <c r="J65" s="178" t="s">
        <v>87</v>
      </c>
      <c r="K65" s="178" t="s">
        <v>883</v>
      </c>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hidden="1">
      <c r="A66" s="57">
        <f t="shared" si="1"/>
        <v>53</v>
      </c>
      <c r="B66" s="68" t="s">
        <v>877</v>
      </c>
      <c r="C66" s="68" t="s">
        <v>738</v>
      </c>
      <c r="D66" s="68">
        <v>11.2</v>
      </c>
      <c r="E66" s="68">
        <v>67</v>
      </c>
      <c r="F66" s="152" t="s">
        <v>739</v>
      </c>
      <c r="G66"/>
      <c r="H66" s="91" t="s">
        <v>884</v>
      </c>
      <c r="I66" s="91" t="s">
        <v>885</v>
      </c>
      <c r="J66" s="178" t="s">
        <v>87</v>
      </c>
      <c r="K66" s="178" t="s">
        <v>883</v>
      </c>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27" hidden="1">
      <c r="A67" s="57">
        <f t="shared" si="1"/>
        <v>54</v>
      </c>
      <c r="B67" s="68" t="s">
        <v>877</v>
      </c>
      <c r="C67" s="68" t="s">
        <v>740</v>
      </c>
      <c r="D67" s="68" t="s">
        <v>741</v>
      </c>
      <c r="E67" s="68">
        <v>66</v>
      </c>
      <c r="F67" s="152" t="s">
        <v>742</v>
      </c>
      <c r="G67"/>
      <c r="H67" s="177" t="s">
        <v>1030</v>
      </c>
      <c r="I67" s="4" t="s">
        <v>1052</v>
      </c>
      <c r="J67" s="91" t="s">
        <v>87</v>
      </c>
      <c r="K67" s="91" t="s">
        <v>883</v>
      </c>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ht="94.5" hidden="1">
      <c r="A68" s="57">
        <f t="shared" si="1"/>
        <v>55</v>
      </c>
      <c r="B68" s="68" t="s">
        <v>877</v>
      </c>
      <c r="C68" s="68" t="s">
        <v>743</v>
      </c>
      <c r="D68" s="68">
        <v>9</v>
      </c>
      <c r="E68" s="68">
        <v>63</v>
      </c>
      <c r="F68" s="152" t="s">
        <v>744</v>
      </c>
      <c r="G68"/>
      <c r="H68" s="91" t="s">
        <v>884</v>
      </c>
      <c r="I68" s="4" t="s">
        <v>925</v>
      </c>
      <c r="J68" s="91" t="s">
        <v>87</v>
      </c>
      <c r="K68" s="178" t="s">
        <v>883</v>
      </c>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hidden="1">
      <c r="A69" s="57">
        <f t="shared" si="1"/>
        <v>56</v>
      </c>
      <c r="B69" s="68" t="s">
        <v>877</v>
      </c>
      <c r="C69" s="68" t="s">
        <v>745</v>
      </c>
      <c r="D69" s="68" t="s">
        <v>746</v>
      </c>
      <c r="E69" s="68" t="s">
        <v>747</v>
      </c>
      <c r="F69" s="152" t="s">
        <v>748</v>
      </c>
      <c r="G69"/>
      <c r="H69" s="177" t="s">
        <v>884</v>
      </c>
      <c r="I69" s="91" t="s">
        <v>886</v>
      </c>
      <c r="J69" s="178"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hidden="1">
      <c r="A70" s="57">
        <f t="shared" si="1"/>
        <v>57</v>
      </c>
      <c r="B70" s="68" t="s">
        <v>878</v>
      </c>
      <c r="C70" s="68" t="s">
        <v>749</v>
      </c>
      <c r="D70" s="68">
        <v>1.2</v>
      </c>
      <c r="E70" s="68" t="s">
        <v>750</v>
      </c>
      <c r="F70" s="152" t="s">
        <v>751</v>
      </c>
      <c r="G70"/>
      <c r="H70" s="177" t="s">
        <v>884</v>
      </c>
      <c r="I70" s="91" t="s">
        <v>901</v>
      </c>
      <c r="J70" s="91" t="s">
        <v>87</v>
      </c>
      <c r="K70" s="178" t="s">
        <v>883</v>
      </c>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94.5" hidden="1">
      <c r="A71" s="57">
        <f t="shared" si="1"/>
        <v>58</v>
      </c>
      <c r="B71" s="68" t="s">
        <v>878</v>
      </c>
      <c r="C71" s="68" t="s">
        <v>752</v>
      </c>
      <c r="D71" s="68">
        <v>1.2</v>
      </c>
      <c r="E71" s="68" t="s">
        <v>753</v>
      </c>
      <c r="F71" s="152" t="s">
        <v>754</v>
      </c>
      <c r="G71"/>
      <c r="H71" s="177" t="s">
        <v>884</v>
      </c>
      <c r="I71" s="4" t="s">
        <v>923</v>
      </c>
      <c r="J71" s="91" t="s">
        <v>87</v>
      </c>
      <c r="K71" s="91" t="s">
        <v>883</v>
      </c>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hidden="1">
      <c r="A72" s="57">
        <f t="shared" si="1"/>
        <v>59</v>
      </c>
      <c r="B72" s="68" t="s">
        <v>878</v>
      </c>
      <c r="C72" s="68" t="s">
        <v>755</v>
      </c>
      <c r="D72" s="68">
        <v>1.4</v>
      </c>
      <c r="E72" s="68" t="s">
        <v>756</v>
      </c>
      <c r="F72" s="152" t="s">
        <v>757</v>
      </c>
      <c r="G72"/>
      <c r="H72" s="177" t="s">
        <v>884</v>
      </c>
      <c r="I72" s="91" t="s">
        <v>903</v>
      </c>
      <c r="J72" s="91" t="s">
        <v>87</v>
      </c>
      <c r="K72" s="178" t="s">
        <v>883</v>
      </c>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hidden="1">
      <c r="A73" s="57">
        <f t="shared" si="1"/>
        <v>60</v>
      </c>
      <c r="B73" s="68" t="s">
        <v>878</v>
      </c>
      <c r="C73" s="68" t="s">
        <v>758</v>
      </c>
      <c r="D73" s="68" t="s">
        <v>688</v>
      </c>
      <c r="E73" s="68" t="s">
        <v>688</v>
      </c>
      <c r="F73" s="152" t="s">
        <v>759</v>
      </c>
      <c r="G73"/>
      <c r="H73" s="177" t="s">
        <v>884</v>
      </c>
      <c r="I73" s="91" t="s">
        <v>910</v>
      </c>
      <c r="J73" t="s">
        <v>86</v>
      </c>
      <c r="K73" s="180"/>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hidden="1">
      <c r="A74" s="57">
        <f t="shared" si="1"/>
        <v>61</v>
      </c>
      <c r="B74" s="68" t="s">
        <v>878</v>
      </c>
      <c r="C74" s="68" t="s">
        <v>760</v>
      </c>
      <c r="D74" s="68" t="s">
        <v>761</v>
      </c>
      <c r="E74" s="68" t="s">
        <v>762</v>
      </c>
      <c r="F74" s="152" t="s">
        <v>763</v>
      </c>
      <c r="G74"/>
      <c r="H74" s="177" t="s">
        <v>884</v>
      </c>
      <c r="I74" s="91" t="s">
        <v>885</v>
      </c>
      <c r="J74" s="91" t="s">
        <v>87</v>
      </c>
      <c r="K74" s="178" t="s">
        <v>883</v>
      </c>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hidden="1">
      <c r="A75" s="57">
        <f t="shared" si="1"/>
        <v>62</v>
      </c>
      <c r="B75" s="68" t="s">
        <v>878</v>
      </c>
      <c r="C75" s="68" t="s">
        <v>764</v>
      </c>
      <c r="D75" s="68" t="s">
        <v>765</v>
      </c>
      <c r="E75" s="68" t="s">
        <v>766</v>
      </c>
      <c r="F75" s="152" t="s">
        <v>767</v>
      </c>
      <c r="G75"/>
      <c r="H75" s="177" t="s">
        <v>884</v>
      </c>
      <c r="I75" s="91" t="s">
        <v>885</v>
      </c>
      <c r="J75" s="91" t="s">
        <v>87</v>
      </c>
      <c r="K75" s="178" t="s">
        <v>883</v>
      </c>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hidden="1">
      <c r="A76" s="57">
        <f t="shared" si="1"/>
        <v>63</v>
      </c>
      <c r="B76" s="68" t="s">
        <v>878</v>
      </c>
      <c r="C76" s="68" t="s">
        <v>768</v>
      </c>
      <c r="D76" s="68" t="s">
        <v>769</v>
      </c>
      <c r="E76" s="68" t="s">
        <v>705</v>
      </c>
      <c r="F76" s="152" t="s">
        <v>770</v>
      </c>
      <c r="G76"/>
      <c r="H76" s="177" t="s">
        <v>884</v>
      </c>
      <c r="I76" s="91" t="s">
        <v>888</v>
      </c>
      <c r="J76" s="91" t="s">
        <v>87</v>
      </c>
      <c r="K76" s="178" t="s">
        <v>883</v>
      </c>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hidden="1">
      <c r="A77" s="57">
        <f t="shared" si="1"/>
        <v>64</v>
      </c>
      <c r="B77" s="68" t="s">
        <v>878</v>
      </c>
      <c r="C77" s="68" t="s">
        <v>771</v>
      </c>
      <c r="D77" s="68">
        <v>1.8</v>
      </c>
      <c r="E77" s="68" t="s">
        <v>772</v>
      </c>
      <c r="F77" s="152" t="s">
        <v>773</v>
      </c>
      <c r="G77"/>
      <c r="H77" s="177" t="s">
        <v>884</v>
      </c>
      <c r="I77" s="91" t="s">
        <v>887</v>
      </c>
      <c r="J77" s="91" t="s">
        <v>87</v>
      </c>
      <c r="K77" s="178" t="s">
        <v>883</v>
      </c>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hidden="1">
      <c r="A78" s="57">
        <f t="shared" si="1"/>
        <v>65</v>
      </c>
      <c r="B78" s="68" t="s">
        <v>878</v>
      </c>
      <c r="C78" s="68" t="s">
        <v>774</v>
      </c>
      <c r="D78" s="68">
        <v>1.8</v>
      </c>
      <c r="E78" s="68" t="s">
        <v>775</v>
      </c>
      <c r="F78" s="152" t="s">
        <v>776</v>
      </c>
      <c r="G78"/>
      <c r="H78" s="177" t="s">
        <v>884</v>
      </c>
      <c r="I78" s="91" t="s">
        <v>885</v>
      </c>
      <c r="J78" s="91" t="s">
        <v>87</v>
      </c>
      <c r="K78" s="178" t="s">
        <v>883</v>
      </c>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hidden="1">
      <c r="A79" s="57">
        <f t="shared" ref="A79:A110" si="2">A78+1</f>
        <v>66</v>
      </c>
      <c r="B79" s="68" t="s">
        <v>878</v>
      </c>
      <c r="C79" s="68" t="s">
        <v>777</v>
      </c>
      <c r="D79" s="68">
        <v>1.8</v>
      </c>
      <c r="E79" s="68" t="s">
        <v>778</v>
      </c>
      <c r="F79" s="152" t="s">
        <v>779</v>
      </c>
      <c r="G79"/>
      <c r="H79" s="177" t="s">
        <v>884</v>
      </c>
      <c r="I79" s="91" t="s">
        <v>887</v>
      </c>
      <c r="J79" s="91" t="s">
        <v>87</v>
      </c>
      <c r="K79" s="178" t="s">
        <v>883</v>
      </c>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40.5" hidden="1">
      <c r="A80" s="57">
        <f t="shared" si="2"/>
        <v>67</v>
      </c>
      <c r="B80" s="68" t="s">
        <v>878</v>
      </c>
      <c r="C80" s="68" t="s">
        <v>780</v>
      </c>
      <c r="D80" s="68">
        <v>1.8</v>
      </c>
      <c r="E80" s="68" t="s">
        <v>781</v>
      </c>
      <c r="F80" s="152" t="s">
        <v>782</v>
      </c>
      <c r="G80"/>
      <c r="H80" s="177" t="s">
        <v>884</v>
      </c>
      <c r="I80" s="4" t="s">
        <v>1033</v>
      </c>
      <c r="J80" s="91" t="s">
        <v>87</v>
      </c>
      <c r="K80" s="91" t="s">
        <v>883</v>
      </c>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hidden="1">
      <c r="A81" s="57">
        <f t="shared" si="2"/>
        <v>68</v>
      </c>
      <c r="B81" s="68" t="s">
        <v>878</v>
      </c>
      <c r="C81" s="68" t="s">
        <v>783</v>
      </c>
      <c r="D81" s="68">
        <v>1.8</v>
      </c>
      <c r="E81" s="68" t="s">
        <v>784</v>
      </c>
      <c r="F81" s="152" t="s">
        <v>785</v>
      </c>
      <c r="G81"/>
      <c r="H81" s="177" t="s">
        <v>884</v>
      </c>
      <c r="I81" s="91" t="s">
        <v>912</v>
      </c>
      <c r="J81" s="91" t="s">
        <v>87</v>
      </c>
      <c r="K81" s="178" t="s">
        <v>883</v>
      </c>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hidden="1">
      <c r="A82" s="57">
        <f t="shared" si="2"/>
        <v>69</v>
      </c>
      <c r="B82" s="68" t="s">
        <v>878</v>
      </c>
      <c r="C82" s="68" t="s">
        <v>786</v>
      </c>
      <c r="D82" s="68">
        <v>1.2</v>
      </c>
      <c r="E82" s="68" t="s">
        <v>705</v>
      </c>
      <c r="F82" s="152" t="s">
        <v>787</v>
      </c>
      <c r="G82"/>
      <c r="H82" s="91" t="s">
        <v>884</v>
      </c>
      <c r="I82" s="91" t="s">
        <v>911</v>
      </c>
      <c r="J82" s="178" t="s">
        <v>87</v>
      </c>
      <c r="K82" s="178" t="s">
        <v>883</v>
      </c>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54" hidden="1">
      <c r="A83" s="57">
        <f t="shared" si="2"/>
        <v>70</v>
      </c>
      <c r="B83" s="68" t="s">
        <v>878</v>
      </c>
      <c r="C83" s="68" t="s">
        <v>788</v>
      </c>
      <c r="D83" s="68" t="s">
        <v>726</v>
      </c>
      <c r="E83" s="68" t="s">
        <v>688</v>
      </c>
      <c r="F83" s="152" t="s">
        <v>789</v>
      </c>
      <c r="G83"/>
      <c r="H83" s="177" t="s">
        <v>884</v>
      </c>
      <c r="I83" s="4" t="s">
        <v>1024</v>
      </c>
      <c r="J83" t="s">
        <v>85</v>
      </c>
      <c r="K83" t="s">
        <v>883</v>
      </c>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hidden="1">
      <c r="A84" s="57">
        <f t="shared" si="2"/>
        <v>71</v>
      </c>
      <c r="B84" s="68" t="s">
        <v>878</v>
      </c>
      <c r="C84" s="68" t="s">
        <v>790</v>
      </c>
      <c r="D84" s="68" t="s">
        <v>791</v>
      </c>
      <c r="E84" s="68" t="s">
        <v>792</v>
      </c>
      <c r="F84" s="152" t="s">
        <v>793</v>
      </c>
      <c r="G84"/>
      <c r="H84" s="177" t="s">
        <v>884</v>
      </c>
      <c r="I84" s="3" t="s">
        <v>899</v>
      </c>
      <c r="J84" t="s">
        <v>87</v>
      </c>
      <c r="K84" t="s">
        <v>883</v>
      </c>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hidden="1">
      <c r="A85" s="57">
        <f t="shared" si="2"/>
        <v>72</v>
      </c>
      <c r="B85" s="68" t="s">
        <v>878</v>
      </c>
      <c r="C85" s="68" t="s">
        <v>794</v>
      </c>
      <c r="D85" s="68" t="s">
        <v>795</v>
      </c>
      <c r="E85" s="68" t="s">
        <v>688</v>
      </c>
      <c r="F85" s="152" t="s">
        <v>796</v>
      </c>
      <c r="G85"/>
      <c r="H85" s="177" t="s">
        <v>884</v>
      </c>
      <c r="I85" s="4" t="s">
        <v>1046</v>
      </c>
      <c r="J85" s="91" t="s">
        <v>85</v>
      </c>
      <c r="K85" s="91" t="s">
        <v>883</v>
      </c>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hidden="1">
      <c r="A86" s="57">
        <f t="shared" si="2"/>
        <v>73</v>
      </c>
      <c r="B86" s="68" t="s">
        <v>878</v>
      </c>
      <c r="C86" s="68" t="s">
        <v>797</v>
      </c>
      <c r="D86" s="68">
        <v>5.0999999999999996</v>
      </c>
      <c r="E86" s="68" t="s">
        <v>798</v>
      </c>
      <c r="F86" s="152" t="s">
        <v>799</v>
      </c>
      <c r="G86"/>
      <c r="H86" s="177" t="s">
        <v>884</v>
      </c>
      <c r="I86" t="s">
        <v>888</v>
      </c>
      <c r="J86" t="s">
        <v>87</v>
      </c>
      <c r="K86" s="176" t="s">
        <v>883</v>
      </c>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hidden="1">
      <c r="A87" s="57">
        <f t="shared" si="2"/>
        <v>74</v>
      </c>
      <c r="B87" s="68" t="s">
        <v>878</v>
      </c>
      <c r="C87" s="68" t="s">
        <v>800</v>
      </c>
      <c r="D87" s="68">
        <v>6.1</v>
      </c>
      <c r="E87" s="68" t="s">
        <v>801</v>
      </c>
      <c r="F87" s="152" t="s">
        <v>802</v>
      </c>
      <c r="G87"/>
      <c r="H87" s="177" t="s">
        <v>884</v>
      </c>
      <c r="I87" t="s">
        <v>894</v>
      </c>
      <c r="J87" s="176" t="s">
        <v>86</v>
      </c>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hidden="1">
      <c r="A88" s="57">
        <f t="shared" si="2"/>
        <v>75</v>
      </c>
      <c r="B88" s="68" t="s">
        <v>878</v>
      </c>
      <c r="C88" s="68" t="s">
        <v>800</v>
      </c>
      <c r="D88" s="68" t="s">
        <v>803</v>
      </c>
      <c r="E88" s="68" t="s">
        <v>804</v>
      </c>
      <c r="F88" s="152" t="s">
        <v>805</v>
      </c>
      <c r="G88"/>
      <c r="H88" s="177" t="s">
        <v>884</v>
      </c>
      <c r="I88" s="4" t="s">
        <v>924</v>
      </c>
      <c r="J88" s="91" t="s">
        <v>87</v>
      </c>
      <c r="K88" s="91" t="s">
        <v>883</v>
      </c>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hidden="1">
      <c r="A89" s="57">
        <f t="shared" si="2"/>
        <v>76</v>
      </c>
      <c r="B89" s="68" t="s">
        <v>878</v>
      </c>
      <c r="C89" s="68" t="s">
        <v>806</v>
      </c>
      <c r="D89" s="68" t="s">
        <v>807</v>
      </c>
      <c r="E89" s="68" t="s">
        <v>808</v>
      </c>
      <c r="F89" s="152" t="s">
        <v>809</v>
      </c>
      <c r="G89"/>
      <c r="H89" s="177" t="s">
        <v>884</v>
      </c>
      <c r="I89" t="s">
        <v>885</v>
      </c>
      <c r="J89" t="s">
        <v>87</v>
      </c>
      <c r="K89" s="176" t="s">
        <v>883</v>
      </c>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hidden="1">
      <c r="A90" s="57">
        <f t="shared" si="2"/>
        <v>77</v>
      </c>
      <c r="B90" s="68" t="s">
        <v>878</v>
      </c>
      <c r="C90" s="68" t="s">
        <v>810</v>
      </c>
      <c r="D90" s="68" t="s">
        <v>811</v>
      </c>
      <c r="E90" s="68" t="s">
        <v>812</v>
      </c>
      <c r="F90" s="152" t="s">
        <v>813</v>
      </c>
      <c r="G90"/>
      <c r="H90" s="177" t="s">
        <v>884</v>
      </c>
      <c r="I90" t="s">
        <v>897</v>
      </c>
      <c r="J90" t="s">
        <v>87</v>
      </c>
      <c r="K90" s="176" t="s">
        <v>883</v>
      </c>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81" hidden="1">
      <c r="A91" s="57">
        <f t="shared" si="2"/>
        <v>78</v>
      </c>
      <c r="B91" s="68" t="s">
        <v>878</v>
      </c>
      <c r="C91" s="68" t="s">
        <v>814</v>
      </c>
      <c r="D91" s="68" t="s">
        <v>811</v>
      </c>
      <c r="E91" s="68" t="s">
        <v>815</v>
      </c>
      <c r="F91" s="152" t="s">
        <v>816</v>
      </c>
      <c r="G91"/>
      <c r="H91" s="177" t="s">
        <v>884</v>
      </c>
      <c r="I91" s="3" t="s">
        <v>896</v>
      </c>
      <c r="J91" t="s">
        <v>86</v>
      </c>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hidden="1">
      <c r="A92" s="57">
        <f t="shared" si="2"/>
        <v>79</v>
      </c>
      <c r="B92" s="68" t="s">
        <v>878</v>
      </c>
      <c r="C92" s="68" t="s">
        <v>817</v>
      </c>
      <c r="D92" s="68" t="s">
        <v>811</v>
      </c>
      <c r="E92" s="68" t="s">
        <v>818</v>
      </c>
      <c r="F92" s="152" t="s">
        <v>819</v>
      </c>
      <c r="G92"/>
      <c r="H92" s="177" t="s">
        <v>884</v>
      </c>
      <c r="I92" t="s">
        <v>885</v>
      </c>
      <c r="J92" t="s">
        <v>87</v>
      </c>
      <c r="K92" s="176" t="s">
        <v>883</v>
      </c>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hidden="1">
      <c r="A93" s="57">
        <f t="shared" si="2"/>
        <v>80</v>
      </c>
      <c r="B93" s="68" t="s">
        <v>878</v>
      </c>
      <c r="C93" s="68" t="s">
        <v>820</v>
      </c>
      <c r="D93" s="68" t="s">
        <v>821</v>
      </c>
      <c r="E93" s="68" t="s">
        <v>822</v>
      </c>
      <c r="F93" s="152" t="s">
        <v>823</v>
      </c>
      <c r="G93"/>
      <c r="H93" s="177" t="s">
        <v>884</v>
      </c>
      <c r="I93" t="s">
        <v>891</v>
      </c>
      <c r="J93" s="176" t="s">
        <v>86</v>
      </c>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hidden="1">
      <c r="A94" s="57">
        <f t="shared" si="2"/>
        <v>81</v>
      </c>
      <c r="B94" s="68" t="s">
        <v>878</v>
      </c>
      <c r="C94" s="68" t="s">
        <v>824</v>
      </c>
      <c r="D94" s="68" t="s">
        <v>825</v>
      </c>
      <c r="E94" s="68" t="s">
        <v>688</v>
      </c>
      <c r="F94" s="152" t="s">
        <v>826</v>
      </c>
      <c r="G94"/>
      <c r="H94"/>
      <c r="I94"/>
      <c r="J94" t="s">
        <v>85</v>
      </c>
      <c r="K94" t="s">
        <v>883</v>
      </c>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hidden="1">
      <c r="A95" s="57">
        <f t="shared" si="2"/>
        <v>82</v>
      </c>
      <c r="B95" s="68" t="s">
        <v>878</v>
      </c>
      <c r="C95" s="68" t="s">
        <v>827</v>
      </c>
      <c r="D95" s="68" t="s">
        <v>828</v>
      </c>
      <c r="E95" s="68" t="s">
        <v>829</v>
      </c>
      <c r="F95" s="152" t="s">
        <v>830</v>
      </c>
      <c r="G95"/>
      <c r="H95" s="177" t="s">
        <v>884</v>
      </c>
      <c r="I95" s="91" t="s">
        <v>890</v>
      </c>
      <c r="J95" s="178" t="s">
        <v>86</v>
      </c>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hidden="1">
      <c r="A96" s="57">
        <f t="shared" si="2"/>
        <v>83</v>
      </c>
      <c r="B96" s="68" t="s">
        <v>878</v>
      </c>
      <c r="C96" s="68" t="s">
        <v>831</v>
      </c>
      <c r="D96" s="68" t="s">
        <v>832</v>
      </c>
      <c r="E96" s="68" t="s">
        <v>833</v>
      </c>
      <c r="F96" s="152" t="s">
        <v>834</v>
      </c>
      <c r="G96"/>
      <c r="H96" s="177" t="s">
        <v>884</v>
      </c>
      <c r="I96" t="s">
        <v>885</v>
      </c>
      <c r="J96" t="s">
        <v>87</v>
      </c>
      <c r="K96" s="176" t="s">
        <v>883</v>
      </c>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hidden="1">
      <c r="A97" s="57">
        <f t="shared" si="2"/>
        <v>84</v>
      </c>
      <c r="B97" s="68" t="s">
        <v>878</v>
      </c>
      <c r="C97" s="68" t="s">
        <v>835</v>
      </c>
      <c r="D97" s="68">
        <v>7</v>
      </c>
      <c r="E97" s="68" t="s">
        <v>836</v>
      </c>
      <c r="F97" s="152" t="s">
        <v>837</v>
      </c>
      <c r="G97"/>
      <c r="H97" s="177" t="s">
        <v>884</v>
      </c>
      <c r="I97" t="s">
        <v>885</v>
      </c>
      <c r="J97" t="s">
        <v>87</v>
      </c>
      <c r="K97" s="176" t="s">
        <v>883</v>
      </c>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hidden="1">
      <c r="A98" s="57">
        <f t="shared" si="2"/>
        <v>85</v>
      </c>
      <c r="B98" s="68" t="s">
        <v>878</v>
      </c>
      <c r="C98" s="68" t="s">
        <v>838</v>
      </c>
      <c r="D98" s="68" t="s">
        <v>839</v>
      </c>
      <c r="E98" s="68" t="s">
        <v>840</v>
      </c>
      <c r="F98" s="152" t="s">
        <v>841</v>
      </c>
      <c r="G98"/>
      <c r="H98" s="177" t="s">
        <v>884</v>
      </c>
      <c r="I98" t="s">
        <v>885</v>
      </c>
      <c r="J98" t="s">
        <v>87</v>
      </c>
      <c r="K98" s="176" t="s">
        <v>883</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hidden="1">
      <c r="A99" s="57">
        <f t="shared" si="2"/>
        <v>86</v>
      </c>
      <c r="B99" s="68" t="s">
        <v>878</v>
      </c>
      <c r="C99" s="68" t="s">
        <v>842</v>
      </c>
      <c r="D99" s="68" t="s">
        <v>843</v>
      </c>
      <c r="E99" s="68" t="s">
        <v>844</v>
      </c>
      <c r="F99" s="152" t="s">
        <v>845</v>
      </c>
      <c r="G99"/>
      <c r="H99" s="177" t="s">
        <v>884</v>
      </c>
      <c r="I99" t="s">
        <v>888</v>
      </c>
      <c r="J99" t="s">
        <v>87</v>
      </c>
      <c r="K99" s="176" t="s">
        <v>883</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40.5" hidden="1">
      <c r="A100" s="57">
        <f t="shared" si="2"/>
        <v>87</v>
      </c>
      <c r="B100" s="68" t="s">
        <v>878</v>
      </c>
      <c r="C100" s="68" t="s">
        <v>846</v>
      </c>
      <c r="D100" s="68">
        <v>7.1</v>
      </c>
      <c r="E100" s="68" t="s">
        <v>847</v>
      </c>
      <c r="F100" s="152" t="s">
        <v>848</v>
      </c>
      <c r="G100"/>
      <c r="H100" s="177" t="s">
        <v>884</v>
      </c>
      <c r="I100" s="3" t="s">
        <v>893</v>
      </c>
      <c r="J100" t="s">
        <v>86</v>
      </c>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hidden="1">
      <c r="A101" s="57">
        <f t="shared" si="2"/>
        <v>88</v>
      </c>
      <c r="B101" s="68" t="s">
        <v>878</v>
      </c>
      <c r="C101" s="68" t="s">
        <v>849</v>
      </c>
      <c r="D101" s="68">
        <v>7.1</v>
      </c>
      <c r="E101" s="68" t="s">
        <v>850</v>
      </c>
      <c r="F101" s="152" t="s">
        <v>851</v>
      </c>
      <c r="G101"/>
      <c r="H101" s="177" t="s">
        <v>884</v>
      </c>
      <c r="I101" t="s">
        <v>887</v>
      </c>
      <c r="J101" t="s">
        <v>87</v>
      </c>
      <c r="K101" s="176" t="s">
        <v>883</v>
      </c>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40.5" hidden="1">
      <c r="A102" s="57">
        <f t="shared" si="2"/>
        <v>89</v>
      </c>
      <c r="B102" s="68" t="s">
        <v>878</v>
      </c>
      <c r="C102" s="68" t="s">
        <v>852</v>
      </c>
      <c r="D102" s="68">
        <v>7.1</v>
      </c>
      <c r="E102" s="68" t="s">
        <v>853</v>
      </c>
      <c r="F102" s="152" t="s">
        <v>854</v>
      </c>
      <c r="G102"/>
      <c r="H102" s="177" t="s">
        <v>884</v>
      </c>
      <c r="I102" s="3" t="s">
        <v>892</v>
      </c>
      <c r="J102" t="s">
        <v>87</v>
      </c>
      <c r="K102" s="176" t="s">
        <v>883</v>
      </c>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hidden="1">
      <c r="A103" s="57">
        <f t="shared" si="2"/>
        <v>90</v>
      </c>
      <c r="B103" s="68" t="s">
        <v>878</v>
      </c>
      <c r="C103" s="68" t="s">
        <v>855</v>
      </c>
      <c r="D103" s="68" t="s">
        <v>856</v>
      </c>
      <c r="E103" s="68" t="s">
        <v>857</v>
      </c>
      <c r="F103" s="152" t="s">
        <v>858</v>
      </c>
      <c r="G103"/>
      <c r="H103" s="177" t="s">
        <v>884</v>
      </c>
      <c r="I103" s="91" t="s">
        <v>885</v>
      </c>
      <c r="J103" s="91" t="s">
        <v>87</v>
      </c>
      <c r="K103" s="178" t="s">
        <v>883</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hidden="1">
      <c r="A104" s="57">
        <f t="shared" si="2"/>
        <v>91</v>
      </c>
      <c r="B104" s="68" t="s">
        <v>878</v>
      </c>
      <c r="C104" s="68" t="s">
        <v>859</v>
      </c>
      <c r="D104" s="68" t="s">
        <v>860</v>
      </c>
      <c r="E104" s="68" t="s">
        <v>861</v>
      </c>
      <c r="F104" s="152" t="s">
        <v>862</v>
      </c>
      <c r="G104"/>
      <c r="H104" s="177" t="s">
        <v>884</v>
      </c>
      <c r="I104" s="91" t="s">
        <v>887</v>
      </c>
      <c r="J104" t="s">
        <v>87</v>
      </c>
      <c r="K104" s="176" t="s">
        <v>883</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c r="A105" s="57">
        <f t="shared" si="2"/>
        <v>92</v>
      </c>
      <c r="B105" s="68" t="s">
        <v>878</v>
      </c>
      <c r="C105" s="68" t="s">
        <v>863</v>
      </c>
      <c r="D105" s="68" t="s">
        <v>864</v>
      </c>
      <c r="E105" s="68" t="s">
        <v>865</v>
      </c>
      <c r="F105" s="152" t="s">
        <v>866</v>
      </c>
      <c r="G105"/>
      <c r="H105"/>
      <c r="I105" s="2" t="s">
        <v>1043</v>
      </c>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hidden="1">
      <c r="A106" s="57">
        <f t="shared" si="2"/>
        <v>93</v>
      </c>
      <c r="B106" s="68" t="s">
        <v>878</v>
      </c>
      <c r="C106" s="68" t="s">
        <v>867</v>
      </c>
      <c r="D106" s="68" t="s">
        <v>688</v>
      </c>
      <c r="E106" s="68" t="s">
        <v>705</v>
      </c>
      <c r="F106" s="152" t="s">
        <v>868</v>
      </c>
      <c r="G106"/>
      <c r="H106"/>
      <c r="I106"/>
      <c r="J106" t="s">
        <v>85</v>
      </c>
      <c r="K106" t="s">
        <v>883</v>
      </c>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hidden="1">
      <c r="A107" s="57">
        <f t="shared" si="2"/>
        <v>94</v>
      </c>
      <c r="B107" s="68" t="s">
        <v>879</v>
      </c>
      <c r="C107" s="68" t="s">
        <v>926</v>
      </c>
      <c r="D107" s="68" t="s">
        <v>869</v>
      </c>
      <c r="E107" s="68">
        <v>1</v>
      </c>
      <c r="F107" s="152" t="s">
        <v>870</v>
      </c>
      <c r="G107"/>
      <c r="H107" s="177" t="s">
        <v>884</v>
      </c>
      <c r="I107" s="4" t="s">
        <v>882</v>
      </c>
      <c r="J107" t="s">
        <v>87</v>
      </c>
      <c r="K107" s="176" t="s">
        <v>883</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t="54" hidden="1">
      <c r="A108" s="57">
        <f t="shared" si="2"/>
        <v>95</v>
      </c>
      <c r="B108" s="68" t="s">
        <v>884</v>
      </c>
      <c r="C108" s="68" t="s">
        <v>927</v>
      </c>
      <c r="D108" s="68" t="s">
        <v>904</v>
      </c>
      <c r="E108" s="68" t="s">
        <v>905</v>
      </c>
      <c r="F108" s="152" t="s">
        <v>906</v>
      </c>
      <c r="G108" s="67"/>
      <c r="H108" s="65" t="s">
        <v>884</v>
      </c>
      <c r="I108" s="152" t="s">
        <v>1034</v>
      </c>
      <c r="J108" s="65" t="s">
        <v>86</v>
      </c>
      <c r="K108" s="65" t="s">
        <v>106</v>
      </c>
      <c r="L108" s="112"/>
      <c r="M108" s="58"/>
      <c r="N108" s="66" t="e">
        <f>IF(OR(AND(CodeFileListUsed="Yes",#REF!="",COUNTA(B108:C108,D108:F108)&lt;&gt;0),AND(COUNTA(B108:C108,D108:F108)&lt;&gt;0, COUNTA(B108:C108,D108:F108)&lt;&gt;COUNTA(B$13:C$13,D$13:F$13))),CheckErr,CheckOK)</f>
        <v>#REF!</v>
      </c>
      <c r="O108" s="50" t="str">
        <f t="shared" ref="O108:O134" si="3">IF(OR(ISBLANK(F108), AND(NOT(ISBLANK(H108)),OR(AND(J108="Accepted",OR(K108="Y",K108="y")),J108="Noted",J108="Duplicate",AND(J108="Rejected",NOT(ISBLANK(I108)))))),CheckOK,CheckErr)</f>
        <v/>
      </c>
      <c r="P108" s="50" t="str">
        <f t="shared" ref="P108:P134" si="4">IF(OR(ISBLANK(F108),NOT(ISBLANK(L108))),CheckOK,CheckErr)</f>
        <v>!</v>
      </c>
    </row>
    <row r="109" spans="1:16" ht="135" hidden="1">
      <c r="A109" s="57">
        <f t="shared" si="2"/>
        <v>96</v>
      </c>
      <c r="B109" s="68"/>
      <c r="C109" s="68" t="s">
        <v>992</v>
      </c>
      <c r="D109" s="68" t="s">
        <v>985</v>
      </c>
      <c r="E109" s="68" t="s">
        <v>705</v>
      </c>
      <c r="F109" s="152" t="s">
        <v>991</v>
      </c>
      <c r="G109"/>
      <c r="H109" s="65" t="s">
        <v>884</v>
      </c>
      <c r="I109" s="152" t="s">
        <v>1035</v>
      </c>
      <c r="J109" s="65" t="s">
        <v>87</v>
      </c>
      <c r="K109" s="65" t="s">
        <v>883</v>
      </c>
      <c r="L109" s="112"/>
      <c r="M109" s="58"/>
      <c r="N109" s="66" t="e">
        <f>IF(OR(AND(CodeFileListUsed="Yes",#REF!="",COUNTA(B109:B109,#REF!)&lt;&gt;0),AND(COUNTA(B109:B109,#REF!)&lt;&gt;0, COUNTA(B109:B109,#REF!)&lt;&gt;COUNTA(B$13:C$13,D$13:F$13))),CheckErr,CheckOK)</f>
        <v>#REF!</v>
      </c>
      <c r="O109" s="50" t="str">
        <f>IF(OR(ISBLANK(#REF!), AND(NOT(ISBLANK(H109)),OR(AND(J109="Accepted",OR(K109="Y",K109="y")),J109="Noted",J109="Duplicate",AND(J109="Rejected",NOT(ISBLANK(I109)))))),CheckOK,CheckErr)</f>
        <v/>
      </c>
      <c r="P109" s="50" t="str">
        <f>IF(OR(ISBLANK(#REF!),NOT(ISBLANK(L109))),CheckOK,CheckErr)</f>
        <v>!</v>
      </c>
    </row>
    <row r="110" spans="1:16" ht="40.5" hidden="1">
      <c r="A110" s="57">
        <f t="shared" si="2"/>
        <v>97</v>
      </c>
      <c r="B110" s="68"/>
      <c r="C110" s="68" t="s">
        <v>990</v>
      </c>
      <c r="D110" s="68" t="s">
        <v>839</v>
      </c>
      <c r="E110" s="68" t="s">
        <v>705</v>
      </c>
      <c r="F110" s="152" t="s">
        <v>989</v>
      </c>
      <c r="G110"/>
      <c r="H110" s="65" t="s">
        <v>884</v>
      </c>
      <c r="I110" s="152" t="s">
        <v>887</v>
      </c>
      <c r="J110" s="65" t="s">
        <v>87</v>
      </c>
      <c r="K110" s="65" t="s">
        <v>883</v>
      </c>
      <c r="L110" s="112"/>
      <c r="M110" s="58"/>
      <c r="N110" s="66" t="e">
        <f>IF(OR(AND(CodeFileListUsed="Yes",#REF!="",COUNTA(B110:B110,#REF!)&lt;&gt;0),AND(COUNTA(B110:B110,#REF!)&lt;&gt;0, COUNTA(B110:B110,#REF!)&lt;&gt;COUNTA(B$13:C$13,D$13:F$13))),CheckErr,CheckOK)</f>
        <v>#REF!</v>
      </c>
      <c r="O110" s="50" t="str">
        <f>IF(OR(ISBLANK(#REF!), AND(NOT(ISBLANK(H110)),OR(AND(J110="Accepted",OR(K110="Y",K110="y")),J110="Noted",J110="Duplicate",AND(J110="Rejected",NOT(ISBLANK(I110)))))),CheckOK,CheckErr)</f>
        <v/>
      </c>
      <c r="P110" s="50" t="str">
        <f>IF(OR(ISBLANK(#REF!),NOT(ISBLANK(L110))),CheckOK,CheckErr)</f>
        <v>!</v>
      </c>
    </row>
    <row r="111" spans="1:16" ht="27" hidden="1">
      <c r="A111" s="57">
        <f t="shared" ref="A111:A142" si="5">A110+1</f>
        <v>98</v>
      </c>
      <c r="B111" s="68"/>
      <c r="C111" s="68" t="s">
        <v>988</v>
      </c>
      <c r="D111" s="68" t="s">
        <v>985</v>
      </c>
      <c r="E111" s="68" t="s">
        <v>705</v>
      </c>
      <c r="F111" s="152" t="s">
        <v>987</v>
      </c>
      <c r="G111"/>
      <c r="H111" s="65" t="s">
        <v>884</v>
      </c>
      <c r="I111" s="152" t="s">
        <v>887</v>
      </c>
      <c r="J111" s="65" t="s">
        <v>87</v>
      </c>
      <c r="K111" s="65" t="s">
        <v>883</v>
      </c>
      <c r="L111" s="112"/>
      <c r="M111" s="58"/>
      <c r="N111" s="66" t="e">
        <f>IF(OR(AND(CodeFileListUsed="Yes",#REF!="",COUNTA(B111:B111,#REF!)&lt;&gt;0),AND(COUNTA(B111:B111,#REF!)&lt;&gt;0, COUNTA(B111:B111,#REF!)&lt;&gt;COUNTA(B$13:C$13,D$13:F$13))),CheckErr,CheckOK)</f>
        <v>#REF!</v>
      </c>
      <c r="O111" s="50" t="str">
        <f>IF(OR(ISBLANK(#REF!), AND(NOT(ISBLANK(H111)),OR(AND(J111="Accepted",OR(K111="Y",K111="y")),J111="Noted",J111="Duplicate",AND(J111="Rejected",NOT(ISBLANK(I111)))))),CheckOK,CheckErr)</f>
        <v/>
      </c>
      <c r="P111" s="50" t="str">
        <f>IF(OR(ISBLANK(#REF!),NOT(ISBLANK(L111))),CheckOK,CheckErr)</f>
        <v>!</v>
      </c>
    </row>
    <row r="112" spans="1:16" ht="40.5" hidden="1">
      <c r="A112" s="57">
        <f t="shared" si="5"/>
        <v>99</v>
      </c>
      <c r="B112" s="68"/>
      <c r="C112" s="68" t="s">
        <v>986</v>
      </c>
      <c r="D112" s="68" t="s">
        <v>985</v>
      </c>
      <c r="E112" s="68" t="s">
        <v>705</v>
      </c>
      <c r="F112" s="152" t="s">
        <v>984</v>
      </c>
      <c r="G112"/>
      <c r="H112" s="65" t="s">
        <v>884</v>
      </c>
      <c r="I112" s="152" t="s">
        <v>901</v>
      </c>
      <c r="J112" s="65" t="s">
        <v>87</v>
      </c>
      <c r="K112" s="65" t="s">
        <v>883</v>
      </c>
      <c r="L112" s="112"/>
      <c r="M112" s="58"/>
      <c r="N112" s="66" t="e">
        <f>IF(OR(AND(CodeFileListUsed="Yes",#REF!="",COUNTA(B112:B112,#REF!)&lt;&gt;0),AND(COUNTA(B112:B112,#REF!)&lt;&gt;0, COUNTA(B112:B112,#REF!)&lt;&gt;COUNTA(B$13:C$13,D$13:F$13))),CheckErr,CheckOK)</f>
        <v>#REF!</v>
      </c>
      <c r="O112" s="50" t="str">
        <f>IF(OR(ISBLANK(#REF!), AND(NOT(ISBLANK(H112)),OR(AND(J112="Accepted",OR(K112="Y",K112="y")),J112="Noted",J112="Duplicate",AND(J112="Rejected",NOT(ISBLANK(I112)))))),CheckOK,CheckErr)</f>
        <v/>
      </c>
      <c r="P112" s="50" t="str">
        <f>IF(OR(ISBLANK(#REF!),NOT(ISBLANK(L112))),CheckOK,CheckErr)</f>
        <v>!</v>
      </c>
    </row>
    <row r="113" spans="1:16" hidden="1">
      <c r="A113" s="57">
        <f t="shared" si="5"/>
        <v>100</v>
      </c>
      <c r="B113" s="68"/>
      <c r="C113" s="68" t="s">
        <v>983</v>
      </c>
      <c r="D113" s="68" t="s">
        <v>640</v>
      </c>
      <c r="E113" s="68" t="s">
        <v>705</v>
      </c>
      <c r="F113" s="152" t="s">
        <v>982</v>
      </c>
      <c r="G113"/>
      <c r="H113" s="65" t="s">
        <v>884</v>
      </c>
      <c r="I113" s="152" t="s">
        <v>887</v>
      </c>
      <c r="J113" s="65" t="s">
        <v>87</v>
      </c>
      <c r="K113" s="65" t="s">
        <v>883</v>
      </c>
      <c r="L113" s="112"/>
      <c r="M113" s="58"/>
      <c r="N113" s="66" t="e">
        <f>IF(OR(AND(CodeFileListUsed="Yes",#REF!="",COUNTA(B113:B113,#REF!)&lt;&gt;0),AND(COUNTA(B113:B113,#REF!)&lt;&gt;0, COUNTA(B113:B113,#REF!)&lt;&gt;COUNTA(B$13:C$13,D$13:F$13))),CheckErr,CheckOK)</f>
        <v>#REF!</v>
      </c>
      <c r="O113" s="50" t="str">
        <f>IF(OR(ISBLANK(#REF!), AND(NOT(ISBLANK(H113)),OR(AND(J113="Accepted",OR(K113="Y",K113="y")),J113="Noted",J113="Duplicate",AND(J113="Rejected",NOT(ISBLANK(I113)))))),CheckOK,CheckErr)</f>
        <v/>
      </c>
      <c r="P113" s="50" t="str">
        <f>IF(OR(ISBLANK(#REF!),NOT(ISBLANK(L113))),CheckOK,CheckErr)</f>
        <v>!</v>
      </c>
    </row>
    <row r="114" spans="1:16" ht="175.5" hidden="1">
      <c r="A114" s="57">
        <f t="shared" si="5"/>
        <v>101</v>
      </c>
      <c r="B114" s="68"/>
      <c r="C114" s="68" t="s">
        <v>981</v>
      </c>
      <c r="D114" s="68" t="s">
        <v>640</v>
      </c>
      <c r="E114" s="68" t="s">
        <v>971</v>
      </c>
      <c r="F114" s="152" t="s">
        <v>980</v>
      </c>
      <c r="G114"/>
      <c r="H114" s="65" t="s">
        <v>1030</v>
      </c>
      <c r="I114" s="183" t="s">
        <v>888</v>
      </c>
      <c r="J114" s="65" t="s">
        <v>87</v>
      </c>
      <c r="K114" s="65" t="s">
        <v>883</v>
      </c>
      <c r="L114" s="112"/>
      <c r="M114" s="58"/>
      <c r="N114" s="66" t="e">
        <f>IF(OR(AND(CodeFileListUsed="Yes",#REF!="",COUNTA(B114:B114,#REF!)&lt;&gt;0),AND(COUNTA(B114:B114,#REF!)&lt;&gt;0, COUNTA(B114:B114,#REF!)&lt;&gt;COUNTA(B$13:C$13,D$13:F$13))),CheckErr,CheckOK)</f>
        <v>#REF!</v>
      </c>
      <c r="O114" s="50" t="str">
        <f>IF(OR(ISBLANK(#REF!), AND(NOT(ISBLANK(H114)),OR(AND(J114="Accepted",OR(K114="Y",K114="y")),J114="Noted",J114="Duplicate",AND(J114="Rejected",NOT(ISBLANK(I114)))))),CheckOK,CheckErr)</f>
        <v/>
      </c>
      <c r="P114" s="50" t="str">
        <f>IF(OR(ISBLANK(#REF!),NOT(ISBLANK(L114))),CheckOK,CheckErr)</f>
        <v>!</v>
      </c>
    </row>
    <row r="115" spans="1:16" ht="40.5" hidden="1">
      <c r="A115" s="57">
        <f t="shared" si="5"/>
        <v>102</v>
      </c>
      <c r="B115" s="68"/>
      <c r="C115" s="68" t="s">
        <v>979</v>
      </c>
      <c r="D115" s="68" t="s">
        <v>640</v>
      </c>
      <c r="E115" s="68" t="s">
        <v>971</v>
      </c>
      <c r="F115" s="152" t="s">
        <v>978</v>
      </c>
      <c r="G115"/>
      <c r="H115" s="65" t="s">
        <v>884</v>
      </c>
      <c r="I115" s="152" t="s">
        <v>1025</v>
      </c>
      <c r="J115" s="65" t="s">
        <v>86</v>
      </c>
      <c r="K115" s="65" t="s">
        <v>106</v>
      </c>
      <c r="L115" s="112"/>
      <c r="M115" s="58"/>
      <c r="N115" s="66" t="e">
        <f>IF(OR(AND(CodeFileListUsed="Yes",#REF!="",COUNTA(B115:B115,#REF!)&lt;&gt;0),AND(COUNTA(B115:B115,#REF!)&lt;&gt;0, COUNTA(B115:B115,#REF!)&lt;&gt;COUNTA(B$13:C$13,D$13:F$13))),CheckErr,CheckOK)</f>
        <v>#REF!</v>
      </c>
      <c r="O115" s="50" t="str">
        <f>IF(OR(ISBLANK(#REF!), AND(NOT(ISBLANK(H115)),OR(AND(J115="Accepted",OR(K115="Y",K115="y")),J115="Noted",J115="Duplicate",AND(J115="Rejected",NOT(ISBLANK(I115)))))),CheckOK,CheckErr)</f>
        <v/>
      </c>
      <c r="P115" s="50" t="str">
        <f>IF(OR(ISBLANK(#REF!),NOT(ISBLANK(L115))),CheckOK,CheckErr)</f>
        <v>!</v>
      </c>
    </row>
    <row r="116" spans="1:16" ht="27" hidden="1">
      <c r="A116" s="57">
        <f t="shared" si="5"/>
        <v>103</v>
      </c>
      <c r="B116" s="68"/>
      <c r="C116" s="68" t="s">
        <v>977</v>
      </c>
      <c r="D116" s="68" t="s">
        <v>976</v>
      </c>
      <c r="E116" s="68" t="s">
        <v>975</v>
      </c>
      <c r="F116" s="152" t="s">
        <v>974</v>
      </c>
      <c r="G116"/>
      <c r="H116" s="65" t="s">
        <v>884</v>
      </c>
      <c r="I116" s="152" t="s">
        <v>1037</v>
      </c>
      <c r="J116" s="65" t="s">
        <v>87</v>
      </c>
      <c r="K116" s="65" t="s">
        <v>883</v>
      </c>
      <c r="L116" s="112"/>
      <c r="M116" s="58"/>
      <c r="N116" s="66" t="e">
        <f>IF(OR(AND(CodeFileListUsed="Yes",#REF!="",COUNTA(B116:B116,#REF!)&lt;&gt;0),AND(COUNTA(B116:B116,#REF!)&lt;&gt;0, COUNTA(B116:B116,#REF!)&lt;&gt;COUNTA(B$13:C$13,D$13:F$13))),CheckErr,CheckOK)</f>
        <v>#REF!</v>
      </c>
      <c r="O116" s="50" t="str">
        <f>IF(OR(ISBLANK(#REF!), AND(NOT(ISBLANK(H116)),OR(AND(J116="Accepted",OR(K116="Y",K116="y")),J116="Noted",J116="Duplicate",AND(J116="Rejected",NOT(ISBLANK(I116)))))),CheckOK,CheckErr)</f>
        <v/>
      </c>
      <c r="P116" s="50" t="str">
        <f>IF(OR(ISBLANK(#REF!),NOT(ISBLANK(L116))),CheckOK,CheckErr)</f>
        <v>!</v>
      </c>
    </row>
    <row r="117" spans="1:16" ht="54" hidden="1">
      <c r="A117" s="57">
        <f t="shared" si="5"/>
        <v>104</v>
      </c>
      <c r="B117" s="68"/>
      <c r="C117" s="68" t="s">
        <v>973</v>
      </c>
      <c r="D117" s="68" t="s">
        <v>972</v>
      </c>
      <c r="E117" s="68" t="s">
        <v>971</v>
      </c>
      <c r="F117" s="152" t="s">
        <v>970</v>
      </c>
      <c r="G117"/>
      <c r="H117" s="65" t="s">
        <v>884</v>
      </c>
      <c r="I117" s="152" t="s">
        <v>1047</v>
      </c>
      <c r="J117" s="65" t="s">
        <v>85</v>
      </c>
      <c r="K117" s="65" t="s">
        <v>883</v>
      </c>
      <c r="L117" s="112"/>
      <c r="M117" s="58"/>
      <c r="N117" s="66" t="e">
        <f>IF(OR(AND(CodeFileListUsed="Yes",#REF!="",COUNTA(B117:B117,#REF!)&lt;&gt;0),AND(COUNTA(B117:B117,#REF!)&lt;&gt;0, COUNTA(B117:B117,#REF!)&lt;&gt;COUNTA(B$13:C$13,D$13:F$13))),CheckErr,CheckOK)</f>
        <v>#REF!</v>
      </c>
      <c r="O117" s="50" t="str">
        <f>IF(OR(ISBLANK(#REF!), AND(NOT(ISBLANK(H117)),OR(AND(J117="Accepted",OR(K117="Y",K117="y")),J117="Noted",J117="Duplicate",AND(J117="Rejected",NOT(ISBLANK(I117)))))),CheckOK,CheckErr)</f>
        <v/>
      </c>
      <c r="P117" s="50" t="str">
        <f>IF(OR(ISBLANK(#REF!),NOT(ISBLANK(L117))),CheckOK,CheckErr)</f>
        <v>!</v>
      </c>
    </row>
    <row r="118" spans="1:16" ht="162" hidden="1">
      <c r="A118" s="57">
        <f t="shared" si="5"/>
        <v>105</v>
      </c>
      <c r="B118" s="68"/>
      <c r="C118" s="68" t="s">
        <v>969</v>
      </c>
      <c r="D118" s="68" t="s">
        <v>640</v>
      </c>
      <c r="E118" s="68" t="s">
        <v>968</v>
      </c>
      <c r="F118" s="152" t="s">
        <v>967</v>
      </c>
      <c r="G118"/>
      <c r="H118" s="65" t="s">
        <v>884</v>
      </c>
      <c r="I118" s="152" t="s">
        <v>1036</v>
      </c>
      <c r="J118" s="65" t="s">
        <v>87</v>
      </c>
      <c r="K118" s="65" t="s">
        <v>883</v>
      </c>
      <c r="L118" s="112"/>
      <c r="M118" s="58"/>
      <c r="N118" s="66" t="e">
        <f>IF(OR(AND(CodeFileListUsed="Yes",#REF!="",COUNTA(B118:B118,#REF!)&lt;&gt;0),AND(COUNTA(B118:B118,#REF!)&lt;&gt;0, COUNTA(B118:B118,#REF!)&lt;&gt;COUNTA(B$13:C$13,D$13:F$13))),CheckErr,CheckOK)</f>
        <v>#REF!</v>
      </c>
      <c r="O118" s="50" t="str">
        <f>IF(OR(ISBLANK(#REF!), AND(NOT(ISBLANK(H118)),OR(AND(J118="Accepted",OR(K118="Y",K118="y")),J118="Noted",J118="Duplicate",AND(J118="Rejected",NOT(ISBLANK(I118)))))),CheckOK,CheckErr)</f>
        <v/>
      </c>
      <c r="P118" s="50" t="str">
        <f>IF(OR(ISBLANK(#REF!),NOT(ISBLANK(L118))),CheckOK,CheckErr)</f>
        <v>!</v>
      </c>
    </row>
    <row r="119" spans="1:16" ht="148.5" hidden="1">
      <c r="A119" s="57">
        <f t="shared" si="5"/>
        <v>106</v>
      </c>
      <c r="B119" s="68"/>
      <c r="C119" s="68" t="s">
        <v>966</v>
      </c>
      <c r="D119" s="68" t="s">
        <v>640</v>
      </c>
      <c r="E119" s="68" t="s">
        <v>961</v>
      </c>
      <c r="F119" s="152" t="s">
        <v>965</v>
      </c>
      <c r="G119"/>
      <c r="H119" s="65" t="s">
        <v>1030</v>
      </c>
      <c r="I119" s="183" t="s">
        <v>888</v>
      </c>
      <c r="J119" s="65" t="s">
        <v>87</v>
      </c>
      <c r="K119" s="65" t="s">
        <v>883</v>
      </c>
      <c r="L119" s="112"/>
      <c r="M119" s="58"/>
      <c r="N119" s="66" t="e">
        <f>IF(OR(AND(CodeFileListUsed="Yes",#REF!="",COUNTA(B119:B119,#REF!)&lt;&gt;0),AND(COUNTA(B119:B119,#REF!)&lt;&gt;0, COUNTA(B119:B119,#REF!)&lt;&gt;COUNTA(B$13:C$13,D$13:F$13))),CheckErr,CheckOK)</f>
        <v>#REF!</v>
      </c>
      <c r="O119" s="50" t="str">
        <f>IF(OR(ISBLANK(#REF!), AND(NOT(ISBLANK(H119)),OR(AND(J119="Accepted",OR(K119="Y",K119="y")),J119="Noted",J119="Duplicate",AND(J119="Rejected",NOT(ISBLANK(I119)))))),CheckOK,CheckErr)</f>
        <v/>
      </c>
      <c r="P119" s="50" t="str">
        <f>IF(OR(ISBLANK(#REF!),NOT(ISBLANK(L119))),CheckOK,CheckErr)</f>
        <v>!</v>
      </c>
    </row>
    <row r="120" spans="1:16" ht="270" hidden="1">
      <c r="A120" s="57">
        <f t="shared" si="5"/>
        <v>107</v>
      </c>
      <c r="B120" s="68"/>
      <c r="C120" s="68" t="s">
        <v>964</v>
      </c>
      <c r="D120" s="68" t="s">
        <v>640</v>
      </c>
      <c r="E120" s="68" t="s">
        <v>961</v>
      </c>
      <c r="F120" s="152" t="s">
        <v>963</v>
      </c>
      <c r="G120"/>
      <c r="H120" s="65"/>
      <c r="I120" s="183" t="s">
        <v>1032</v>
      </c>
      <c r="J120" s="65" t="s">
        <v>85</v>
      </c>
      <c r="K120" s="65" t="s">
        <v>883</v>
      </c>
      <c r="L120" s="112"/>
      <c r="M120" s="58"/>
      <c r="N120" s="66" t="e">
        <f>IF(OR(AND(CodeFileListUsed="Yes",#REF!="",COUNTA(B120:B120,#REF!)&lt;&gt;0),AND(COUNTA(B120:B120,#REF!)&lt;&gt;0, COUNTA(B120:B120,#REF!)&lt;&gt;COUNTA(B$13:C$13,D$13:F$13))),CheckErr,CheckOK)</f>
        <v>#REF!</v>
      </c>
      <c r="O120" s="50" t="str">
        <f>IF(OR(ISBLANK(#REF!), AND(NOT(ISBLANK(H120)),OR(AND(J120="Accepted",OR(K120="Y",K120="y")),J120="Noted",J120="Duplicate",AND(J120="Rejected",NOT(ISBLANK(I120)))))),CheckOK,CheckErr)</f>
        <v>!</v>
      </c>
      <c r="P120" s="50" t="str">
        <f>IF(OR(ISBLANK(#REF!),NOT(ISBLANK(L120))),CheckOK,CheckErr)</f>
        <v>!</v>
      </c>
    </row>
    <row r="121" spans="1:16" ht="108" hidden="1">
      <c r="A121" s="57">
        <f t="shared" si="5"/>
        <v>108</v>
      </c>
      <c r="B121" s="68"/>
      <c r="C121" s="68" t="s">
        <v>962</v>
      </c>
      <c r="D121" s="68" t="s">
        <v>640</v>
      </c>
      <c r="E121" s="68" t="s">
        <v>961</v>
      </c>
      <c r="F121" s="152" t="s">
        <v>960</v>
      </c>
      <c r="G121"/>
      <c r="H121" s="65" t="s">
        <v>884</v>
      </c>
      <c r="I121" s="152" t="s">
        <v>1038</v>
      </c>
      <c r="J121" s="65" t="s">
        <v>87</v>
      </c>
      <c r="K121" s="65" t="s">
        <v>883</v>
      </c>
      <c r="L121" s="112"/>
      <c r="M121" s="58"/>
      <c r="N121" s="66" t="e">
        <f>IF(OR(AND(CodeFileListUsed="Yes",#REF!="",COUNTA(B121:B121,#REF!)&lt;&gt;0),AND(COUNTA(B121:B121,#REF!)&lt;&gt;0, COUNTA(B121:B121,#REF!)&lt;&gt;COUNTA(B$13:C$13,D$13:F$13))),CheckErr,CheckOK)</f>
        <v>#REF!</v>
      </c>
      <c r="O121" s="50" t="str">
        <f>IF(OR(ISBLANK(#REF!), AND(NOT(ISBLANK(H121)),OR(AND(J121="Accepted",OR(K121="Y",K121="y")),J121="Noted",J121="Duplicate",AND(J121="Rejected",NOT(ISBLANK(I121)))))),CheckOK,CheckErr)</f>
        <v/>
      </c>
      <c r="P121" s="50" t="str">
        <f>IF(OR(ISBLANK(#REF!),NOT(ISBLANK(L121))),CheckOK,CheckErr)</f>
        <v>!</v>
      </c>
    </row>
    <row r="122" spans="1:16" ht="67.5" hidden="1">
      <c r="A122" s="57">
        <f t="shared" si="5"/>
        <v>109</v>
      </c>
      <c r="B122" s="68"/>
      <c r="C122" s="68" t="s">
        <v>959</v>
      </c>
      <c r="D122" s="68" t="s">
        <v>958</v>
      </c>
      <c r="E122" s="68" t="s">
        <v>705</v>
      </c>
      <c r="F122" s="152" t="s">
        <v>957</v>
      </c>
      <c r="G122"/>
      <c r="H122" s="65" t="s">
        <v>1050</v>
      </c>
      <c r="I122" s="4" t="s">
        <v>1049</v>
      </c>
      <c r="J122" s="65" t="s">
        <v>87</v>
      </c>
      <c r="K122" s="65" t="s">
        <v>883</v>
      </c>
      <c r="L122" s="112"/>
      <c r="M122" s="58"/>
      <c r="N122" s="66" t="e">
        <f>IF(OR(AND(CodeFileListUsed="Yes",#REF!="",COUNTA(B122:B122,#REF!)&lt;&gt;0),AND(COUNTA(B122:B122,#REF!)&lt;&gt;0, COUNTA(B122:B122,#REF!)&lt;&gt;COUNTA(B$13:C$13,D$13:F$13))),CheckErr,CheckOK)</f>
        <v>#REF!</v>
      </c>
      <c r="O122" s="50" t="str">
        <f>IF(OR(ISBLANK(#REF!), AND(NOT(ISBLANK(H122)),OR(AND(J122="Accepted",OR(K122="Y",K122="y")),J122="Noted",J122="Duplicate",AND(J122="Rejected",NOT(ISBLANK(I122)))))),CheckOK,CheckErr)</f>
        <v/>
      </c>
      <c r="P122" s="50" t="str">
        <f>IF(OR(ISBLANK(#REF!),NOT(ISBLANK(L122))),CheckOK,CheckErr)</f>
        <v>!</v>
      </c>
    </row>
    <row r="123" spans="1:16" ht="94.5" hidden="1">
      <c r="A123" s="57">
        <f t="shared" si="5"/>
        <v>110</v>
      </c>
      <c r="B123" s="68"/>
      <c r="C123" s="68" t="s">
        <v>956</v>
      </c>
      <c r="D123" s="68" t="s">
        <v>955</v>
      </c>
      <c r="E123" s="68" t="s">
        <v>705</v>
      </c>
      <c r="F123" s="152" t="s">
        <v>954</v>
      </c>
      <c r="G123"/>
      <c r="H123" s="65" t="s">
        <v>884</v>
      </c>
      <c r="I123" s="4" t="s">
        <v>1051</v>
      </c>
      <c r="J123" s="65" t="s">
        <v>87</v>
      </c>
      <c r="K123" s="65" t="s">
        <v>883</v>
      </c>
      <c r="L123" s="112"/>
      <c r="M123" s="58"/>
      <c r="N123" s="66" t="e">
        <f>IF(OR(AND(CodeFileListUsed="Yes",#REF!="",COUNTA(B123:B123,#REF!)&lt;&gt;0),AND(COUNTA(B123:B123,#REF!)&lt;&gt;0, COUNTA(B123:B123,#REF!)&lt;&gt;COUNTA(B$13:C$13,D$13:F$13))),CheckErr,CheckOK)</f>
        <v>#REF!</v>
      </c>
      <c r="O123" s="50" t="str">
        <f>IF(OR(ISBLANK(#REF!), AND(NOT(ISBLANK(H123)),OR(AND(J123="Accepted",OR(K123="Y",K123="y")),J123="Noted",J123="Duplicate",AND(J123="Rejected",NOT(ISBLANK(I123)))))),CheckOK,CheckErr)</f>
        <v/>
      </c>
      <c r="P123" s="50" t="str">
        <f>IF(OR(ISBLANK(#REF!),NOT(ISBLANK(L123))),CheckOK,CheckErr)</f>
        <v>!</v>
      </c>
    </row>
    <row r="124" spans="1:16" ht="40.5" hidden="1">
      <c r="A124" s="57">
        <f t="shared" si="5"/>
        <v>111</v>
      </c>
      <c r="B124" s="68"/>
      <c r="C124" s="68" t="s">
        <v>953</v>
      </c>
      <c r="D124" s="68" t="s">
        <v>952</v>
      </c>
      <c r="E124" s="68" t="s">
        <v>705</v>
      </c>
      <c r="F124" s="152" t="s">
        <v>951</v>
      </c>
      <c r="G124"/>
      <c r="H124" s="65" t="s">
        <v>884</v>
      </c>
      <c r="I124" s="152" t="s">
        <v>1042</v>
      </c>
      <c r="J124" s="65" t="s">
        <v>85</v>
      </c>
      <c r="K124" s="65" t="s">
        <v>883</v>
      </c>
      <c r="L124" s="112"/>
      <c r="M124" s="58"/>
      <c r="N124" s="66" t="e">
        <f>IF(OR(AND(CodeFileListUsed="Yes",#REF!="",COUNTA(B124:B124,#REF!)&lt;&gt;0),AND(COUNTA(B124:B124,#REF!)&lt;&gt;0, COUNTA(B124:B124,#REF!)&lt;&gt;COUNTA(B$13:C$13,D$13:F$13))),CheckErr,CheckOK)</f>
        <v>#REF!</v>
      </c>
      <c r="O124" s="50" t="str">
        <f>IF(OR(ISBLANK(#REF!), AND(NOT(ISBLANK(H124)),OR(AND(J124="Accepted",OR(K124="Y",K124="y")),J124="Noted",J124="Duplicate",AND(J124="Rejected",NOT(ISBLANK(I124)))))),CheckOK,CheckErr)</f>
        <v/>
      </c>
      <c r="P124" s="50" t="str">
        <f>IF(OR(ISBLANK(#REF!),NOT(ISBLANK(L124))),CheckOK,CheckErr)</f>
        <v>!</v>
      </c>
    </row>
    <row r="125" spans="1:16" ht="40.5" hidden="1">
      <c r="A125" s="57">
        <f t="shared" si="5"/>
        <v>112</v>
      </c>
      <c r="B125" s="68"/>
      <c r="C125" s="68" t="s">
        <v>950</v>
      </c>
      <c r="D125" s="68" t="s">
        <v>949</v>
      </c>
      <c r="E125" s="68" t="s">
        <v>948</v>
      </c>
      <c r="F125" s="152" t="s">
        <v>993</v>
      </c>
      <c r="G125"/>
      <c r="H125" s="65" t="s">
        <v>884</v>
      </c>
      <c r="I125" s="152"/>
      <c r="J125" s="65" t="s">
        <v>85</v>
      </c>
      <c r="K125" s="65" t="s">
        <v>883</v>
      </c>
      <c r="L125" s="112"/>
      <c r="M125" s="58"/>
      <c r="N125" s="66" t="e">
        <f>IF(OR(AND(CodeFileListUsed="Yes",#REF!="",COUNTA(B125:B125,#REF!)&lt;&gt;0),AND(COUNTA(B125:B125,#REF!)&lt;&gt;0, COUNTA(B125:B125,#REF!)&lt;&gt;COUNTA(B$13:C$13,D$13:F$13))),CheckErr,CheckOK)</f>
        <v>#REF!</v>
      </c>
      <c r="O125" s="50" t="str">
        <f>IF(OR(ISBLANK(#REF!), AND(NOT(ISBLANK(H125)),OR(AND(J125="Accepted",OR(K125="Y",K125="y")),J125="Noted",J125="Duplicate",AND(J125="Rejected",NOT(ISBLANK(I125)))))),CheckOK,CheckErr)</f>
        <v/>
      </c>
      <c r="P125" s="50" t="str">
        <f>IF(OR(ISBLANK(#REF!),NOT(ISBLANK(L125))),CheckOK,CheckErr)</f>
        <v>!</v>
      </c>
    </row>
    <row r="126" spans="1:16" ht="40.5" hidden="1">
      <c r="A126" s="57">
        <f t="shared" si="5"/>
        <v>113</v>
      </c>
      <c r="B126" s="68"/>
      <c r="C126" s="68" t="s">
        <v>947</v>
      </c>
      <c r="D126" s="68">
        <v>1</v>
      </c>
      <c r="E126" s="68" t="s">
        <v>946</v>
      </c>
      <c r="F126" s="152" t="s">
        <v>994</v>
      </c>
      <c r="G126"/>
      <c r="H126" s="65" t="s">
        <v>884</v>
      </c>
      <c r="I126" s="152" t="s">
        <v>1035</v>
      </c>
      <c r="J126" s="65" t="s">
        <v>87</v>
      </c>
      <c r="K126" s="65" t="s">
        <v>883</v>
      </c>
      <c r="L126" s="112"/>
      <c r="M126" s="58"/>
      <c r="N126" s="66" t="e">
        <f>IF(OR(AND(CodeFileListUsed="Yes",#REF!="",COUNTA(B126:B126,#REF!)&lt;&gt;0),AND(COUNTA(B126:B126,#REF!)&lt;&gt;0, COUNTA(B126:B126,#REF!)&lt;&gt;COUNTA(B$13:C$13,D$13:F$13))),CheckErr,CheckOK)</f>
        <v>#REF!</v>
      </c>
      <c r="O126" s="50" t="str">
        <f>IF(OR(ISBLANK(#REF!), AND(NOT(ISBLANK(H126)),OR(AND(J126="Accepted",OR(K126="Y",K126="y")),J126="Noted",J126="Duplicate",AND(J126="Rejected",NOT(ISBLANK(I126)))))),CheckOK,CheckErr)</f>
        <v/>
      </c>
      <c r="P126" s="50" t="str">
        <f>IF(OR(ISBLANK(#REF!),NOT(ISBLANK(L126))),CheckOK,CheckErr)</f>
        <v>!</v>
      </c>
    </row>
    <row r="127" spans="1:16" ht="94.5" hidden="1">
      <c r="A127" s="57">
        <f t="shared" si="5"/>
        <v>114</v>
      </c>
      <c r="B127" s="68"/>
      <c r="C127" s="68" t="s">
        <v>945</v>
      </c>
      <c r="D127" s="68">
        <v>1</v>
      </c>
      <c r="E127" s="68" t="s">
        <v>944</v>
      </c>
      <c r="F127" s="152" t="s">
        <v>943</v>
      </c>
      <c r="G127"/>
      <c r="H127" s="65" t="s">
        <v>884</v>
      </c>
      <c r="I127" s="152" t="s">
        <v>1039</v>
      </c>
      <c r="J127" s="65" t="s">
        <v>86</v>
      </c>
      <c r="K127" s="65" t="s">
        <v>883</v>
      </c>
      <c r="L127" s="112"/>
      <c r="M127" s="58"/>
      <c r="N127" s="66" t="e">
        <f>IF(OR(AND(CodeFileListUsed="Yes",#REF!="",COUNTA(B127:B127,#REF!)&lt;&gt;0),AND(COUNTA(B127:B127,#REF!)&lt;&gt;0, COUNTA(B127:B127,#REF!)&lt;&gt;COUNTA(B$13:C$13,D$13:F$13))),CheckErr,CheckOK)</f>
        <v>#REF!</v>
      </c>
      <c r="O127" s="50" t="str">
        <f>IF(OR(ISBLANK(#REF!), AND(NOT(ISBLANK(H127)),OR(AND(J127="Accepted",OR(K127="Y",K127="y")),J127="Noted",J127="Duplicate",AND(J127="Rejected",NOT(ISBLANK(I127)))))),CheckOK,CheckErr)</f>
        <v/>
      </c>
      <c r="P127" s="50" t="str">
        <f>IF(OR(ISBLANK(#REF!),NOT(ISBLANK(L127))),CheckOK,CheckErr)</f>
        <v>!</v>
      </c>
    </row>
    <row r="128" spans="1:16" ht="67.5" hidden="1">
      <c r="A128" s="57">
        <f t="shared" si="5"/>
        <v>115</v>
      </c>
      <c r="B128" s="68"/>
      <c r="C128" s="68" t="s">
        <v>942</v>
      </c>
      <c r="D128" s="68">
        <v>1</v>
      </c>
      <c r="E128" s="68" t="s">
        <v>941</v>
      </c>
      <c r="F128" s="152" t="s">
        <v>1020</v>
      </c>
      <c r="G128"/>
      <c r="H128" s="65" t="s">
        <v>884</v>
      </c>
      <c r="I128" s="152" t="s">
        <v>1026</v>
      </c>
      <c r="J128" s="65" t="s">
        <v>86</v>
      </c>
      <c r="K128" s="65" t="s">
        <v>106</v>
      </c>
      <c r="L128" s="112"/>
      <c r="M128" s="58"/>
      <c r="N128" s="66" t="e">
        <f>IF(OR(AND(CodeFileListUsed="Yes",#REF!="",COUNTA(B128:B128,#REF!)&lt;&gt;0),AND(COUNTA(B128:B128,#REF!)&lt;&gt;0, COUNTA(B128:B128,#REF!)&lt;&gt;COUNTA(B$13:C$13,D$13:F$13))),CheckErr,CheckOK)</f>
        <v>#REF!</v>
      </c>
      <c r="O128" s="50" t="str">
        <f>IF(OR(ISBLANK(#REF!), AND(NOT(ISBLANK(H128)),OR(AND(J128="Accepted",OR(K128="Y",K128="y")),J128="Noted",J128="Duplicate",AND(J128="Rejected",NOT(ISBLANK(I128)))))),CheckOK,CheckErr)</f>
        <v/>
      </c>
      <c r="P128" s="50" t="str">
        <f>IF(OR(ISBLANK(#REF!),NOT(ISBLANK(L128))),CheckOK,CheckErr)</f>
        <v>!</v>
      </c>
    </row>
    <row r="129" spans="1:16" ht="135" hidden="1">
      <c r="A129" s="57">
        <f t="shared" si="5"/>
        <v>116</v>
      </c>
      <c r="B129" s="68"/>
      <c r="C129" s="68" t="s">
        <v>940</v>
      </c>
      <c r="D129" s="68">
        <v>1.2</v>
      </c>
      <c r="E129" s="68" t="s">
        <v>939</v>
      </c>
      <c r="F129" s="152" t="s">
        <v>995</v>
      </c>
      <c r="G129"/>
      <c r="H129" s="65" t="s">
        <v>884</v>
      </c>
      <c r="I129" s="152" t="s">
        <v>1027</v>
      </c>
      <c r="J129" s="65" t="s">
        <v>85</v>
      </c>
      <c r="K129" s="65" t="s">
        <v>883</v>
      </c>
      <c r="L129" s="112"/>
      <c r="M129" s="58"/>
      <c r="N129" s="66" t="e">
        <f>IF(OR(AND(CodeFileListUsed="Yes",#REF!="",COUNTA(B129:B129,#REF!)&lt;&gt;0),AND(COUNTA(B129:B129,#REF!)&lt;&gt;0, COUNTA(B129:B129,#REF!)&lt;&gt;COUNTA(B$13:C$13,D$13:F$13))),CheckErr,CheckOK)</f>
        <v>#REF!</v>
      </c>
      <c r="O129" s="50" t="str">
        <f>IF(OR(ISBLANK(#REF!), AND(NOT(ISBLANK(H129)),OR(AND(J129="Accepted",OR(K129="Y",K129="y")),J129="Noted",J129="Duplicate",AND(J129="Rejected",NOT(ISBLANK(I129)))))),CheckOK,CheckErr)</f>
        <v/>
      </c>
      <c r="P129" s="50" t="str">
        <f>IF(OR(ISBLANK(#REF!),NOT(ISBLANK(L129))),CheckOK,CheckErr)</f>
        <v>!</v>
      </c>
    </row>
    <row r="130" spans="1:16" ht="40.5" hidden="1">
      <c r="A130" s="57">
        <f t="shared" si="5"/>
        <v>117</v>
      </c>
      <c r="B130" s="68"/>
      <c r="C130" s="68" t="s">
        <v>938</v>
      </c>
      <c r="D130" s="68" t="s">
        <v>937</v>
      </c>
      <c r="E130" s="68" t="s">
        <v>936</v>
      </c>
      <c r="F130" s="152" t="s">
        <v>996</v>
      </c>
      <c r="G130"/>
      <c r="H130" s="65" t="s">
        <v>884</v>
      </c>
      <c r="I130" s="152" t="s">
        <v>1028</v>
      </c>
      <c r="J130" s="65" t="s">
        <v>86</v>
      </c>
      <c r="K130" s="65" t="s">
        <v>106</v>
      </c>
      <c r="L130" s="112"/>
      <c r="M130" s="58"/>
      <c r="N130" s="66" t="e">
        <f>IF(OR(AND(CodeFileListUsed="Yes",#REF!="",COUNTA(B130:B130,#REF!)&lt;&gt;0),AND(COUNTA(B130:B130,#REF!)&lt;&gt;0, COUNTA(B130:B130,#REF!)&lt;&gt;COUNTA(B$13:C$13,D$13:F$13))),CheckErr,CheckOK)</f>
        <v>#REF!</v>
      </c>
      <c r="O130" s="50" t="str">
        <f>IF(OR(ISBLANK(#REF!), AND(NOT(ISBLANK(H130)),OR(AND(J130="Accepted",OR(K130="Y",K130="y")),J130="Noted",J130="Duplicate",AND(J130="Rejected",NOT(ISBLANK(I130)))))),CheckOK,CheckErr)</f>
        <v/>
      </c>
      <c r="P130" s="50" t="str">
        <f>IF(OR(ISBLANK(#REF!),NOT(ISBLANK(L130))),CheckOK,CheckErr)</f>
        <v>!</v>
      </c>
    </row>
    <row r="131" spans="1:16" ht="40.5" hidden="1">
      <c r="A131" s="57">
        <f t="shared" si="5"/>
        <v>118</v>
      </c>
      <c r="B131" s="68"/>
      <c r="C131" s="68" t="s">
        <v>935</v>
      </c>
      <c r="D131" s="68">
        <v>1.5</v>
      </c>
      <c r="E131" s="68" t="s">
        <v>934</v>
      </c>
      <c r="F131" s="152" t="s">
        <v>933</v>
      </c>
      <c r="G131"/>
      <c r="H131" s="65" t="s">
        <v>884</v>
      </c>
      <c r="I131" s="152" t="s">
        <v>1029</v>
      </c>
      <c r="J131" s="65" t="s">
        <v>85</v>
      </c>
      <c r="K131" s="65" t="s">
        <v>883</v>
      </c>
      <c r="L131" s="112"/>
      <c r="M131" s="58"/>
      <c r="N131" s="66" t="e">
        <f>IF(OR(AND(CodeFileListUsed="Yes",#REF!="",COUNTA(B131:B131,#REF!)&lt;&gt;0),AND(COUNTA(B131:B131,#REF!)&lt;&gt;0, COUNTA(B131:B131,#REF!)&lt;&gt;COUNTA(B$13:C$13,D$13:F$13))),CheckErr,CheckOK)</f>
        <v>#REF!</v>
      </c>
      <c r="O131" s="50" t="str">
        <f>IF(OR(ISBLANK(#REF!), AND(NOT(ISBLANK(H131)),OR(AND(J131="Accepted",OR(K131="Y",K131="y")),J131="Noted",J131="Duplicate",AND(J131="Rejected",NOT(ISBLANK(I131)))))),CheckOK,CheckErr)</f>
        <v/>
      </c>
      <c r="P131" s="50" t="str">
        <f>IF(OR(ISBLANK(#REF!),NOT(ISBLANK(L131))),CheckOK,CheckErr)</f>
        <v>!</v>
      </c>
    </row>
    <row r="132" spans="1:16" ht="54" hidden="1">
      <c r="A132" s="57">
        <f t="shared" si="5"/>
        <v>119</v>
      </c>
      <c r="B132" s="68"/>
      <c r="C132" s="68" t="s">
        <v>932</v>
      </c>
      <c r="D132" s="68">
        <v>1.6</v>
      </c>
      <c r="E132" s="68" t="s">
        <v>931</v>
      </c>
      <c r="F132" s="152" t="s">
        <v>930</v>
      </c>
      <c r="G132"/>
      <c r="H132" s="65" t="s">
        <v>884</v>
      </c>
      <c r="I132" s="152" t="s">
        <v>1040</v>
      </c>
      <c r="J132" s="65" t="s">
        <v>87</v>
      </c>
      <c r="K132" s="65" t="s">
        <v>883</v>
      </c>
      <c r="L132" s="112"/>
      <c r="M132" s="58"/>
      <c r="N132" s="66" t="e">
        <f>IF(OR(AND(CodeFileListUsed="Yes",#REF!="",COUNTA(B132:B132,#REF!)&lt;&gt;0),AND(COUNTA(B132:B132,#REF!)&lt;&gt;0, COUNTA(B132:B132,#REF!)&lt;&gt;COUNTA(B$13:C$13,D$13:F$13))),CheckErr,CheckOK)</f>
        <v>#REF!</v>
      </c>
      <c r="O132" s="50" t="str">
        <f>IF(OR(ISBLANK(#REF!), AND(NOT(ISBLANK(H132)),OR(AND(J132="Accepted",OR(K132="Y",K132="y")),J132="Noted",J132="Duplicate",AND(J132="Rejected",NOT(ISBLANK(I132)))))),CheckOK,CheckErr)</f>
        <v/>
      </c>
      <c r="P132" s="50" t="str">
        <f>IF(OR(ISBLANK(#REF!),NOT(ISBLANK(L132))),CheckOK,CheckErr)</f>
        <v>!</v>
      </c>
    </row>
    <row r="133" spans="1:16" ht="189" hidden="1">
      <c r="A133" s="57">
        <f t="shared" si="5"/>
        <v>120</v>
      </c>
      <c r="B133" s="68"/>
      <c r="C133" s="68" t="s">
        <v>929</v>
      </c>
      <c r="D133" s="68" t="s">
        <v>928</v>
      </c>
      <c r="E133" s="68">
        <v>19</v>
      </c>
      <c r="F133" s="152" t="s">
        <v>997</v>
      </c>
      <c r="G133"/>
      <c r="H133" s="65" t="s">
        <v>1030</v>
      </c>
      <c r="I133" s="152" t="s">
        <v>1053</v>
      </c>
      <c r="J133" s="65" t="s">
        <v>87</v>
      </c>
      <c r="K133" s="65" t="s">
        <v>883</v>
      </c>
      <c r="L133" s="112"/>
      <c r="M133" s="58"/>
      <c r="N133" s="66" t="e">
        <f>IF(OR(AND(CodeFileListUsed="Yes",#REF!="",COUNTA(B133:B133,#REF!)&lt;&gt;0),AND(COUNTA(B133:B133,#REF!)&lt;&gt;0, COUNTA(B133:B133,#REF!)&lt;&gt;COUNTA(B$13:C$13,D$13:F$13))),CheckErr,CheckOK)</f>
        <v>#REF!</v>
      </c>
      <c r="O133" s="50" t="str">
        <f>IF(OR(ISBLANK(#REF!), AND(NOT(ISBLANK(H133)),OR(AND(J133="Accepted",OR(K133="Y",K133="y")),J133="Noted",J133="Duplicate",AND(J133="Rejected",NOT(ISBLANK(I133)))))),CheckOK,CheckErr)</f>
        <v/>
      </c>
      <c r="P133" s="50" t="str">
        <f>IF(OR(ISBLANK(#REF!),NOT(ISBLANK(L133))),CheckOK,CheckErr)</f>
        <v>!</v>
      </c>
    </row>
    <row r="134" spans="1:16" ht="405" hidden="1">
      <c r="A134" s="57">
        <f t="shared" si="5"/>
        <v>121</v>
      </c>
      <c r="B134" s="68"/>
      <c r="C134" s="68" t="s">
        <v>929</v>
      </c>
      <c r="D134" s="68" t="s">
        <v>928</v>
      </c>
      <c r="E134" s="68">
        <v>19</v>
      </c>
      <c r="F134" s="152" t="s">
        <v>998</v>
      </c>
      <c r="G134" s="67"/>
      <c r="H134" s="65" t="s">
        <v>1030</v>
      </c>
      <c r="I134" s="152" t="s">
        <v>1053</v>
      </c>
      <c r="J134" s="65" t="s">
        <v>87</v>
      </c>
      <c r="K134" s="65" t="s">
        <v>883</v>
      </c>
      <c r="L134" s="112"/>
      <c r="M134" s="58"/>
      <c r="N134" s="66" t="e">
        <f>IF(OR(AND(CodeFileListUsed="Yes",#REF!="",COUNTA(B134:C134,D134:F134)&lt;&gt;0),AND(COUNTA(B134:C134,D134:F134)&lt;&gt;0, COUNTA(B134:C134,D134:F134)&lt;&gt;COUNTA(B$13:C$13,D$13:F$13))),CheckErr,CheckOK)</f>
        <v>#REF!</v>
      </c>
      <c r="O134" s="50" t="str">
        <f t="shared" si="3"/>
        <v/>
      </c>
      <c r="P134" s="50" t="str">
        <f t="shared" si="4"/>
        <v>!</v>
      </c>
    </row>
    <row r="135" spans="1:16" ht="40.5" hidden="1">
      <c r="A135" s="57">
        <f t="shared" si="5"/>
        <v>122</v>
      </c>
      <c r="B135" s="68"/>
      <c r="C135" s="68" t="s">
        <v>1016</v>
      </c>
      <c r="D135" s="68">
        <v>6.8</v>
      </c>
      <c r="E135" s="68">
        <v>45</v>
      </c>
      <c r="F135" s="152" t="s">
        <v>1015</v>
      </c>
      <c r="G135" s="67"/>
      <c r="H135" s="65" t="s">
        <v>1030</v>
      </c>
      <c r="I135" s="152" t="s">
        <v>1054</v>
      </c>
      <c r="J135" s="65" t="s">
        <v>87</v>
      </c>
      <c r="K135" s="65" t="s">
        <v>883</v>
      </c>
      <c r="L135" s="112"/>
      <c r="M135" s="58"/>
      <c r="N135" s="66" t="e">
        <f>IF(OR(AND(CodeFileListUsed="Yes",#REF!="",COUNTA(B135:B135,#REF!)&lt;&gt;0),AND(COUNTA(B135:B135,#REF!)&lt;&gt;0, COUNTA(B135:B135,#REF!)&lt;&gt;COUNTA(B$13:C$13,D$13:F$13))),CheckErr,CheckOK)</f>
        <v>#REF!</v>
      </c>
      <c r="O135" s="50" t="str">
        <f>IF(OR(ISBLANK(#REF!), AND(NOT(ISBLANK(H135)),OR(AND(J135="Accepted",OR(K135="Y",K135="y")),J135="Noted",J135="Duplicate",AND(J135="Rejected",NOT(ISBLANK(I135)))))),CheckOK,CheckErr)</f>
        <v/>
      </c>
      <c r="P135" s="50" t="str">
        <f>IF(OR(ISBLANK(#REF!),NOT(ISBLANK(L135))),CheckOK,CheckErr)</f>
        <v>!</v>
      </c>
    </row>
    <row r="136" spans="1:16" ht="108" hidden="1">
      <c r="A136" s="57">
        <f t="shared" si="5"/>
        <v>123</v>
      </c>
      <c r="B136" s="68"/>
      <c r="C136" s="68" t="s">
        <v>1014</v>
      </c>
      <c r="D136" s="68" t="s">
        <v>1013</v>
      </c>
      <c r="E136" s="68">
        <v>52</v>
      </c>
      <c r="F136" s="152" t="s">
        <v>1012</v>
      </c>
      <c r="G136" s="67"/>
      <c r="H136" s="65" t="s">
        <v>884</v>
      </c>
      <c r="I136" s="152" t="s">
        <v>1041</v>
      </c>
      <c r="J136" s="65" t="s">
        <v>87</v>
      </c>
      <c r="K136" s="65" t="s">
        <v>883</v>
      </c>
      <c r="L136" s="112"/>
      <c r="M136" s="58"/>
      <c r="N136" s="66" t="e">
        <f>IF(OR(AND(CodeFileListUsed="Yes",#REF!="",COUNTA(B136:B136,#REF!)&lt;&gt;0),AND(COUNTA(B136:B136,#REF!)&lt;&gt;0, COUNTA(B136:B136,#REF!)&lt;&gt;COUNTA(B$13:C$13,D$13:F$13))),CheckErr,CheckOK)</f>
        <v>#REF!</v>
      </c>
      <c r="O136" s="50" t="str">
        <f>IF(OR(ISBLANK(#REF!), AND(NOT(ISBLANK(H136)),OR(AND(J136="Accepted",OR(K136="Y",K136="y")),J136="Noted",J136="Duplicate",AND(J136="Rejected",NOT(ISBLANK(I136)))))),CheckOK,CheckErr)</f>
        <v/>
      </c>
      <c r="P136" s="50" t="str">
        <f>IF(OR(ISBLANK(#REF!),NOT(ISBLANK(L136))),CheckOK,CheckErr)</f>
        <v>!</v>
      </c>
    </row>
    <row r="137" spans="1:16" ht="387" hidden="1" customHeight="1">
      <c r="A137" s="57">
        <f t="shared" si="5"/>
        <v>124</v>
      </c>
      <c r="B137" s="68"/>
      <c r="C137" s="68" t="s">
        <v>1011</v>
      </c>
      <c r="D137" s="68" t="s">
        <v>1010</v>
      </c>
      <c r="E137" s="68">
        <v>53</v>
      </c>
      <c r="F137" s="152" t="s">
        <v>1009</v>
      </c>
      <c r="G137" s="67"/>
      <c r="H137" s="65" t="s">
        <v>1030</v>
      </c>
      <c r="I137" s="152" t="s">
        <v>1055</v>
      </c>
      <c r="J137" s="65" t="s">
        <v>87</v>
      </c>
      <c r="K137" s="65" t="s">
        <v>883</v>
      </c>
      <c r="L137" s="112"/>
      <c r="M137" s="58"/>
      <c r="N137" s="66" t="e">
        <f>IF(OR(AND(CodeFileListUsed="Yes",#REF!="",COUNTA(B137:B137,#REF!)&lt;&gt;0),AND(COUNTA(B137:B137,#REF!)&lt;&gt;0, COUNTA(B137:B137,#REF!)&lt;&gt;COUNTA(B$13:C$13,D$13:F$13))),CheckErr,CheckOK)</f>
        <v>#REF!</v>
      </c>
      <c r="O137" s="50" t="str">
        <f>IF(OR(ISBLANK(#REF!), AND(NOT(ISBLANK(H137)),OR(AND(J137="Accepted",OR(K137="Y",K137="y")),J137="Noted",J137="Duplicate",AND(J137="Rejected",NOT(ISBLANK(I137)))))),CheckOK,CheckErr)</f>
        <v/>
      </c>
      <c r="P137" s="50" t="str">
        <f>IF(OR(ISBLANK(#REF!),NOT(ISBLANK(L137))),CheckOK,CheckErr)</f>
        <v>!</v>
      </c>
    </row>
    <row r="138" spans="1:16" ht="108" hidden="1">
      <c r="A138" s="57">
        <f t="shared" si="5"/>
        <v>125</v>
      </c>
      <c r="B138" s="68"/>
      <c r="C138" s="68" t="s">
        <v>1008</v>
      </c>
      <c r="D138" s="68" t="s">
        <v>1007</v>
      </c>
      <c r="E138" s="68">
        <v>60</v>
      </c>
      <c r="F138" s="152" t="s">
        <v>1006</v>
      </c>
      <c r="G138" s="67"/>
      <c r="H138" s="65" t="s">
        <v>1030</v>
      </c>
      <c r="I138" s="152" t="s">
        <v>1056</v>
      </c>
      <c r="J138" s="65" t="s">
        <v>87</v>
      </c>
      <c r="K138" s="65" t="s">
        <v>883</v>
      </c>
      <c r="L138" s="112"/>
      <c r="M138" s="58"/>
      <c r="N138" s="66" t="e">
        <f>IF(OR(AND(CodeFileListUsed="Yes",#REF!="",COUNTA(B138:B138,#REF!)&lt;&gt;0),AND(COUNTA(B138:B138,#REF!)&lt;&gt;0, COUNTA(B138:B138,#REF!)&lt;&gt;COUNTA(B$13:C$13,D$13:F$13))),CheckErr,CheckOK)</f>
        <v>#REF!</v>
      </c>
      <c r="O138" s="50" t="str">
        <f>IF(OR(ISBLANK(#REF!), AND(NOT(ISBLANK(H138)),OR(AND(J138="Accepted",OR(K138="Y",K138="y")),J138="Noted",J138="Duplicate",AND(J138="Rejected",NOT(ISBLANK(I138)))))),CheckOK,CheckErr)</f>
        <v/>
      </c>
      <c r="P138" s="50" t="str">
        <f>IF(OR(ISBLANK(#REF!),NOT(ISBLANK(L138))),CheckOK,CheckErr)</f>
        <v>!</v>
      </c>
    </row>
    <row r="139" spans="1:16" ht="40.5" hidden="1">
      <c r="A139" s="57">
        <f t="shared" si="5"/>
        <v>126</v>
      </c>
      <c r="B139" s="68"/>
      <c r="C139" s="68" t="s">
        <v>1005</v>
      </c>
      <c r="D139" s="68">
        <v>7.4</v>
      </c>
      <c r="E139" s="68">
        <v>60</v>
      </c>
      <c r="F139" s="152" t="s">
        <v>1004</v>
      </c>
      <c r="G139" s="67"/>
      <c r="H139" s="65" t="s">
        <v>884</v>
      </c>
      <c r="I139" s="152" t="s">
        <v>1044</v>
      </c>
      <c r="J139" s="65" t="s">
        <v>86</v>
      </c>
      <c r="K139" s="65" t="s">
        <v>106</v>
      </c>
      <c r="L139" s="112"/>
      <c r="M139" s="58"/>
      <c r="N139" s="66" t="e">
        <f>IF(OR(AND(CodeFileListUsed="Yes",#REF!="",COUNTA(B139:B139,#REF!)&lt;&gt;0),AND(COUNTA(B139:B139,#REF!)&lt;&gt;0, COUNTA(B139:B139,#REF!)&lt;&gt;COUNTA(B$13:C$13,D$13:F$13))),CheckErr,CheckOK)</f>
        <v>#REF!</v>
      </c>
      <c r="O139" s="50" t="str">
        <f>IF(OR(ISBLANK(#REF!), AND(NOT(ISBLANK(H139)),OR(AND(J139="Accepted",OR(K139="Y",K139="y")),J139="Noted",J139="Duplicate",AND(J139="Rejected",NOT(ISBLANK(I139)))))),CheckOK,CheckErr)</f>
        <v/>
      </c>
      <c r="P139" s="50" t="str">
        <f>IF(OR(ISBLANK(#REF!),NOT(ISBLANK(L139))),CheckOK,CheckErr)</f>
        <v>!</v>
      </c>
    </row>
    <row r="140" spans="1:16" ht="81" hidden="1">
      <c r="A140" s="57">
        <f t="shared" si="5"/>
        <v>127</v>
      </c>
      <c r="B140" s="68"/>
      <c r="C140" s="68" t="s">
        <v>1003</v>
      </c>
      <c r="D140" s="68">
        <v>8.3000000000000007</v>
      </c>
      <c r="E140" s="68">
        <v>61</v>
      </c>
      <c r="F140" s="152" t="s">
        <v>1002</v>
      </c>
      <c r="G140" s="67"/>
      <c r="H140" s="65" t="s">
        <v>884</v>
      </c>
      <c r="I140" s="152" t="s">
        <v>1044</v>
      </c>
      <c r="J140" s="65" t="s">
        <v>86</v>
      </c>
      <c r="K140" s="65" t="s">
        <v>106</v>
      </c>
      <c r="L140" s="112"/>
      <c r="M140" s="58"/>
      <c r="N140" s="66" t="e">
        <f>IF(OR(AND(CodeFileListUsed="Yes",#REF!="",COUNTA(B140:B140,#REF!)&lt;&gt;0),AND(COUNTA(B140:B140,#REF!)&lt;&gt;0, COUNTA(B140:B140,#REF!)&lt;&gt;COUNTA(B$13:C$13,D$13:F$13))),CheckErr,CheckOK)</f>
        <v>#REF!</v>
      </c>
      <c r="O140" s="50" t="str">
        <f>IF(OR(ISBLANK(#REF!), AND(NOT(ISBLANK(H140)),OR(AND(J140="Accepted",OR(K140="Y",K140="y")),J140="Noted",J140="Duplicate",AND(J140="Rejected",NOT(ISBLANK(I140)))))),CheckOK,CheckErr)</f>
        <v/>
      </c>
      <c r="P140" s="50" t="str">
        <f>IF(OR(ISBLANK(#REF!),NOT(ISBLANK(L140))),CheckOK,CheckErr)</f>
        <v>!</v>
      </c>
    </row>
    <row r="141" spans="1:16" ht="135" hidden="1">
      <c r="A141" s="57">
        <f t="shared" si="5"/>
        <v>128</v>
      </c>
      <c r="B141" s="68"/>
      <c r="C141" s="68" t="s">
        <v>1001</v>
      </c>
      <c r="D141" s="68" t="s">
        <v>1000</v>
      </c>
      <c r="E141" s="68">
        <v>30</v>
      </c>
      <c r="F141" s="152" t="s">
        <v>999</v>
      </c>
      <c r="G141" s="67"/>
      <c r="H141" s="65" t="s">
        <v>1030</v>
      </c>
      <c r="I141" s="152" t="s">
        <v>1057</v>
      </c>
      <c r="J141" s="65" t="s">
        <v>87</v>
      </c>
      <c r="K141" s="65" t="s">
        <v>883</v>
      </c>
      <c r="L141" s="112"/>
      <c r="M141" s="58"/>
      <c r="N141" s="66" t="e">
        <f>IF(OR(AND(CodeFileListUsed="Yes",#REF!="",COUNTA(B141:B141,#REF!)&lt;&gt;0),AND(COUNTA(B141:B141,#REF!)&lt;&gt;0, COUNTA(B141:B141,#REF!)&lt;&gt;COUNTA(B$13:C$13,D$13:F$13))),CheckErr,CheckOK)</f>
        <v>#REF!</v>
      </c>
      <c r="O141" s="50" t="str">
        <f>IF(OR(ISBLANK(#REF!), AND(NOT(ISBLANK(H141)),OR(AND(J141="Accepted",OR(K141="Y",K141="y")),J141="Noted",J141="Duplicate",AND(J141="Rejected",NOT(ISBLANK(I141)))))),CheckOK,CheckErr)</f>
        <v/>
      </c>
      <c r="P141" s="50" t="str">
        <f>IF(OR(ISBLANK(#REF!),NOT(ISBLANK(L141))),CheckOK,CheckErr)</f>
        <v>!</v>
      </c>
    </row>
    <row r="142" spans="1:16">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c r="A239" s="192" t="s">
        <v>105</v>
      </c>
      <c r="B239" s="193"/>
      <c r="C239" s="193"/>
      <c r="D239" s="193"/>
      <c r="E239" s="193"/>
      <c r="F239" s="193"/>
      <c r="G239" s="193"/>
      <c r="H239" s="193"/>
      <c r="I239" s="193"/>
      <c r="J239" s="193"/>
      <c r="K239" s="193"/>
      <c r="L239" s="193"/>
      <c r="M239" s="193"/>
      <c r="N239" s="193"/>
      <c r="O239" s="193"/>
      <c r="P239" s="193"/>
    </row>
  </sheetData>
  <sheetProtection insertRows="0"/>
  <autoFilter ref="A13:P239">
    <filterColumn colId="3"/>
    <filterColumn colId="5"/>
    <filterColumn colId="7"/>
    <filterColumn colId="8"/>
    <filterColumn colId="9">
      <filters blank="1"/>
    </filterColumn>
    <filterColumn colId="10">
      <filters blank="1">
        <filter val="-"/>
      </filters>
    </filterColumn>
  </autoFilter>
  <mergeCells count="17">
    <mergeCell ref="D3:J3"/>
    <mergeCell ref="D10:J10"/>
    <mergeCell ref="A3:C3"/>
    <mergeCell ref="A4:C4"/>
    <mergeCell ref="D4:F4"/>
    <mergeCell ref="A239:P239"/>
    <mergeCell ref="A9:D9"/>
    <mergeCell ref="D5:F5"/>
    <mergeCell ref="D6:F6"/>
    <mergeCell ref="A6:C6"/>
    <mergeCell ref="D11:E11"/>
    <mergeCell ref="H11:J11"/>
    <mergeCell ref="A5:C5"/>
    <mergeCell ref="A7:C7"/>
    <mergeCell ref="D7:F7"/>
    <mergeCell ref="A8:C8"/>
    <mergeCell ref="D8:F8"/>
  </mergeCells>
  <conditionalFormatting sqref="N4:N5 O1:P238 N14:N238 N240:P65536">
    <cfRule type="cellIs" dxfId="28" priority="24" stopIfTrue="1" operator="equal">
      <formula>CheckErr</formula>
    </cfRule>
  </conditionalFormatting>
  <conditionalFormatting sqref="L14:L238">
    <cfRule type="expression" dxfId="27" priority="15" stopIfTrue="1">
      <formula>$P14=CheckErr</formula>
    </cfRule>
  </conditionalFormatting>
  <conditionalFormatting sqref="H14:K238">
    <cfRule type="expression" dxfId="26" priority="31" stopIfTrue="1">
      <formula>$O14=CheckErr</formula>
    </cfRule>
  </conditionalFormatting>
  <conditionalFormatting sqref="D4:F5 B14:F238">
    <cfRule type="expression" dxfId="25" priority="33" stopIfTrue="1">
      <formula>$N4=CheckErr</formula>
    </cfRule>
  </conditionalFormatting>
  <conditionalFormatting sqref="H24:K24">
    <cfRule type="expression" dxfId="24" priority="13" stopIfTrue="1">
      <formula>$O24=CheckErr</formula>
    </cfRule>
  </conditionalFormatting>
  <conditionalFormatting sqref="H26:K26">
    <cfRule type="expression" dxfId="23" priority="12" stopIfTrue="1">
      <formula>$O26=CheckErr</formula>
    </cfRule>
  </conditionalFormatting>
  <conditionalFormatting sqref="H32:K32">
    <cfRule type="expression" dxfId="22" priority="11" stopIfTrue="1">
      <formula>$O32=CheckErr</formula>
    </cfRule>
  </conditionalFormatting>
  <conditionalFormatting sqref="H80:K80">
    <cfRule type="expression" dxfId="21" priority="10" stopIfTrue="1">
      <formula>$O80=CheckErr</formula>
    </cfRule>
  </conditionalFormatting>
  <conditionalFormatting sqref="H108:K108">
    <cfRule type="expression" dxfId="20" priority="9" stopIfTrue="1">
      <formula>$O108=CheckErr</formula>
    </cfRule>
  </conditionalFormatting>
  <conditionalFormatting sqref="H109:K109">
    <cfRule type="expression" dxfId="19" priority="8" stopIfTrue="1">
      <formula>$O109=CheckErr</formula>
    </cfRule>
  </conditionalFormatting>
  <conditionalFormatting sqref="H118:K118">
    <cfRule type="expression" dxfId="18" priority="7" stopIfTrue="1">
      <formula>$O118=CheckErr</formula>
    </cfRule>
  </conditionalFormatting>
  <conditionalFormatting sqref="H121:K121">
    <cfRule type="expression" dxfId="17" priority="6" stopIfTrue="1">
      <formula>$O121=CheckErr</formula>
    </cfRule>
  </conditionalFormatting>
  <conditionalFormatting sqref="H126:K126">
    <cfRule type="expression" dxfId="16" priority="5" stopIfTrue="1">
      <formula>$O126=CheckErr</formula>
    </cfRule>
  </conditionalFormatting>
  <conditionalFormatting sqref="H127:K127">
    <cfRule type="expression" dxfId="15" priority="4" stopIfTrue="1">
      <formula>$O127=CheckErr</formula>
    </cfRule>
  </conditionalFormatting>
  <conditionalFormatting sqref="H132:K132">
    <cfRule type="expression" dxfId="14" priority="3" stopIfTrue="1">
      <formula>$O132=CheckErr</formula>
    </cfRule>
  </conditionalFormatting>
  <conditionalFormatting sqref="H136:K136">
    <cfRule type="expression" dxfId="13" priority="2" stopIfTrue="1">
      <formula>$O136=CheckErr</formula>
    </cfRule>
  </conditionalFormatting>
  <conditionalFormatting sqref="H59:K59">
    <cfRule type="expression" dxfId="12" priority="1" stopIfTrue="1">
      <formula>$O59=CheckErr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61"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11" t="s">
        <v>518</v>
      </c>
      <c r="C1" s="213"/>
      <c r="D1" s="211" t="s">
        <v>324</v>
      </c>
      <c r="E1" s="212"/>
      <c r="F1" s="211" t="s">
        <v>407</v>
      </c>
      <c r="G1" s="212"/>
      <c r="H1" s="211" t="s">
        <v>445</v>
      </c>
      <c r="I1" s="212"/>
      <c r="J1" s="211" t="s">
        <v>553</v>
      </c>
      <c r="K1" s="212"/>
      <c r="L1" s="211" t="s">
        <v>524</v>
      </c>
      <c r="M1" s="212"/>
      <c r="N1" s="211" t="s">
        <v>479</v>
      </c>
      <c r="O1" s="212"/>
      <c r="P1" s="211" t="s">
        <v>143</v>
      </c>
      <c r="Q1" s="212"/>
      <c r="R1" s="214" t="s">
        <v>193</v>
      </c>
      <c r="S1" s="161" t="s">
        <v>389</v>
      </c>
    </row>
    <row r="2" spans="1:19" ht="13.5" customHeight="1">
      <c r="A2" s="160" t="s">
        <v>140</v>
      </c>
      <c r="B2" s="211" t="s">
        <v>550</v>
      </c>
      <c r="C2" s="213"/>
      <c r="D2" s="211" t="s">
        <v>325</v>
      </c>
      <c r="E2" s="212"/>
      <c r="F2" s="211" t="s">
        <v>406</v>
      </c>
      <c r="G2" s="212"/>
      <c r="H2" s="211" t="s">
        <v>552</v>
      </c>
      <c r="I2" s="212"/>
      <c r="J2" s="211" t="s">
        <v>552</v>
      </c>
      <c r="K2" s="212"/>
      <c r="L2" s="211" t="s">
        <v>552</v>
      </c>
      <c r="M2" s="212"/>
      <c r="N2" s="211" t="s">
        <v>552</v>
      </c>
      <c r="O2" s="212"/>
      <c r="P2" s="211" t="s">
        <v>401</v>
      </c>
      <c r="Q2" s="212"/>
      <c r="R2" s="215"/>
      <c r="S2" s="161"/>
    </row>
    <row r="3" spans="1:19" ht="13.5" customHeight="1">
      <c r="A3" s="160" t="s">
        <v>141</v>
      </c>
      <c r="B3" s="211" t="s">
        <v>551</v>
      </c>
      <c r="C3" s="213"/>
      <c r="D3" s="211" t="s">
        <v>326</v>
      </c>
      <c r="E3" s="212"/>
      <c r="F3" s="211" t="s">
        <v>144</v>
      </c>
      <c r="G3" s="212"/>
      <c r="H3" s="211" t="s">
        <v>144</v>
      </c>
      <c r="I3" s="212"/>
      <c r="J3" s="211" t="s">
        <v>144</v>
      </c>
      <c r="K3" s="212"/>
      <c r="L3" s="211" t="s">
        <v>144</v>
      </c>
      <c r="M3" s="212"/>
      <c r="N3" s="211" t="s">
        <v>554</v>
      </c>
      <c r="O3" s="212"/>
      <c r="P3" s="211" t="s">
        <v>144</v>
      </c>
      <c r="Q3" s="212"/>
      <c r="R3" s="216"/>
      <c r="S3" s="161"/>
    </row>
    <row r="4" spans="1:19" ht="14.25" customHeight="1" thickBot="1">
      <c r="A4" s="160" t="s">
        <v>364</v>
      </c>
      <c r="B4" s="211" t="s">
        <v>374</v>
      </c>
      <c r="C4" s="213"/>
      <c r="D4" s="211" t="s">
        <v>390</v>
      </c>
      <c r="E4" s="212"/>
      <c r="F4" s="211" t="s">
        <v>440</v>
      </c>
      <c r="G4" s="212"/>
      <c r="H4" s="211" t="s">
        <v>440</v>
      </c>
      <c r="I4" s="212"/>
      <c r="J4" s="211" t="s">
        <v>549</v>
      </c>
      <c r="K4" s="212"/>
      <c r="L4" s="211" t="s">
        <v>440</v>
      </c>
      <c r="M4" s="212"/>
      <c r="N4" s="211" t="s">
        <v>480</v>
      </c>
      <c r="O4" s="212"/>
      <c r="P4" s="211" t="s">
        <v>390</v>
      </c>
      <c r="Q4" s="212"/>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R1:R3"/>
    <mergeCell ref="B2:C2"/>
    <mergeCell ref="D2:E2"/>
    <mergeCell ref="P2:Q2"/>
    <mergeCell ref="B3:C3"/>
    <mergeCell ref="H3:I3"/>
    <mergeCell ref="L1:M1"/>
    <mergeCell ref="L2:M2"/>
    <mergeCell ref="L3:M3"/>
    <mergeCell ref="P3:Q3"/>
    <mergeCell ref="J1:K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4:Q4"/>
    <mergeCell ref="N1:O1"/>
    <mergeCell ref="N2:O2"/>
    <mergeCell ref="N3:O3"/>
    <mergeCell ref="N4:O4"/>
    <mergeCell ref="P1:Q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17" t="str">
        <f>'Calling Notice'!B9</f>
        <v>&lt;Item Size&gt;</v>
      </c>
      <c r="C2" s="217"/>
    </row>
    <row r="3" spans="1:11" ht="24">
      <c r="A3" s="32" t="str">
        <f>'Calling Notice'!A10</f>
        <v>Item Size (Modified)</v>
      </c>
      <c r="B3" s="217" t="str">
        <f>'Calling Notice'!B10</f>
        <v>&lt;Item Size&gt;</v>
      </c>
      <c r="C3" s="217"/>
      <c r="E3" s="117" t="str">
        <f>IF(CaptureEffortData,"","THERE IS NO NEED TO FILL IN THIS SHEET")</f>
        <v/>
      </c>
    </row>
    <row r="4" spans="1:11">
      <c r="A4" s="32" t="str">
        <f>'Calling Notice'!A11</f>
        <v>Item Size (Deleted)</v>
      </c>
      <c r="B4" s="217" t="str">
        <f>'Calling Notice'!B11</f>
        <v>&lt;Item Size&gt;</v>
      </c>
      <c r="C4" s="217"/>
    </row>
    <row r="5" spans="1:11">
      <c r="A5" s="32" t="str">
        <f>'Calling Notice'!A12</f>
        <v>Item Size Units</v>
      </c>
      <c r="B5" s="217" t="str">
        <f>'Calling Notice'!B12</f>
        <v>&lt;Item Size Units&gt;</v>
      </c>
      <c r="C5" s="217"/>
    </row>
    <row r="6" spans="1:11">
      <c r="A6" s="118" t="s">
        <v>161</v>
      </c>
      <c r="B6" s="217" t="str">
        <f>IF(SUM(B2:B4)=0,"&lt;Item Size&gt;",SUM(B2:B4))</f>
        <v>&lt;Item Size&gt;</v>
      </c>
      <c r="C6" s="217"/>
    </row>
    <row r="8" spans="1:11" ht="21">
      <c r="A8" s="114" t="s">
        <v>104</v>
      </c>
      <c r="B8" s="114"/>
    </row>
    <row r="9" spans="1:11">
      <c r="A9" s="119"/>
      <c r="B9" s="120"/>
    </row>
    <row r="10" spans="1:11" ht="24" customHeight="1">
      <c r="A10" s="218" t="s">
        <v>103</v>
      </c>
      <c r="B10" s="219"/>
      <c r="C10" s="37">
        <f>SUM(C14:C23)</f>
        <v>0</v>
      </c>
      <c r="D10" s="49"/>
      <c r="E10" s="121"/>
    </row>
    <row r="11" spans="1:11">
      <c r="A11" s="220" t="s">
        <v>102</v>
      </c>
      <c r="B11" s="221"/>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23" t="s">
        <v>92</v>
      </c>
      <c r="B24" s="223"/>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22" t="s">
        <v>91</v>
      </c>
      <c r="B25" s="222"/>
      <c r="C25" s="131"/>
      <c r="D25" s="135"/>
      <c r="E25" s="136"/>
      <c r="F25" s="137">
        <f>COUNTA(DevCommentInitials)</f>
        <v>95</v>
      </c>
      <c r="G25" s="137">
        <f>COUNTIF(DevCommentStatuses,G$12)</f>
        <v>88</v>
      </c>
      <c r="H25" s="137">
        <f>COUNTIF(DevCommentStatuses,H$12)</f>
        <v>23</v>
      </c>
      <c r="I25" s="137">
        <f>COUNTIF(DevCommentStatuses,I$12)</f>
        <v>0</v>
      </c>
      <c r="J25" s="137">
        <f>COUNTIF(DevCommentStatuses,J$12)</f>
        <v>15</v>
      </c>
      <c r="K25" s="43" t="str">
        <f>IF(AND(F25=G25+H25+I25+J25,F24=F25,G24=G25,H24=H25,I24=I25,J24=J25),CheckOK,CheckErr)</f>
        <v>!</v>
      </c>
    </row>
    <row r="27" spans="1:11" ht="21">
      <c r="A27" s="114" t="s">
        <v>162</v>
      </c>
    </row>
    <row r="28" spans="1:11">
      <c r="A28" s="218" t="str">
        <f>A27</f>
        <v>Time Spent Reworking</v>
      </c>
      <c r="B28" s="219"/>
      <c r="C28" s="37">
        <f>SUM(C32:C36)</f>
        <v>0</v>
      </c>
    </row>
    <row r="29" spans="1:11">
      <c r="A29" s="220" t="s">
        <v>102</v>
      </c>
      <c r="B29" s="221"/>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23" t="s">
        <v>92</v>
      </c>
      <c r="B37" s="223"/>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22" t="s">
        <v>91</v>
      </c>
      <c r="B38" s="222"/>
      <c r="C38" s="131"/>
      <c r="D38" s="135"/>
      <c r="E38" s="136"/>
      <c r="F38" s="137">
        <f>COUNTA(DevCommentInitials)</f>
        <v>95</v>
      </c>
      <c r="G38" s="137">
        <f>COUNTIF(DevCommentStatuses,G$12)</f>
        <v>88</v>
      </c>
      <c r="H38" s="137">
        <f>COUNTIF(DevCommentStatuses,H$12)</f>
        <v>23</v>
      </c>
      <c r="I38" s="137">
        <f>COUNTIF(DevCommentStatuses,I$12)</f>
        <v>0</v>
      </c>
      <c r="J38" s="137">
        <f>COUNTIF(DevCommentStatuses,J$12)</f>
        <v>15</v>
      </c>
      <c r="K38" s="43" t="str">
        <f>IF(AND(F38=G38+H38+I38+J38,F37=F38,G37=G38,H37=H38,I37=I38,J37=J38),CheckOK,CheckErr)</f>
        <v>!</v>
      </c>
    </row>
    <row r="40" spans="1:11" ht="21">
      <c r="A40" s="114" t="s">
        <v>163</v>
      </c>
    </row>
    <row r="42" spans="1:11">
      <c r="A42" s="218" t="str">
        <f>A40</f>
        <v>Time Spent Moderating</v>
      </c>
      <c r="B42" s="219"/>
      <c r="C42" s="37">
        <f>SUM(C46:C50)</f>
        <v>0</v>
      </c>
    </row>
    <row r="43" spans="1:11">
      <c r="A43" s="220" t="s">
        <v>102</v>
      </c>
      <c r="B43" s="221"/>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23" t="s">
        <v>92</v>
      </c>
      <c r="B51" s="223"/>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22" t="s">
        <v>91</v>
      </c>
      <c r="B52" s="222"/>
      <c r="C52" s="131"/>
      <c r="D52" s="135"/>
      <c r="E52" s="136"/>
      <c r="F52" s="137">
        <f>COUNTA(DevCommentInitials)</f>
        <v>95</v>
      </c>
      <c r="G52" s="137">
        <f>COUNTIF(DevCommentStatuses,G$12)</f>
        <v>88</v>
      </c>
      <c r="H52" s="137">
        <f>COUNTIF(DevCommentStatuses,H$12)</f>
        <v>23</v>
      </c>
      <c r="I52" s="137">
        <f>COUNTIF(DevCommentStatuses,I$12)</f>
        <v>0</v>
      </c>
      <c r="J52" s="137">
        <f>COUNTIF(DevCommentStatuses,J$12)</f>
        <v>15</v>
      </c>
      <c r="K52" s="43" t="str">
        <f>IF(AND(F52=G52+H52+I52+J52,F51=F52,G51=G52,H51=H52,I51=I52,J51=J52),CheckOK,CheckErr)</f>
        <v>!</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11" priority="46" stopIfTrue="1" operator="equal">
      <formula>CheckErr</formula>
    </cfRule>
  </conditionalFormatting>
  <conditionalFormatting sqref="K1:K1048576">
    <cfRule type="expression" dxfId="10" priority="45" stopIfTrue="1">
      <formula>K1=CheckErr</formula>
    </cfRule>
  </conditionalFormatting>
  <conditionalFormatting sqref="A14:C23">
    <cfRule type="expression" dxfId="9" priority="6" stopIfTrue="1">
      <formula>$D14=CheckErr</formula>
    </cfRule>
  </conditionalFormatting>
  <conditionalFormatting sqref="C24:C25">
    <cfRule type="expression" dxfId="8" priority="5" stopIfTrue="1">
      <formula>$D24=CheckErr</formula>
    </cfRule>
  </conditionalFormatting>
  <conditionalFormatting sqref="A32:C36">
    <cfRule type="expression" dxfId="7" priority="4" stopIfTrue="1">
      <formula>$D32=CheckErr</formula>
    </cfRule>
  </conditionalFormatting>
  <conditionalFormatting sqref="C37:C38">
    <cfRule type="expression" dxfId="6" priority="3" stopIfTrue="1">
      <formula>$D37=CheckErr</formula>
    </cfRule>
  </conditionalFormatting>
  <conditionalFormatting sqref="A46:C50">
    <cfRule type="expression" dxfId="5" priority="2" stopIfTrue="1">
      <formula>$D46=CheckErr</formula>
    </cfRule>
  </conditionalFormatting>
  <conditionalFormatting sqref="C51:C52">
    <cfRule type="expression" dxfId="4"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40" t="str">
        <f>CONCATENATE('Calling Notice'!$B$3,", ",'Calling Notice'!$B$4,", ",'Calling Notice'!$B$5," ",'Calling Notice'!$B$6,", ",TEXT('Calling Notice'!$B$7,"dd MMMM yyyy"))</f>
        <v>&lt;Title&gt;, &lt;S.Pnnnn.nn.n&gt; or &lt;CM System path&gt;, &lt;Issue n.n&gt; or &lt;CM System revision number&gt; &lt;Status&gt;, dd MMMM yyyy</v>
      </c>
      <c r="C3" s="240"/>
      <c r="D3" s="240"/>
    </row>
    <row r="5" spans="1:5">
      <c r="A5" s="16" t="s">
        <v>88</v>
      </c>
      <c r="B5" s="41">
        <f>COUNTA(DevCommentInitials)</f>
        <v>95</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23</v>
      </c>
      <c r="C8" s="39">
        <f>IF($B$5&lt;&gt;0,B8/$B$5,0)</f>
        <v>0.24210526315789474</v>
      </c>
    </row>
    <row r="9" spans="1:5">
      <c r="A9" s="16" t="s">
        <v>132</v>
      </c>
      <c r="B9" s="37">
        <f>COUNTIF(DevCommentStatuses,A9)</f>
        <v>0</v>
      </c>
      <c r="C9" s="39">
        <f>IF($B$5&lt;&gt;0,B9/$B$5,0)</f>
        <v>0</v>
      </c>
    </row>
    <row r="10" spans="1:5" ht="14.25" thickBot="1">
      <c r="A10" s="38" t="s">
        <v>85</v>
      </c>
      <c r="B10" s="37">
        <f>COUNTIF(DevCommentStatuses,A10)</f>
        <v>15</v>
      </c>
      <c r="C10" s="36">
        <f>IF($B$5&lt;&gt;0,B10/$B$5,0)</f>
        <v>0.15789473684210525</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43" t="str">
        <f>Metrics!C11</f>
        <v>0 hour(s) and 0 minutes</v>
      </c>
      <c r="C16" s="244"/>
    </row>
    <row r="17" spans="1:5" hidden="1">
      <c r="A17" s="16" t="s">
        <v>82</v>
      </c>
      <c r="B17" s="236" t="str">
        <f>Metrics!C29</f>
        <v>0 hour(s) and 0 minutes</v>
      </c>
      <c r="C17" s="237"/>
    </row>
    <row r="18" spans="1:5" hidden="1">
      <c r="A18" s="16" t="s">
        <v>82</v>
      </c>
      <c r="B18" s="236" t="str">
        <f>Metrics!C43</f>
        <v>0 hour(s) and 0 minutes</v>
      </c>
      <c r="C18" s="237"/>
    </row>
    <row r="19" spans="1:5" hidden="1"/>
    <row r="20" spans="1:5" hidden="1"/>
    <row r="21" spans="1:5" hidden="1"/>
    <row r="23" spans="1:5" ht="21">
      <c r="A23" s="10" t="s">
        <v>81</v>
      </c>
    </row>
    <row r="25" spans="1:5">
      <c r="A25" s="104" t="s">
        <v>80</v>
      </c>
      <c r="B25" s="241"/>
      <c r="C25" s="241"/>
      <c r="D25" s="241"/>
      <c r="E25" s="9" t="str">
        <f>IF(ISBLANK(B25),CheckErr,CheckOK)</f>
        <v>!</v>
      </c>
    </row>
    <row r="26" spans="1:5">
      <c r="A26" s="94" t="s">
        <v>79</v>
      </c>
      <c r="B26" s="238" t="s">
        <v>27</v>
      </c>
      <c r="C26" s="239"/>
      <c r="D26" s="239"/>
      <c r="E26" s="9" t="str">
        <f>IF(OR(LEFT(B26,1)="&lt;",COUNTIF(Blanks,B26)&gt;0),CheckErr,CheckOK)</f>
        <v>!</v>
      </c>
    </row>
    <row r="28" spans="1:5">
      <c r="A28" s="94" t="s">
        <v>191</v>
      </c>
      <c r="B28" s="233" t="s">
        <v>192</v>
      </c>
      <c r="C28" s="234"/>
      <c r="D28" s="235"/>
      <c r="E28" s="5" t="str">
        <f>IF(OR(LEFT(B28,1)="&lt;",COUNTIF(Blanks,B28)&gt;0),CheckErr,CheckOK)</f>
        <v>!</v>
      </c>
    </row>
    <row r="29" spans="1:5">
      <c r="A29" s="94" t="s">
        <v>78</v>
      </c>
      <c r="B29" s="242" t="s">
        <v>77</v>
      </c>
      <c r="C29" s="241"/>
      <c r="D29" s="241"/>
      <c r="E29" s="9" t="str">
        <f>IF(OR(LEFT(B29,1)="&lt;",COUNTIF(Blanks,B29)&gt;0),CheckErr,CheckOK)</f>
        <v>!</v>
      </c>
    </row>
    <row r="30" spans="1:5">
      <c r="A30" s="94" t="s">
        <v>76</v>
      </c>
      <c r="B30" s="238" t="s">
        <v>27</v>
      </c>
      <c r="C30" s="239"/>
      <c r="D30" s="239"/>
      <c r="E30" s="9" t="str">
        <f>IF(OR(LEFT(B30,1)="&lt;",COUNTIF(Blanks,B30)&gt;0),CheckErr,CheckOK)</f>
        <v>!</v>
      </c>
    </row>
    <row r="32" spans="1:5">
      <c r="A32" s="94" t="s">
        <v>383</v>
      </c>
      <c r="B32" s="242" t="s">
        <v>77</v>
      </c>
      <c r="C32" s="241"/>
      <c r="D32" s="241"/>
      <c r="E32" s="9" t="e">
        <f>IF(Checklist_FailSafety&gt;0,CheckErr,CheckOK)</f>
        <v>#REF!</v>
      </c>
    </row>
    <row r="33" spans="1:6">
      <c r="A33" s="94" t="s">
        <v>384</v>
      </c>
      <c r="B33" s="238" t="s">
        <v>27</v>
      </c>
      <c r="C33" s="239"/>
      <c r="D33" s="239"/>
      <c r="E33" s="9" t="e">
        <f>IF(Checklist_FailSafety&gt;0,CheckErr,CheckOK)</f>
        <v>#REF!</v>
      </c>
    </row>
    <row r="35" spans="1:6">
      <c r="A35" s="94" t="s">
        <v>385</v>
      </c>
      <c r="B35" s="242" t="s">
        <v>77</v>
      </c>
      <c r="C35" s="241"/>
      <c r="D35" s="241"/>
      <c r="E35" s="9" t="e">
        <f>IF(Checklist_FailTechnical,CheckErr,CheckOK)</f>
        <v>#REF!</v>
      </c>
    </row>
    <row r="36" spans="1:6">
      <c r="A36" s="94" t="s">
        <v>386</v>
      </c>
      <c r="B36" s="238" t="s">
        <v>27</v>
      </c>
      <c r="C36" s="239"/>
      <c r="D36" s="239"/>
      <c r="E36" s="9" t="e">
        <f>IF(Checklist_FailTechnical,CheckErr,CheckOK)</f>
        <v>#REF!</v>
      </c>
    </row>
    <row r="39" spans="1:6" ht="21">
      <c r="A39" s="31" t="s">
        <v>75</v>
      </c>
    </row>
    <row r="41" spans="1:6" ht="29.25" customHeight="1">
      <c r="A41" s="229" t="s">
        <v>135</v>
      </c>
      <c r="B41" s="229"/>
      <c r="C41" s="229"/>
      <c r="D41" s="229"/>
      <c r="E41" s="229"/>
      <c r="F41" s="229"/>
    </row>
    <row r="43" spans="1:6">
      <c r="A43" s="81" t="s">
        <v>74</v>
      </c>
      <c r="B43" s="81" t="s">
        <v>73</v>
      </c>
      <c r="C43" s="30" t="s">
        <v>72</v>
      </c>
      <c r="D43" s="81" t="s">
        <v>71</v>
      </c>
      <c r="E43" s="232" t="s">
        <v>70</v>
      </c>
      <c r="F43" s="232"/>
    </row>
    <row r="44" spans="1:6">
      <c r="A44" s="28" t="s">
        <v>69</v>
      </c>
      <c r="B44" s="28" t="s">
        <v>68</v>
      </c>
      <c r="C44" s="29" t="s">
        <v>67</v>
      </c>
      <c r="D44" s="28" t="str">
        <f t="shared" ref="D44:D54" ca="1" si="0">IF(COUNTIF(INDIRECT("'" &amp; B44 &amp; "'!$" &amp; C44 &amp; ":$" &amp; C44),CheckErr)=0,StatusConsistent,StatusInconsistent)</f>
        <v>Inconsistent</v>
      </c>
      <c r="E44" s="228"/>
      <c r="F44" s="228"/>
    </row>
    <row r="45" spans="1:6">
      <c r="A45" s="28" t="s">
        <v>66</v>
      </c>
      <c r="B45" s="28" t="s">
        <v>201</v>
      </c>
      <c r="C45" s="29" t="s">
        <v>65</v>
      </c>
      <c r="D45" s="28" t="str">
        <f ca="1">IF(COUNTIF(INDIRECT("'" &amp; B45 &amp; "'!$" &amp; C45 &amp; ":$" &amp; C45),CheckErr)=0,StatusConsistent,StatusInconsistent)</f>
        <v>Consistent</v>
      </c>
      <c r="E45" s="228"/>
      <c r="F45" s="228"/>
    </row>
    <row r="46" spans="1:6">
      <c r="A46" s="28" t="s">
        <v>66</v>
      </c>
      <c r="B46" s="28" t="s">
        <v>62</v>
      </c>
      <c r="C46" s="29" t="s">
        <v>442</v>
      </c>
      <c r="D46" s="28" t="str">
        <f t="shared" ca="1" si="0"/>
        <v>Inconsistent</v>
      </c>
      <c r="E46" s="228"/>
      <c r="F46" s="228"/>
    </row>
    <row r="47" spans="1:6">
      <c r="A47" s="28" t="s">
        <v>66</v>
      </c>
      <c r="B47" s="28" t="s">
        <v>159</v>
      </c>
      <c r="C47" s="29" t="s">
        <v>391</v>
      </c>
      <c r="D47" s="28" t="e">
        <f t="shared" ca="1" si="0"/>
        <v>#REF!</v>
      </c>
      <c r="E47" s="225"/>
      <c r="F47" s="226"/>
    </row>
    <row r="48" spans="1:6">
      <c r="A48" s="28" t="s">
        <v>64</v>
      </c>
      <c r="B48" s="28" t="s">
        <v>62</v>
      </c>
      <c r="C48" s="29" t="s">
        <v>443</v>
      </c>
      <c r="D48" s="28" t="str">
        <f t="shared" ca="1" si="0"/>
        <v>Consistent</v>
      </c>
      <c r="E48" s="228"/>
      <c r="F48" s="228"/>
    </row>
    <row r="49" spans="1:6" hidden="1">
      <c r="A49" s="28" t="s">
        <v>64</v>
      </c>
      <c r="B49" s="28" t="s">
        <v>63</v>
      </c>
      <c r="C49" s="29" t="s">
        <v>65</v>
      </c>
      <c r="D49" s="28" t="str">
        <f ca="1">IF(COUNTIF(INDIRECT("'" &amp; B49 &amp; "'!$" &amp; C49 &amp; ":$" &amp; C49),CheckErr)=0,StatusConsistent,IF(CaptureEffortData, StatusInconsistent,StatusConsistent))</f>
        <v>Consistent</v>
      </c>
      <c r="E49" s="228"/>
      <c r="F49" s="228"/>
    </row>
    <row r="50" spans="1:6" hidden="1">
      <c r="A50" s="28" t="s">
        <v>64</v>
      </c>
      <c r="B50" s="28" t="s">
        <v>63</v>
      </c>
      <c r="C50" s="29" t="s">
        <v>204</v>
      </c>
      <c r="D50" s="28" t="str">
        <f ca="1">IF(COUNTIF(INDIRECT("'" &amp; B50 &amp; "'!$" &amp; C50 &amp; ":$" &amp; C50),CheckErr)=0,StatusConsistent,IF(CaptureEffortData, StatusInconsistent,StatusConsistent))</f>
        <v>Inconsistent</v>
      </c>
      <c r="E50" s="228"/>
      <c r="F50" s="228"/>
    </row>
    <row r="51" spans="1:6">
      <c r="A51" s="28" t="s">
        <v>61</v>
      </c>
      <c r="B51" s="28" t="s">
        <v>201</v>
      </c>
      <c r="C51" s="29" t="s">
        <v>59</v>
      </c>
      <c r="D51" s="28" t="str">
        <f ca="1">IF(COUNTIF(INDIRECT("'" &amp; B51 &amp; "'!$" &amp; C51 &amp; ":$" &amp; C51),CheckErr)=0,StatusConsistent,StatusInconsistent)</f>
        <v>Consistent</v>
      </c>
      <c r="E51" s="225"/>
      <c r="F51" s="226"/>
    </row>
    <row r="52" spans="1:6">
      <c r="A52" s="28" t="s">
        <v>61</v>
      </c>
      <c r="B52" s="28" t="s">
        <v>62</v>
      </c>
      <c r="C52" s="29" t="s">
        <v>187</v>
      </c>
      <c r="D52" s="28" t="str">
        <f t="shared" ca="1" si="0"/>
        <v>Consistent</v>
      </c>
      <c r="E52" s="228"/>
      <c r="F52" s="228"/>
    </row>
    <row r="53" spans="1:6">
      <c r="A53" s="28" t="s">
        <v>61</v>
      </c>
      <c r="B53" s="28" t="s">
        <v>159</v>
      </c>
      <c r="C53" s="29" t="s">
        <v>444</v>
      </c>
      <c r="D53" s="28" t="e">
        <f ca="1">IF(COUNTIF(INDIRECT("'" &amp; B53 &amp; "'!$" &amp; C53 &amp; ":$" &amp; C53),CheckErr)=0,StatusConsistent,StatusInconsistent)</f>
        <v>#REF!</v>
      </c>
      <c r="E53" s="225"/>
      <c r="F53" s="226"/>
    </row>
    <row r="54" spans="1:6">
      <c r="A54" s="28" t="s">
        <v>61</v>
      </c>
      <c r="B54" s="28" t="s">
        <v>60</v>
      </c>
      <c r="C54" s="29" t="s">
        <v>59</v>
      </c>
      <c r="D54" s="28" t="str">
        <f t="shared" ca="1" si="0"/>
        <v>Inconsistent</v>
      </c>
      <c r="E54" s="228"/>
      <c r="F54" s="228"/>
    </row>
    <row r="56" spans="1:6">
      <c r="A56" s="9" t="s">
        <v>58</v>
      </c>
    </row>
    <row r="57" spans="1:6">
      <c r="B57" s="20" t="s">
        <v>57</v>
      </c>
      <c r="C57" s="229" t="s">
        <v>56</v>
      </c>
      <c r="D57" s="229"/>
      <c r="E57" s="229"/>
      <c r="F57" s="229"/>
    </row>
    <row r="58" spans="1:6">
      <c r="B58" s="27" t="s">
        <v>55</v>
      </c>
      <c r="C58" s="229" t="s">
        <v>54</v>
      </c>
      <c r="D58" s="229"/>
      <c r="E58" s="229"/>
      <c r="F58" s="229"/>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30" t="s">
        <v>52</v>
      </c>
      <c r="B65" s="230"/>
      <c r="C65" s="230"/>
      <c r="D65" s="230"/>
      <c r="E65" s="111"/>
      <c r="F65" s="22" t="s">
        <v>51</v>
      </c>
    </row>
    <row r="66" spans="1:6" hidden="1"/>
    <row r="67" spans="1:6" hidden="1">
      <c r="A67" s="9" t="s">
        <v>50</v>
      </c>
      <c r="E67" s="231"/>
      <c r="F67" s="231"/>
    </row>
    <row r="68" spans="1:6" hidden="1"/>
    <row r="69" spans="1:6" hidden="1">
      <c r="A69" s="9" t="s">
        <v>49</v>
      </c>
    </row>
    <row r="70" spans="1:6" hidden="1"/>
    <row r="71" spans="1:6" hidden="1">
      <c r="A71" s="81" t="s">
        <v>48</v>
      </c>
      <c r="B71" s="232" t="s">
        <v>47</v>
      </c>
      <c r="C71" s="232"/>
    </row>
    <row r="72" spans="1:6" hidden="1">
      <c r="A72" s="82" t="s">
        <v>46</v>
      </c>
      <c r="B72" s="224" t="s">
        <v>27</v>
      </c>
      <c r="C72" s="224"/>
    </row>
    <row r="73" spans="1:6" hidden="1">
      <c r="A73" s="82" t="s">
        <v>45</v>
      </c>
      <c r="B73" s="224" t="s">
        <v>203</v>
      </c>
      <c r="C73" s="224"/>
    </row>
    <row r="74" spans="1:6" hidden="1">
      <c r="A74" s="227" t="s">
        <v>44</v>
      </c>
      <c r="B74" s="227"/>
      <c r="C74" s="227"/>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3" priority="7" stopIfTrue="1" operator="equal">
      <formula>CheckErr</formula>
    </cfRule>
  </conditionalFormatting>
  <conditionalFormatting sqref="D44:D54">
    <cfRule type="expression" dxfId="2" priority="4" stopIfTrue="1">
      <formula>D44=StatusInconsistent</formula>
    </cfRule>
  </conditionalFormatting>
  <conditionalFormatting sqref="B25:D38">
    <cfRule type="expression" dxfId="1"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23</v>
      </c>
    </row>
    <row r="53" spans="1:2">
      <c r="A53" s="91" t="str">
        <f>"RRR_Total_"&amp;'Summary and Sign Off'!A9</f>
        <v>RRR_Total_Duplicate</v>
      </c>
      <c r="B53">
        <f>'Summary and Sign Off'!B9</f>
        <v>0</v>
      </c>
    </row>
    <row r="54" spans="1:2">
      <c r="A54" s="91" t="str">
        <f>"RRR_Total_"&amp;'Summary and Sign Off'!A10</f>
        <v>RRR_Total_Noted</v>
      </c>
      <c r="B54">
        <f>'Summary and Sign Off'!B10</f>
        <v>15</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4</v>
      </c>
    </row>
    <row r="63" spans="1:2">
      <c r="A63" s="91" t="s">
        <v>397</v>
      </c>
      <c r="B63">
        <f>COUNTA('Summary and Sign Off'!E44:F54)</f>
        <v>0</v>
      </c>
    </row>
    <row r="64" spans="1:2">
      <c r="A64" s="91" t="s">
        <v>194</v>
      </c>
      <c r="B64">
        <f>CommentsRaised</f>
        <v>128</v>
      </c>
    </row>
    <row r="65" spans="1:3">
      <c r="A65" s="91" t="s">
        <v>195</v>
      </c>
      <c r="B65">
        <f>CommentsToAction</f>
        <v>1</v>
      </c>
    </row>
    <row r="66" spans="1:3">
      <c r="A66" s="91" t="s">
        <v>196</v>
      </c>
      <c r="B66">
        <f>CommentsToSignOff</f>
        <v>34</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2013-02-21T10:07:59Z</cp:lastPrinted>
  <dcterms:created xsi:type="dcterms:W3CDTF">2006-01-10T12:16:43Z</dcterms:created>
  <dcterms:modified xsi:type="dcterms:W3CDTF">2013-02-22T09:27:35Z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23</vt:lpwstr>
  </property>
  <property fmtid="{D5CDD505-2E9C-101B-9397-08002B2CF9AE}" pid="40" name="RRR_Total_Duplicate">
    <vt:lpwstr>0</vt:lpwstr>
  </property>
  <property fmtid="{D5CDD505-2E9C-101B-9397-08002B2CF9AE}" pid="41" name="RRR_Total_Noted">
    <vt:lpwstr>15</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128</vt:lpwstr>
  </property>
  <property fmtid="{D5CDD505-2E9C-101B-9397-08002B2CF9AE}" pid="47" name="RRR_CommentsToAction">
    <vt:lpwstr>9</vt:lpwstr>
  </property>
  <property fmtid="{D5CDD505-2E9C-101B-9397-08002B2CF9AE}" pid="48" name="RRR_CommentsToSignOff">
    <vt:lpwstr>34</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#REF!</vt:lpwstr>
  </property>
</Properties>
</file>