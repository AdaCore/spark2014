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functionGroups/>
  <definedNames>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Comments!$I$12</definedName>
    <definedName name="CommentsToAction">Comments!$N$12</definedName>
    <definedName name="CommentsToSignOff">Comments!$P$12</definedName>
    <definedName name="DevAuthorInitials">Comments!$K$14:$K$239</definedName>
    <definedName name="DevCommentCategory">Comments!$H$14:$H$239</definedName>
    <definedName name="DevCommentEffortToFix">Comments!A1</definedName>
    <definedName name="DevCommentEffortToModerate">Comments!$E$8</definedName>
    <definedName name="DevCommentInitials">Comments!$B$14:$B$239</definedName>
    <definedName name="DevCommentStatuses">Comments!$M$14:$M$239</definedName>
    <definedName name="DevModeratorInitials">Comments!$O$14:$O$239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Comments!$J:$J,Comments!#REF!</definedName>
    <definedName name="Z_745ADDF4_F7DF_4086_807E_540752E7B485_.wvu.PrintTitles" localSheetId="3" hidden="1">Comments!$13:$13</definedName>
    <definedName name="Z_BE287C18_2555_4F9D_9444_78E80943430A_.wvu.Cols" localSheetId="3" hidden="1">Comments!$J:$J,Comments!#REF!</definedName>
    <definedName name="Z_BE287C18_2555_4F9D_9444_78E80943430A_.wvu.PrintTitles" localSheetId="3" hidden="1">Comments!$13:$13</definedName>
  </definedNames>
  <calcPr calcId="125725" fullCalcOnLoad="1"/>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C11" s="1"/>
  <c r="E11" s="1"/>
  <c r="B8"/>
  <c r="B9"/>
  <c r="B53" i="15" s="1"/>
  <c r="B10" i="19"/>
  <c r="E25"/>
  <c r="E26"/>
  <c r="E28"/>
  <c r="E29"/>
  <c r="E30"/>
  <c r="F63"/>
  <c r="Q163" i="23"/>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Q4"/>
  <c r="Q5"/>
  <c r="E6"/>
  <c r="E7"/>
  <c r="E8"/>
  <c r="I12"/>
  <c r="B64" i="15"/>
  <c r="R14" i="23"/>
  <c r="S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R15"/>
  <c r="S15"/>
  <c r="R16"/>
  <c r="S16"/>
  <c r="R17"/>
  <c r="S17"/>
  <c r="R18"/>
  <c r="S18"/>
  <c r="R19"/>
  <c r="S19"/>
  <c r="R20"/>
  <c r="S20"/>
  <c r="R21"/>
  <c r="S21"/>
  <c r="R22"/>
  <c r="S22"/>
  <c r="R23"/>
  <c r="S23"/>
  <c r="R24"/>
  <c r="S24"/>
  <c r="R25"/>
  <c r="S25"/>
  <c r="R26"/>
  <c r="S26"/>
  <c r="R27"/>
  <c r="S27"/>
  <c r="R28"/>
  <c r="S28"/>
  <c r="R29"/>
  <c r="S29"/>
  <c r="R30"/>
  <c r="S30"/>
  <c r="R31"/>
  <c r="S31"/>
  <c r="R32"/>
  <c r="S32"/>
  <c r="R33"/>
  <c r="S33"/>
  <c r="R34"/>
  <c r="S34"/>
  <c r="R35"/>
  <c r="S35"/>
  <c r="R36"/>
  <c r="S36"/>
  <c r="R37"/>
  <c r="S37"/>
  <c r="R38"/>
  <c r="S38"/>
  <c r="R39"/>
  <c r="S39"/>
  <c r="R40"/>
  <c r="S40"/>
  <c r="R41"/>
  <c r="S41"/>
  <c r="R42"/>
  <c r="S42"/>
  <c r="R43"/>
  <c r="S43"/>
  <c r="R44"/>
  <c r="S44"/>
  <c r="R45"/>
  <c r="S45"/>
  <c r="R46"/>
  <c r="S46"/>
  <c r="R47"/>
  <c r="S47"/>
  <c r="R48"/>
  <c r="S48"/>
  <c r="R49"/>
  <c r="S49"/>
  <c r="R50"/>
  <c r="S50"/>
  <c r="R51"/>
  <c r="S51"/>
  <c r="R52"/>
  <c r="S52"/>
  <c r="R53"/>
  <c r="S53"/>
  <c r="R54"/>
  <c r="S54"/>
  <c r="R55"/>
  <c r="S55"/>
  <c r="R56"/>
  <c r="S56"/>
  <c r="R57"/>
  <c r="S57"/>
  <c r="R58"/>
  <c r="S58"/>
  <c r="R59"/>
  <c r="S59"/>
  <c r="R60"/>
  <c r="S60"/>
  <c r="R61"/>
  <c r="S61"/>
  <c r="R62"/>
  <c r="S62"/>
  <c r="R63"/>
  <c r="S63"/>
  <c r="R64"/>
  <c r="S64"/>
  <c r="R65"/>
  <c r="S65"/>
  <c r="R66"/>
  <c r="S66"/>
  <c r="R67"/>
  <c r="S67"/>
  <c r="R68"/>
  <c r="S68"/>
  <c r="R69"/>
  <c r="S69"/>
  <c r="R70"/>
  <c r="S70"/>
  <c r="R71"/>
  <c r="S71"/>
  <c r="R72"/>
  <c r="S72"/>
  <c r="R73"/>
  <c r="S73"/>
  <c r="R74"/>
  <c r="S74"/>
  <c r="R75"/>
  <c r="S75"/>
  <c r="R76"/>
  <c r="S76"/>
  <c r="R77"/>
  <c r="S77"/>
  <c r="R78"/>
  <c r="S78"/>
  <c r="R79"/>
  <c r="S79"/>
  <c r="R80"/>
  <c r="S80"/>
  <c r="R81"/>
  <c r="S81"/>
  <c r="R82"/>
  <c r="S82"/>
  <c r="R83"/>
  <c r="S83"/>
  <c r="R84"/>
  <c r="S84"/>
  <c r="R85"/>
  <c r="S85"/>
  <c r="R86"/>
  <c r="S86"/>
  <c r="R87"/>
  <c r="S87"/>
  <c r="R88"/>
  <c r="S88"/>
  <c r="R89"/>
  <c r="S89"/>
  <c r="R90"/>
  <c r="S90"/>
  <c r="R91"/>
  <c r="S91"/>
  <c r="R92"/>
  <c r="S92"/>
  <c r="R93"/>
  <c r="S93"/>
  <c r="R94"/>
  <c r="S94"/>
  <c r="R95"/>
  <c r="S95"/>
  <c r="R96"/>
  <c r="S96"/>
  <c r="R97"/>
  <c r="S97"/>
  <c r="R98"/>
  <c r="S98"/>
  <c r="R99"/>
  <c r="S99"/>
  <c r="R100"/>
  <c r="S100"/>
  <c r="R101"/>
  <c r="S101"/>
  <c r="R102"/>
  <c r="S102"/>
  <c r="R103"/>
  <c r="S103"/>
  <c r="R104"/>
  <c r="S104"/>
  <c r="R105"/>
  <c r="S105"/>
  <c r="R106"/>
  <c r="S106"/>
  <c r="R107"/>
  <c r="S107"/>
  <c r="R108"/>
  <c r="S108"/>
  <c r="R109"/>
  <c r="S109"/>
  <c r="R110"/>
  <c r="S110"/>
  <c r="R111"/>
  <c r="S111"/>
  <c r="R112"/>
  <c r="S112"/>
  <c r="R113"/>
  <c r="S113"/>
  <c r="R114"/>
  <c r="S114"/>
  <c r="R115"/>
  <c r="S115"/>
  <c r="R116"/>
  <c r="S116"/>
  <c r="R117"/>
  <c r="S117"/>
  <c r="R118"/>
  <c r="S118"/>
  <c r="R119"/>
  <c r="S119"/>
  <c r="R120"/>
  <c r="S120"/>
  <c r="R121"/>
  <c r="S121"/>
  <c r="R122"/>
  <c r="S122"/>
  <c r="R123"/>
  <c r="S123"/>
  <c r="R124"/>
  <c r="S124"/>
  <c r="R125"/>
  <c r="S125"/>
  <c r="R126"/>
  <c r="S126"/>
  <c r="R127"/>
  <c r="S127"/>
  <c r="R128"/>
  <c r="S128"/>
  <c r="R129"/>
  <c r="S129"/>
  <c r="R130"/>
  <c r="S130"/>
  <c r="R131"/>
  <c r="S131"/>
  <c r="R132"/>
  <c r="S132"/>
  <c r="R133"/>
  <c r="S133"/>
  <c r="R134"/>
  <c r="S134"/>
  <c r="R135"/>
  <c r="S135"/>
  <c r="R136"/>
  <c r="S136"/>
  <c r="R137"/>
  <c r="S137"/>
  <c r="R138"/>
  <c r="S138"/>
  <c r="R139"/>
  <c r="S139"/>
  <c r="R140"/>
  <c r="S140"/>
  <c r="R141"/>
  <c r="S141"/>
  <c r="R142"/>
  <c r="S142"/>
  <c r="R143"/>
  <c r="S143"/>
  <c r="R144"/>
  <c r="S144"/>
  <c r="R145"/>
  <c r="S145"/>
  <c r="R146"/>
  <c r="S146"/>
  <c r="R147"/>
  <c r="S147"/>
  <c r="R148"/>
  <c r="S148"/>
  <c r="R149"/>
  <c r="S149"/>
  <c r="R150"/>
  <c r="S150"/>
  <c r="R151"/>
  <c r="S151"/>
  <c r="R152"/>
  <c r="S152"/>
  <c r="R153"/>
  <c r="S153"/>
  <c r="R154"/>
  <c r="S154"/>
  <c r="R155"/>
  <c r="S155"/>
  <c r="R156"/>
  <c r="S156"/>
  <c r="R157"/>
  <c r="S157"/>
  <c r="R158"/>
  <c r="S158"/>
  <c r="R159"/>
  <c r="S159"/>
  <c r="R160"/>
  <c r="S160"/>
  <c r="R161"/>
  <c r="S161"/>
  <c r="R162"/>
  <c r="S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c r="B49" i="15"/>
  <c r="C9" i="19"/>
  <c r="I51" i="20"/>
  <c r="I24"/>
  <c r="G37"/>
  <c r="J51"/>
  <c r="H51"/>
  <c r="J37"/>
  <c r="H37"/>
  <c r="H24"/>
  <c r="C10" i="17"/>
  <c r="C12"/>
  <c r="C9"/>
  <c r="I37" i="20"/>
  <c r="B54" i="15"/>
  <c r="B52"/>
  <c r="Q161" i="23"/>
  <c r="Q159"/>
  <c r="Q157"/>
  <c r="Q155"/>
  <c r="Q153"/>
  <c r="Q151"/>
  <c r="Q149"/>
  <c r="Q147"/>
  <c r="Q145"/>
  <c r="Q143"/>
  <c r="Q141"/>
  <c r="Q139"/>
  <c r="Q137"/>
  <c r="Q135"/>
  <c r="Q133"/>
  <c r="Q131"/>
  <c r="Q129"/>
  <c r="Q127"/>
  <c r="Q125"/>
  <c r="Q123"/>
  <c r="Q121"/>
  <c r="Q119"/>
  <c r="Q117"/>
  <c r="Q115"/>
  <c r="Q113"/>
  <c r="Q111"/>
  <c r="Q109"/>
  <c r="Q107"/>
  <c r="Q105"/>
  <c r="Q103"/>
  <c r="Q101"/>
  <c r="Q99"/>
  <c r="Q97"/>
  <c r="Q95"/>
  <c r="Q93"/>
  <c r="Q91"/>
  <c r="Q89"/>
  <c r="Q87"/>
  <c r="Q85"/>
  <c r="Q83"/>
  <c r="Q81"/>
  <c r="Q79"/>
  <c r="Q77"/>
  <c r="Q75"/>
  <c r="Q73"/>
  <c r="Q71"/>
  <c r="Q69"/>
  <c r="Q67"/>
  <c r="Q65"/>
  <c r="Q63"/>
  <c r="Q61"/>
  <c r="Q59"/>
  <c r="Q57"/>
  <c r="Q55"/>
  <c r="Q53"/>
  <c r="Q51"/>
  <c r="Q49"/>
  <c r="Q47"/>
  <c r="Q45"/>
  <c r="Q43"/>
  <c r="Q41"/>
  <c r="Q39"/>
  <c r="Q37"/>
  <c r="Q35"/>
  <c r="Q33"/>
  <c r="Q31"/>
  <c r="Q29"/>
  <c r="Q27"/>
  <c r="Q25"/>
  <c r="Q23"/>
  <c r="Q21"/>
  <c r="Q19"/>
  <c r="Q17"/>
  <c r="Q15"/>
  <c r="Q14"/>
  <c r="Q162"/>
  <c r="Q160"/>
  <c r="Q158"/>
  <c r="Q156"/>
  <c r="Q154"/>
  <c r="Q152"/>
  <c r="Q150"/>
  <c r="Q148"/>
  <c r="Q146"/>
  <c r="Q144"/>
  <c r="Q142"/>
  <c r="Q140"/>
  <c r="Q138"/>
  <c r="Q136"/>
  <c r="Q134"/>
  <c r="Q132"/>
  <c r="Q130"/>
  <c r="Q128"/>
  <c r="Q126"/>
  <c r="Q124"/>
  <c r="Q122"/>
  <c r="Q120"/>
  <c r="Q118"/>
  <c r="Q116"/>
  <c r="Q114"/>
  <c r="Q112"/>
  <c r="Q110"/>
  <c r="Q108"/>
  <c r="Q106"/>
  <c r="Q104"/>
  <c r="Q102"/>
  <c r="Q100"/>
  <c r="Q98"/>
  <c r="Q96"/>
  <c r="Q94"/>
  <c r="Q92"/>
  <c r="Q90"/>
  <c r="Q88"/>
  <c r="Q86"/>
  <c r="Q84"/>
  <c r="Q82"/>
  <c r="Q80"/>
  <c r="Q78"/>
  <c r="Q76"/>
  <c r="Q74"/>
  <c r="Q72"/>
  <c r="Q70"/>
  <c r="Q68"/>
  <c r="Q66"/>
  <c r="Q64"/>
  <c r="Q62"/>
  <c r="Q60"/>
  <c r="Q58"/>
  <c r="Q56"/>
  <c r="Q54"/>
  <c r="Q52"/>
  <c r="Q50"/>
  <c r="Q48"/>
  <c r="Q46"/>
  <c r="Q44"/>
  <c r="Q42"/>
  <c r="Q40"/>
  <c r="Q38"/>
  <c r="Q36"/>
  <c r="Q34"/>
  <c r="Q32"/>
  <c r="Q30"/>
  <c r="Q28"/>
  <c r="Q26"/>
  <c r="Q24"/>
  <c r="Q22"/>
  <c r="Q20"/>
  <c r="Q18"/>
  <c r="F37" i="20"/>
  <c r="K37" s="1"/>
  <c r="G51"/>
  <c r="J24"/>
  <c r="F24"/>
  <c r="C6" i="19"/>
  <c r="E11" i="23"/>
  <c r="S238"/>
  <c r="Q238"/>
  <c r="R237"/>
  <c r="S236"/>
  <c r="Q236"/>
  <c r="R235"/>
  <c r="S234"/>
  <c r="Q234"/>
  <c r="R233"/>
  <c r="S232"/>
  <c r="Q232"/>
  <c r="R231"/>
  <c r="S230"/>
  <c r="Q230"/>
  <c r="R229"/>
  <c r="S228"/>
  <c r="Q228"/>
  <c r="R227"/>
  <c r="S226"/>
  <c r="Q226"/>
  <c r="R225"/>
  <c r="S224"/>
  <c r="Q224"/>
  <c r="R223"/>
  <c r="S222"/>
  <c r="Q222"/>
  <c r="R221"/>
  <c r="S220"/>
  <c r="Q220"/>
  <c r="R219"/>
  <c r="S218"/>
  <c r="Q218"/>
  <c r="R217"/>
  <c r="S216"/>
  <c r="Q216"/>
  <c r="R215"/>
  <c r="S214"/>
  <c r="Q214"/>
  <c r="R213"/>
  <c r="S212"/>
  <c r="Q212"/>
  <c r="R211"/>
  <c r="S210"/>
  <c r="Q210"/>
  <c r="R209"/>
  <c r="S208"/>
  <c r="Q208"/>
  <c r="R207"/>
  <c r="S206"/>
  <c r="Q206"/>
  <c r="R205"/>
  <c r="S204"/>
  <c r="Q204"/>
  <c r="R203"/>
  <c r="S202"/>
  <c r="Q202"/>
  <c r="R201"/>
  <c r="S200"/>
  <c r="Q200"/>
  <c r="R199"/>
  <c r="S198"/>
  <c r="Q198"/>
  <c r="R197"/>
  <c r="S196"/>
  <c r="Q196"/>
  <c r="R195"/>
  <c r="S194"/>
  <c r="Q194"/>
  <c r="R193"/>
  <c r="S192"/>
  <c r="Q192"/>
  <c r="R191"/>
  <c r="S190"/>
  <c r="Q190"/>
  <c r="R189"/>
  <c r="S188"/>
  <c r="Q188"/>
  <c r="R187"/>
  <c r="S186"/>
  <c r="Q186"/>
  <c r="R185"/>
  <c r="S184"/>
  <c r="Q184"/>
  <c r="R183"/>
  <c r="S182"/>
  <c r="Q182"/>
  <c r="R181"/>
  <c r="S180"/>
  <c r="Q180"/>
  <c r="R179"/>
  <c r="S178"/>
  <c r="Q178"/>
  <c r="R177"/>
  <c r="S176"/>
  <c r="Q176"/>
  <c r="R175"/>
  <c r="S174"/>
  <c r="Q174"/>
  <c r="R173"/>
  <c r="S172"/>
  <c r="Q172"/>
  <c r="R171"/>
  <c r="S170"/>
  <c r="Q170"/>
  <c r="R169"/>
  <c r="S168"/>
  <c r="Q168"/>
  <c r="R167"/>
  <c r="S166"/>
  <c r="Q166"/>
  <c r="R165"/>
  <c r="S164"/>
  <c r="Q164"/>
  <c r="R163"/>
  <c r="N12" s="1"/>
  <c r="D15" i="20"/>
  <c r="D14"/>
  <c r="Q16" i="23"/>
  <c r="R238"/>
  <c r="S237"/>
  <c r="Q237"/>
  <c r="R236"/>
  <c r="S235"/>
  <c r="Q235"/>
  <c r="R234"/>
  <c r="S233"/>
  <c r="Q233"/>
  <c r="R232"/>
  <c r="S231"/>
  <c r="Q231"/>
  <c r="R230"/>
  <c r="S229"/>
  <c r="Q229"/>
  <c r="R228"/>
  <c r="S227"/>
  <c r="Q227"/>
  <c r="R226"/>
  <c r="S225"/>
  <c r="Q225"/>
  <c r="R224"/>
  <c r="S223"/>
  <c r="Q223"/>
  <c r="R222"/>
  <c r="S221"/>
  <c r="Q221"/>
  <c r="R220"/>
  <c r="S219"/>
  <c r="Q219"/>
  <c r="R218"/>
  <c r="S217"/>
  <c r="Q217"/>
  <c r="R216"/>
  <c r="S215"/>
  <c r="Q215"/>
  <c r="R214"/>
  <c r="S213"/>
  <c r="Q213"/>
  <c r="R212"/>
  <c r="S211"/>
  <c r="Q211"/>
  <c r="R210"/>
  <c r="S209"/>
  <c r="Q209"/>
  <c r="R208"/>
  <c r="S207"/>
  <c r="Q207"/>
  <c r="R206"/>
  <c r="S205"/>
  <c r="Q205"/>
  <c r="R204"/>
  <c r="S203"/>
  <c r="Q203"/>
  <c r="R202"/>
  <c r="S201"/>
  <c r="Q201"/>
  <c r="R200"/>
  <c r="S199"/>
  <c r="Q199"/>
  <c r="R198"/>
  <c r="S197"/>
  <c r="Q197"/>
  <c r="R196"/>
  <c r="S195"/>
  <c r="Q195"/>
  <c r="R194"/>
  <c r="S193"/>
  <c r="Q193"/>
  <c r="R192"/>
  <c r="S191"/>
  <c r="Q191"/>
  <c r="R190"/>
  <c r="S189"/>
  <c r="Q189"/>
  <c r="R188"/>
  <c r="S187"/>
  <c r="Q187"/>
  <c r="R186"/>
  <c r="S185"/>
  <c r="Q185"/>
  <c r="R184"/>
  <c r="S183"/>
  <c r="Q183"/>
  <c r="R182"/>
  <c r="S181"/>
  <c r="Q181"/>
  <c r="R180"/>
  <c r="S179"/>
  <c r="Q179"/>
  <c r="R178"/>
  <c r="S177"/>
  <c r="Q177"/>
  <c r="R176"/>
  <c r="S175"/>
  <c r="Q175"/>
  <c r="R174"/>
  <c r="S173"/>
  <c r="Q173"/>
  <c r="R172"/>
  <c r="S171"/>
  <c r="Q171"/>
  <c r="R170"/>
  <c r="S169"/>
  <c r="Q169"/>
  <c r="R168"/>
  <c r="S167"/>
  <c r="Q167"/>
  <c r="R166"/>
  <c r="S165"/>
  <c r="Q165"/>
  <c r="R164"/>
  <c r="S163"/>
  <c r="P12" s="1"/>
  <c r="F51" i="20"/>
  <c r="K51"/>
  <c r="C10" i="19"/>
  <c r="B51" i="15"/>
  <c r="C8" i="19"/>
  <c r="E51" i="20"/>
  <c r="E37"/>
  <c r="E24"/>
  <c r="C51"/>
  <c r="C37"/>
  <c r="G24"/>
  <c r="K52"/>
  <c r="E35" i="19"/>
  <c r="E36"/>
  <c r="E33"/>
  <c r="E32"/>
  <c r="B41" i="15"/>
  <c r="D23" i="20"/>
  <c r="D22"/>
  <c r="D21"/>
  <c r="D20"/>
  <c r="D19"/>
  <c r="D18"/>
  <c r="D17"/>
  <c r="D16"/>
  <c r="B42" i="15"/>
  <c r="D44" i="19"/>
  <c r="D45"/>
  <c r="D46"/>
  <c r="B43" i="15"/>
  <c r="B44"/>
  <c r="D47" i="19"/>
  <c r="D52"/>
  <c r="D48"/>
  <c r="D49"/>
  <c r="B45" i="15"/>
  <c r="B46"/>
  <c r="D51" i="19"/>
  <c r="D53"/>
  <c r="K24" i="20" l="1"/>
  <c r="B11" i="19"/>
  <c r="B66" i="15"/>
  <c r="K11" i="23"/>
  <c r="B65" i="15"/>
  <c r="I11" i="23"/>
  <c r="B40" i="15"/>
  <c r="B14" i="19"/>
  <c r="K25" i="20"/>
  <c r="K38"/>
  <c r="D50" i="19"/>
  <c r="B47" i="15"/>
  <c r="D14" i="19" l="1"/>
  <c r="E14"/>
  <c r="C14"/>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andrew.hawkins</author>
    <author>Chris Martin</author>
  </authors>
  <commentList>
    <comment ref="H13"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I13" authorId="1">
      <text>
        <r>
          <rPr>
            <b/>
            <sz val="8"/>
            <color indexed="81"/>
            <rFont val="Tahoma"/>
            <family val="2"/>
          </rPr>
          <t>Chris Martin:</t>
        </r>
        <r>
          <rPr>
            <sz val="8"/>
            <color indexed="81"/>
            <rFont val="Tahoma"/>
            <family val="2"/>
          </rPr>
          <t xml:space="preserve">
(Unhide column to right via "+" at top for additional information column)</t>
        </r>
      </text>
    </comment>
    <comment ref="N13"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<sst xmlns="http://schemas.openxmlformats.org/spreadsheetml/2006/main" count="1176" uniqueCount="580">
  <si>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</si>
  <si>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</si>
  <si>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</si>
  <si>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</si>
  <si>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</si>
  <si>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</si>
  <si>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</si>
  <si>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</si>
  <si>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</si>
  <si>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</si>
  <si>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</si>
  <si>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</si>
  <si>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</si>
  <si>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</si>
  <si>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</si>
  <si>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</si>
  <si>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</si>
  <si>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</si>
  <si>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</si>
  <si>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</si>
  <si>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</si>
  <si>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</si>
  <si>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</si>
  <si>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</si>
  <si>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</si>
  <si>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</si>
  <si>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</si>
  <si>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</si>
  <si>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</si>
  <si>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</si>
  <si>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</si>
  <si>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</si>
  <si>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</si>
  <si>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</si>
  <si>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</si>
  <si>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</si>
  <si>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</si>
  <si>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</si>
  <si>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</si>
  <si>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</si>
  <si>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</si>
  <si>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</si>
  <si>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</si>
  <si>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</si>
  <si>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</si>
  <si>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</si>
  <si>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</si>
  <si>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</si>
  <si>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</si>
  <si>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</si>
  <si>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</si>
  <si>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</si>
  <si>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</si>
  <si>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</si>
  <si>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</si>
  <si>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</si>
  <si>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</si>
  <si>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</si>
  <si>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</si>
  <si>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</si>
  <si>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</si>
  <si>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</si>
  <si>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</si>
  <si>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</si>
  <si>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</si>
  <si>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</si>
  <si>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</si>
  <si>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</si>
  <si>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</si>
  <si>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</si>
  <si>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</si>
  <si>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</si>
  <si>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</si>
  <si>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</si>
  <si>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</si>
  <si>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</si>
  <si>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</si>
  <si>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</si>
  <si>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</si>
  <si>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</si>
  <si>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</si>
  <si>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</si>
  <si>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</si>
  <si>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</si>
  <si>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</si>
  <si>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</si>
  <si>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</si>
  <si>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</si>
  <si>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</si>
  <si>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</si>
  <si>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</si>
  <si>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</si>
  <si>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</si>
  <si>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</si>
  <si>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</si>
  <si>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</si>
  <si>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</si>
  <si>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</si>
  <si>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</si>
  <si>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</si>
  <si>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</si>
  <si>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</si>
  <si>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</si>
  <si>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</si>
  <si>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</si>
  <si>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</si>
  <si>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</si>
  <si>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</si>
  <si>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</si>
  <si>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</si>
  <si>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</si>
  <si>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</si>
  <si>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</si>
  <si>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</si>
  <si>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</si>
  <si>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</si>
  <si>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</si>
  <si>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&lt;CM revision number&gt;</t>
  </si>
  <si>
    <t>&lt;Name&gt;</t>
  </si>
  <si>
    <t>Revision After Review</t>
  </si>
  <si>
    <t>Revision Into Review</t>
  </si>
  <si>
    <t>File Name</t>
  </si>
  <si>
    <t>List of Files for Review (Code)</t>
  </si>
  <si>
    <t>Sign-off by "Checker" (initials)</t>
  </si>
  <si>
    <t>Author's initials</t>
  </si>
  <si>
    <t>Additional information (e.g. data allowing the reviewer to group comments by category)</t>
  </si>
  <si>
    <t xml:space="preserve">Reviewer's Comment </t>
  </si>
  <si>
    <t>CM System Revision Number</t>
  </si>
  <si>
    <t>Section Reference or Line Number(s)</t>
  </si>
  <si>
    <t>Summary of comments' status:</t>
  </si>
  <si>
    <t>Notes on Use of this form:</t>
  </si>
  <si>
    <t>Reviewer Name(s)</t>
  </si>
  <si>
    <t>Time Spent Reworking (mins)</t>
  </si>
  <si>
    <t>Time Spent Moderating (mins)</t>
  </si>
  <si>
    <t>File Name (URL)</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</si>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</sst>
</file>

<file path=xl/styles.xml><?xml version="1.0" encoding="utf-8"?>
<styleSheet xmlns="http://schemas.openxmlformats.org/spreadsheetml/2006/main">
  <numFmts count="5">
    <numFmt numFmtId="165" formatCode="dd\ mmmm\ yyyy"/>
    <numFmt numFmtId="166" formatCode="0.0"/>
    <numFmt numFmtId="167" formatCode="[h]:mm"/>
    <numFmt numFmtId="168" formatCode="&quot;Y&quot;"/>
    <numFmt numFmtId="170" formatCode="dd\ mmmm\ yyyy\ hh:mm"/>
  </numFmts>
  <fonts count="20">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6">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8"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6"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5"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wrapText="1"/>
    </xf>
    <xf numFmtId="49" fontId="2" fillId="5" borderId="1" xfId="10" applyNumberFormat="1" applyFont="1" applyFill="1" applyAlignment="1">
      <alignment horizontal="center" textRotation="90" wrapText="1"/>
    </xf>
    <xf numFmtId="0" fontId="2" fillId="5" borderId="1" xfId="10" applyFill="1" applyAlignment="1">
      <alignment horizontal="center"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70"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49" fontId="1" fillId="0" borderId="1" xfId="9"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0" borderId="10" xfId="7" applyBorder="1" applyAlignment="1" applyProtection="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0" xfId="9" applyFont="1" applyBorder="1" applyAlignment="1">
      <alignment horizontal="left" vertical="top" wrapText="1"/>
      <protection locked="0"/>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1" fontId="1" fillId="0" borderId="1" xfId="9" applyNumberFormat="1" applyFont="1"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1" fillId="0" borderId="7"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0" fillId="0" borderId="7" xfId="0" applyBorder="1" applyAlignment="1"/>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6" borderId="7" xfId="0" applyFont="1" applyFill="1" applyBorder="1" applyAlignment="1">
      <alignment horizontal="left"/>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alignment horizontal="left" vertical="top" wrapText="1"/>
    </xf>
    <xf numFmtId="0" fontId="6" fillId="0" borderId="1" xfId="5" applyFont="1" applyBorder="1" applyAlignment="1" applyProtection="1"/>
    <xf numFmtId="0" fontId="1" fillId="0" borderId="0" xfId="5" applyAlignment="1" applyProtection="1">
      <alignment horizontal="left"/>
    </xf>
    <xf numFmtId="0" fontId="1" fillId="12"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3" borderId="1" xfId="5" applyFill="1" applyBorder="1"/>
    <xf numFmtId="0" fontId="1" fillId="3" borderId="1" xfId="5" applyFill="1" applyBorder="1"/>
    <xf numFmtId="0" fontId="1" fillId="0" borderId="1" xfId="5" applyBorder="1" applyProtection="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166" fontId="1" fillId="0" borderId="10" xfId="7" applyNumberFormat="1" applyBorder="1" applyAlignment="1" applyProtection="1">
      <alignment horizontal="left" vertical="top" wrapText="1"/>
    </xf>
    <xf numFmtId="166" fontId="1" fillId="0" borderId="7" xfId="5" applyNumberFormat="1" applyBorder="1" applyAlignment="1"/>
    <xf numFmtId="165" fontId="1" fillId="0" borderId="1" xfId="7" applyNumberFormat="1" applyFont="1">
      <alignment horizontal="left" vertical="top" wrapText="1"/>
      <protection locked="0"/>
    </xf>
    <xf numFmtId="165" fontId="1" fillId="0" borderId="1" xfId="7" applyNumberFormat="1">
      <alignment horizontal="left" vertical="top" wrapText="1"/>
      <protection locked="0"/>
    </xf>
    <xf numFmtId="2" fontId="1" fillId="0" borderId="1" xfId="7" applyNumberFormat="1" applyProtection="1">
      <alignment horizontal="left" vertical="top" wrapText="1"/>
    </xf>
    <xf numFmtId="0" fontId="1" fillId="0" borderId="1" xfId="7">
      <alignment horizontal="left" vertical="top" wrapText="1"/>
      <protection locked="0"/>
    </xf>
    <xf numFmtId="0" fontId="1" fillId="0" borderId="1" xfId="7" applyFont="1">
      <alignment horizontal="left" vertical="top" wrapText="1"/>
      <protection locked="0"/>
    </xf>
    <xf numFmtId="167" fontId="1" fillId="0" borderId="10" xfId="7" applyNumberFormat="1" applyBorder="1" applyAlignment="1" applyProtection="1">
      <alignment horizontal="left" vertical="top" wrapText="1"/>
    </xf>
    <xf numFmtId="0" fontId="1" fillId="0" borderId="7" xfId="5" applyBorder="1" applyAlignment="1"/>
    <xf numFmtId="0" fontId="1" fillId="0" borderId="10" xfId="5" applyBorder="1" applyAlignment="1" applyProtection="1">
      <alignment horizontal="left" vertical="top" wrapText="1"/>
      <protection locked="0"/>
    </xf>
    <xf numFmtId="0" fontId="0" fillId="0" borderId="11" xfId="0" applyBorder="1" applyAlignment="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0">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5" sqref="B15"/>
    </sheetView>
  </sheetViews>
  <sheetFormatPr defaultRowHeight="13.5"/>
  <cols>
    <col min="2" max="2" width="70.25" customWidth="1"/>
  </cols>
  <sheetData>
    <row r="2" spans="2:2">
      <c r="B2" s="94" t="s">
        <v>561</v>
      </c>
    </row>
    <row r="3" spans="2:2">
      <c r="B3" s="94" t="s">
        <v>562</v>
      </c>
    </row>
    <row r="4" spans="2:2">
      <c r="B4" s="94" t="s">
        <v>565</v>
      </c>
    </row>
    <row r="5" spans="2:2">
      <c r="B5" s="94" t="s">
        <v>566</v>
      </c>
    </row>
    <row r="6" spans="2:2">
      <c r="B6" s="94" t="s">
        <v>567</v>
      </c>
    </row>
    <row r="8" spans="2:2">
      <c r="B8" s="94" t="s">
        <v>568</v>
      </c>
    </row>
    <row r="9" spans="2:2">
      <c r="B9" s="94" t="s">
        <v>570</v>
      </c>
    </row>
    <row r="10" spans="2:2">
      <c r="B10" s="94" t="s">
        <v>569</v>
      </c>
    </row>
    <row r="12" spans="2:2">
      <c r="B12" s="94" t="s">
        <v>577</v>
      </c>
    </row>
    <row r="13" spans="2:2">
      <c r="B13" s="94" t="s">
        <v>570</v>
      </c>
    </row>
    <row r="14" spans="2:2">
      <c r="B14" s="94" t="s">
        <v>578</v>
      </c>
    </row>
    <row r="15" spans="2:2">
      <c r="B15" s="94"/>
    </row>
    <row r="16" spans="2:2">
      <c r="B16" s="94" t="s">
        <v>572</v>
      </c>
    </row>
    <row r="18" spans="2:2">
      <c r="B18" s="94" t="s">
        <v>573</v>
      </c>
    </row>
    <row r="19" spans="2:2">
      <c r="B19" s="94" t="s">
        <v>574</v>
      </c>
    </row>
    <row r="20" spans="2:2">
      <c r="B20" s="94" t="s">
        <v>575</v>
      </c>
    </row>
    <row r="21" spans="2:2" ht="67.5">
      <c r="B21" s="4" t="s">
        <v>576</v>
      </c>
    </row>
    <row r="26" spans="2:2" ht="27">
      <c r="B26" s="4" t="s">
        <v>9</v>
      </c>
    </row>
    <row r="27" spans="2:2" ht="40.5">
      <c r="B27" s="4" t="s">
        <v>10</v>
      </c>
    </row>
    <row r="28" spans="2:2" ht="54">
      <c r="B28" s="4" t="s">
        <v>11</v>
      </c>
    </row>
    <row r="29" spans="2:2">
      <c r="B29" s="3"/>
    </row>
    <row r="30" spans="2:2">
      <c r="B30" s="3"/>
    </row>
    <row r="31" spans="2:2" ht="27">
      <c r="B31" s="4" t="s">
        <v>12</v>
      </c>
    </row>
    <row r="33" spans="2:2">
      <c r="B33" s="94" t="s">
        <v>571</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B7" sqref="B7"/>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89" t="s">
        <v>196</v>
      </c>
      <c r="B2" s="189"/>
      <c r="C2" s="118"/>
    </row>
    <row r="3" spans="1:3" ht="13.5" customHeight="1">
      <c r="A3" s="98" t="s">
        <v>42</v>
      </c>
      <c r="B3" s="15" t="s">
        <v>41</v>
      </c>
      <c r="C3" s="5" t="str">
        <f t="shared" ref="C3:C8" si="0">IF(OR(LEFT(B3,1)="&lt;",COUNTIF(Blanks,B3)&gt;0),CheckErr,CheckOK)</f>
        <v>!</v>
      </c>
    </row>
    <row r="4" spans="1:3">
      <c r="A4" s="99" t="s">
        <v>40</v>
      </c>
      <c r="B4" s="17" t="s">
        <v>39</v>
      </c>
      <c r="C4" s="5" t="str">
        <f t="shared" si="0"/>
        <v>!</v>
      </c>
    </row>
    <row r="5" spans="1:3">
      <c r="A5" s="99" t="s">
        <v>197</v>
      </c>
      <c r="B5" s="17" t="s">
        <v>198</v>
      </c>
      <c r="C5" s="5" t="str">
        <f t="shared" si="0"/>
        <v>!</v>
      </c>
    </row>
    <row r="6" spans="1:3">
      <c r="A6" s="99" t="s">
        <v>38</v>
      </c>
      <c r="B6" s="17" t="s">
        <v>37</v>
      </c>
      <c r="C6" s="5" t="str">
        <f t="shared" si="0"/>
        <v>!</v>
      </c>
    </row>
    <row r="7" spans="1:3">
      <c r="A7" s="99" t="s">
        <v>36</v>
      </c>
      <c r="B7" s="19" t="s">
        <v>27</v>
      </c>
      <c r="C7" s="5" t="str">
        <f t="shared" si="0"/>
        <v>!</v>
      </c>
    </row>
    <row r="8" spans="1:3">
      <c r="A8" s="99" t="s">
        <v>35</v>
      </c>
      <c r="B8" s="17" t="s">
        <v>34</v>
      </c>
      <c r="C8" s="5" t="str">
        <f t="shared" si="0"/>
        <v>!</v>
      </c>
    </row>
    <row r="9" spans="1:3" ht="13.5" customHeight="1">
      <c r="A9" s="99" t="s">
        <v>161</v>
      </c>
      <c r="B9" s="18" t="s">
        <v>33</v>
      </c>
      <c r="C9" s="5" t="str">
        <f>IF(OR(LEFT(B9,1)="&lt;",COUNTIF(Blanks,B9)&gt;0),IF(CaptureSizeMetrics,CheckErr,CheckOK),CheckOK)</f>
        <v>!</v>
      </c>
    </row>
    <row r="10" spans="1:3" ht="13.5" customHeight="1">
      <c r="A10" s="99" t="s">
        <v>162</v>
      </c>
      <c r="B10" s="18" t="s">
        <v>33</v>
      </c>
      <c r="C10" s="5" t="str">
        <f>IF(OR(LEFT(B10,1)="&lt;",COUNTIF(Blanks,B10)&gt;0),IF(CaptureSizeMetrics,CheckErr,CheckOK),CheckOK)</f>
        <v>!</v>
      </c>
    </row>
    <row r="11" spans="1:3" ht="13.5" customHeight="1">
      <c r="A11" s="99" t="s">
        <v>163</v>
      </c>
      <c r="B11" s="18" t="s">
        <v>33</v>
      </c>
      <c r="C11" s="5" t="str">
        <f>IF(OR(LEFT(B11,1)="&lt;",COUNTIF(Blanks,B11)&gt;0),IF(CaptureSizeMetrics,CheckErr,CheckOK),CheckOK)</f>
        <v>!</v>
      </c>
    </row>
    <row r="12" spans="1:3" ht="13.5" customHeight="1">
      <c r="A12" s="99" t="s">
        <v>32</v>
      </c>
      <c r="B12" s="18" t="s">
        <v>31</v>
      </c>
      <c r="C12" s="5" t="str">
        <f>IF(OR(LEFT(B12,1)="&lt;",COUNTIF(Blanks,B12)&gt;0),IF(CaptureSizeMetrics,CheckErr,CheckOK),CheckOK)</f>
        <v>!</v>
      </c>
    </row>
    <row r="13" spans="1:3">
      <c r="A13" s="99" t="s">
        <v>323</v>
      </c>
      <c r="B13" s="17" t="s">
        <v>30</v>
      </c>
    </row>
    <row r="15" spans="1:3" ht="21">
      <c r="A15" s="10" t="s">
        <v>29</v>
      </c>
    </row>
    <row r="17" spans="1:3">
      <c r="A17" s="98" t="s">
        <v>28</v>
      </c>
      <c r="B17" s="19" t="s">
        <v>27</v>
      </c>
      <c r="C17" s="5" t="str">
        <f>IF(OR(LEFT(B17,1)="&lt;",COUNTIF(Blanks,B17)&gt;0),CheckErr,CheckOK)</f>
        <v>!</v>
      </c>
    </row>
    <row r="18" spans="1:3">
      <c r="A18" s="98" t="s">
        <v>26</v>
      </c>
      <c r="B18" s="15" t="s">
        <v>25</v>
      </c>
    </row>
    <row r="19" spans="1:3">
      <c r="A19" s="98" t="str">
        <f>IF(B18="Offline Review (by Individual Reviewers)","Comments Required By", "Time/Date of Review Meeting")</f>
        <v>Comments Required By</v>
      </c>
      <c r="B19" s="151" t="s">
        <v>209</v>
      </c>
      <c r="C19" s="5" t="str">
        <f>IF(OR(LEFT(B19,1)="&lt;",COUNTIF(Blanks,B19)&gt;0),CheckErr,CheckOK)</f>
        <v>!</v>
      </c>
    </row>
    <row r="20" spans="1:3">
      <c r="A20" s="98" t="s">
        <v>205</v>
      </c>
      <c r="B20" s="15" t="s">
        <v>204</v>
      </c>
      <c r="C20" s="5" t="str">
        <f>IF(OR(LEFT(B20,1)="&lt;",COUNTIF(Blanks,B20)&gt;0),CheckErr,CheckOK)</f>
        <v>!</v>
      </c>
    </row>
    <row r="21" spans="1:3">
      <c r="A21" s="101" t="s">
        <v>326</v>
      </c>
      <c r="B21" s="15" t="s">
        <v>327</v>
      </c>
      <c r="C21" s="5" t="str">
        <f>IF(OR(LEFT(B21,1)="&lt;",COUNTIF(Blanks,B21)&gt;0),CheckErr,CheckOK)</f>
        <v>!</v>
      </c>
    </row>
    <row r="22" spans="1:3">
      <c r="A22" s="101" t="s">
        <v>24</v>
      </c>
      <c r="B22" s="15" t="s">
        <v>328</v>
      </c>
      <c r="C22" s="5" t="str">
        <f>IF(OR(LEFT(B22,1)="&lt;",COUNTIF(Blanks,B22)&gt;0),CheckErr,CheckOK)</f>
        <v>!</v>
      </c>
    </row>
    <row r="23" spans="1:3">
      <c r="A23" s="101" t="s">
        <v>23</v>
      </c>
      <c r="B23" s="14" t="s">
        <v>22</v>
      </c>
      <c r="C23" s="5" t="str">
        <f t="shared" ref="C23:C30" si="1">IF(OR(LEFT(B23,1)="&lt;",COUNTIF(Blanks,B23)&gt;0),CheckErr,CheckOK)</f>
        <v>!</v>
      </c>
    </row>
    <row r="24" spans="1:3" ht="27">
      <c r="A24" s="182" t="s">
        <v>21</v>
      </c>
      <c r="B24" s="13" t="s">
        <v>20</v>
      </c>
      <c r="C24" s="5" t="str">
        <f t="shared" si="1"/>
        <v>!</v>
      </c>
    </row>
    <row r="25" spans="1:3">
      <c r="A25" s="183"/>
      <c r="B25" s="12" t="s">
        <v>329</v>
      </c>
      <c r="C25" s="5" t="str">
        <f t="shared" si="1"/>
        <v>!</v>
      </c>
    </row>
    <row r="26" spans="1:3">
      <c r="A26" s="183"/>
      <c r="B26" s="152" t="s">
        <v>329</v>
      </c>
      <c r="C26" s="5" t="str">
        <f t="shared" si="1"/>
        <v>!</v>
      </c>
    </row>
    <row r="27" spans="1:3">
      <c r="A27" s="183"/>
      <c r="B27" s="12" t="s">
        <v>543</v>
      </c>
      <c r="C27" s="5" t="str">
        <f t="shared" si="1"/>
        <v/>
      </c>
    </row>
    <row r="28" spans="1:3">
      <c r="A28" s="183"/>
      <c r="B28" s="12" t="s">
        <v>544</v>
      </c>
      <c r="C28" s="5" t="str">
        <f t="shared" si="1"/>
        <v/>
      </c>
    </row>
    <row r="29" spans="1:3">
      <c r="A29" s="183"/>
      <c r="B29" s="12"/>
      <c r="C29" s="5" t="str">
        <f t="shared" si="1"/>
        <v/>
      </c>
    </row>
    <row r="30" spans="1:3" ht="38.25">
      <c r="A30" s="183"/>
      <c r="B30" s="11" t="s">
        <v>406</v>
      </c>
      <c r="C30" s="5" t="str">
        <f t="shared" si="1"/>
        <v/>
      </c>
    </row>
    <row r="31" spans="1:3" s="9" customFormat="1"/>
    <row r="32" spans="1:3" s="9" customFormat="1" ht="21">
      <c r="A32" s="10" t="s">
        <v>19</v>
      </c>
    </row>
    <row r="34" spans="1:3">
      <c r="A34" s="184" t="s">
        <v>18</v>
      </c>
      <c r="B34" s="8" t="s">
        <v>524</v>
      </c>
      <c r="C34" s="5" t="str">
        <f>IF(OR(LEFT(B34,1)="&lt;",COUNTIF(Blanks,B34)&gt;0),CheckErr,CheckOK)</f>
        <v/>
      </c>
    </row>
    <row r="35" spans="1:3">
      <c r="A35" s="185"/>
      <c r="B35" s="164"/>
    </row>
    <row r="36" spans="1:3">
      <c r="A36" s="185"/>
      <c r="B36" s="164"/>
    </row>
    <row r="37" spans="1:3">
      <c r="A37" s="185"/>
      <c r="B37" s="164"/>
    </row>
    <row r="38" spans="1:3">
      <c r="A38" s="185"/>
      <c r="B38" s="164"/>
    </row>
    <row r="39" spans="1:3">
      <c r="A39" s="185"/>
      <c r="B39" s="164"/>
    </row>
    <row r="40" spans="1:3">
      <c r="A40" s="185"/>
      <c r="B40" s="164"/>
    </row>
    <row r="41" spans="1:3">
      <c r="A41" s="185"/>
      <c r="B41" s="164"/>
    </row>
    <row r="42" spans="1:3">
      <c r="A42" s="186"/>
      <c r="B42" s="165"/>
    </row>
    <row r="44" spans="1:3">
      <c r="A44" s="187" t="s">
        <v>17</v>
      </c>
      <c r="B44" s="8" t="s">
        <v>16</v>
      </c>
      <c r="C44" s="5" t="str">
        <f>IF(OR(LEFT(B44,1)="&lt;",COUNTIF(Blanks,B44)&gt;0),CheckErr,CheckOK)</f>
        <v>!</v>
      </c>
    </row>
    <row r="45" spans="1:3">
      <c r="A45" s="188"/>
      <c r="B45" s="7"/>
      <c r="C45" s="5" t="str">
        <f>IF(OR(LEFT(B45,1)="&lt;",COUNTIF(Blanks,B45)&gt;0),CheckErr,CheckOK)</f>
        <v/>
      </c>
    </row>
    <row r="47" spans="1:3">
      <c r="A47" s="187" t="s">
        <v>15</v>
      </c>
      <c r="B47" s="8" t="s">
        <v>14</v>
      </c>
      <c r="C47" s="5" t="str">
        <f>IF(OR(LEFT(B47,1)="&lt;",COUNTIF(Blanks,B47)&gt;0),CheckErr,CheckOK)</f>
        <v>!</v>
      </c>
    </row>
    <row r="48" spans="1:3">
      <c r="A48" s="188"/>
      <c r="B48" s="7"/>
      <c r="C48" s="5" t="str">
        <f>IF(OR(LEFT(B48,1)="&lt;",COUNTIF(Blanks,B48)&gt;0),CheckErr,CheckOK)</f>
        <v/>
      </c>
    </row>
    <row r="50" spans="1:3" ht="54">
      <c r="A50" s="100" t="s">
        <v>13</v>
      </c>
      <c r="B50" s="6" t="s">
        <v>203</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19" priority="7" stopIfTrue="1" operator="equal">
      <formula>CheckErr</formula>
    </cfRule>
  </conditionalFormatting>
  <conditionalFormatting sqref="B1:B1048576">
    <cfRule type="expression" dxfId="18"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122</v>
      </c>
    </row>
    <row r="2" spans="1:5">
      <c r="A2" s="61"/>
    </row>
    <row r="3" spans="1:5" ht="27" customHeight="1">
      <c r="A3" s="101" t="s">
        <v>134</v>
      </c>
      <c r="B3" s="102" t="s">
        <v>120</v>
      </c>
      <c r="C3" s="103" t="s">
        <v>119</v>
      </c>
      <c r="D3" s="60" t="s">
        <v>112</v>
      </c>
      <c r="E3" s="60" t="s">
        <v>107</v>
      </c>
    </row>
    <row r="4" spans="1:5">
      <c r="A4" s="59" t="s">
        <v>118</v>
      </c>
      <c r="B4" s="58" t="s">
        <v>117</v>
      </c>
      <c r="C4" s="58" t="s">
        <v>117</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17" priority="5" stopIfTrue="1">
      <formula>D1=CheckErr</formula>
    </cfRule>
  </conditionalFormatting>
  <conditionalFormatting sqref="C1:C1048576">
    <cfRule type="expression" dxfId="16" priority="1" stopIfTrue="1">
      <formula>$E1=CheckErr</formula>
    </cfRule>
  </conditionalFormatting>
  <conditionalFormatting sqref="A1:B1048576">
    <cfRule type="expression" dxfId="15"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U239"/>
  <sheetViews>
    <sheetView tabSelected="1" topLeftCell="B1" zoomScaleNormal="100" workbookViewId="0">
      <pane ySplit="13" topLeftCell="A14" activePane="bottomLeft" state="frozen"/>
      <selection activeCell="A6" sqref="A6"/>
      <selection pane="bottomLeft" activeCell="I16" sqref="I16"/>
    </sheetView>
  </sheetViews>
  <sheetFormatPr defaultColWidth="9.5" defaultRowHeight="13.5" outlineLevelRow="2" outlineLevelCol="1"/>
  <cols>
    <col min="1" max="1" width="4.125" style="62" customWidth="1"/>
    <col min="2" max="2" width="3.5" style="62" customWidth="1"/>
    <col min="3" max="3" width="3.875" style="62" bestFit="1" customWidth="1" collapsed="1"/>
    <col min="4" max="4" width="21.625" style="62" hidden="1" customWidth="1" outlineLevel="1"/>
    <col min="5" max="5" width="9.5" style="62" hidden="1" customWidth="1"/>
    <col min="6" max="7" width="9.5" style="62" customWidth="1"/>
    <col min="8" max="8" width="13" style="65" hidden="1" customWidth="1"/>
    <col min="9" max="9" width="26.125" style="159" customWidth="1"/>
    <col min="10" max="10" width="9.5" style="62" customWidth="1" outlineLevel="1"/>
    <col min="11" max="11" width="5.25" style="62" bestFit="1" customWidth="1" collapsed="1"/>
    <col min="12" max="12" width="16.875" style="159" customWidth="1"/>
    <col min="13" max="13" width="7.625" style="63" customWidth="1"/>
    <col min="14" max="14" width="3" style="62" bestFit="1" customWidth="1"/>
    <col min="15" max="15" width="7.5" style="62" bestFit="1" customWidth="1"/>
    <col min="16" max="16" width="17.875" style="62" customWidth="1" outlineLevel="1"/>
    <col min="17" max="17" width="2.25" style="64" customWidth="1" outlineLevel="1"/>
    <col min="18" max="18" width="3" style="62" customWidth="1" outlineLevel="1"/>
    <col min="19" max="19" width="5.25" style="62" customWidth="1" outlineLevel="1"/>
    <col min="20" max="16384" width="9.5" style="62"/>
  </cols>
  <sheetData>
    <row r="1" spans="1:21" s="71" customFormat="1" ht="21" outlineLevel="1">
      <c r="A1" s="83" t="s">
        <v>29</v>
      </c>
      <c r="B1" s="83"/>
      <c r="C1" s="83"/>
      <c r="H1" s="74"/>
      <c r="I1" s="155"/>
      <c r="L1" s="155"/>
      <c r="M1" s="72"/>
      <c r="Q1" s="73"/>
      <c r="T1" s="82"/>
      <c r="U1" s="81"/>
    </row>
    <row r="2" spans="1:21" s="71" customFormat="1" outlineLevel="1">
      <c r="H2" s="74"/>
      <c r="I2" s="155"/>
      <c r="L2" s="155"/>
      <c r="M2" s="72"/>
      <c r="Q2" s="73"/>
    </row>
    <row r="3" spans="1:21" s="71" customFormat="1" ht="12.75" customHeight="1" outlineLevel="1">
      <c r="A3" s="201" t="s">
        <v>89</v>
      </c>
      <c r="B3" s="202"/>
      <c r="C3" s="202"/>
      <c r="D3" s="207"/>
      <c r="E3" s="190" t="str">
        <f>CONCATENATE('Calling Notice'!$B$3,", ",'Calling Notice'!$B$4,", ",'Calling Notice'!$B$5," ",'Calling Notice'!$B$6,", ",TEXT('Calling Notice'!$B$7,"dd MMMM "))</f>
        <v>&lt;Title&gt;, &lt;S.Pnnnn.nn.n&gt; or &lt;CM System path&gt;, &lt;Issue n.n&gt; or &lt;CM System revision number&gt; &lt;Status&gt;, dd MMMM yyyy</v>
      </c>
      <c r="F3" s="191"/>
      <c r="G3" s="191"/>
      <c r="H3" s="191"/>
      <c r="I3" s="191"/>
      <c r="J3" s="191"/>
      <c r="K3" s="191"/>
      <c r="L3" s="191"/>
      <c r="M3" s="192"/>
      <c r="Q3" s="175"/>
    </row>
    <row r="4" spans="1:21" s="71" customFormat="1" ht="12.75" customHeight="1" outlineLevel="1">
      <c r="A4" s="208" t="s">
        <v>131</v>
      </c>
      <c r="B4" s="209"/>
      <c r="C4" s="209"/>
      <c r="D4" s="209"/>
      <c r="E4" s="197" t="s">
        <v>164</v>
      </c>
      <c r="F4" s="198"/>
      <c r="G4" s="198"/>
      <c r="H4" s="198"/>
      <c r="I4" s="199"/>
      <c r="J4" s="80"/>
      <c r="K4" s="80"/>
      <c r="L4" s="160"/>
      <c r="M4" s="80"/>
      <c r="Q4" s="51" t="str">
        <f>IF(AND(OR(LEFT(E4,1)="&lt;",COUNTIF(Blanks,E4)&gt;0)),CheckErr,CheckOK)</f>
        <v>!</v>
      </c>
    </row>
    <row r="5" spans="1:21" ht="12.75" customHeight="1" outlineLevel="1">
      <c r="A5" s="210" t="s">
        <v>116</v>
      </c>
      <c r="B5" s="211"/>
      <c r="C5" s="211"/>
      <c r="D5" s="211"/>
      <c r="E5" s="197" t="s">
        <v>27</v>
      </c>
      <c r="F5" s="198"/>
      <c r="G5" s="198"/>
      <c r="H5" s="198"/>
      <c r="I5" s="199"/>
      <c r="J5" s="79"/>
      <c r="K5" s="79"/>
      <c r="L5" s="161"/>
      <c r="M5" s="79"/>
      <c r="Q5" s="51" t="str">
        <f>IF(AND(OR(LEFT(E5,1)="&lt;",COUNTIF(Blanks,E5)&gt;0)),CheckErr,CheckOK)</f>
        <v>!</v>
      </c>
    </row>
    <row r="6" spans="1:21" s="71" customFormat="1" hidden="1" outlineLevel="2">
      <c r="A6" s="201" t="s">
        <v>99</v>
      </c>
      <c r="B6" s="202"/>
      <c r="C6" s="202"/>
      <c r="D6" s="202"/>
      <c r="E6" s="200">
        <f>Metrics!C10</f>
        <v>0</v>
      </c>
      <c r="F6" s="200"/>
      <c r="G6" s="200"/>
      <c r="H6" s="200"/>
      <c r="I6" s="200"/>
      <c r="J6" s="78"/>
      <c r="K6" s="78"/>
      <c r="L6" s="162"/>
      <c r="M6" s="78"/>
      <c r="Q6" s="51"/>
    </row>
    <row r="7" spans="1:21" s="71" customFormat="1" hidden="1" outlineLevel="2">
      <c r="A7" s="201" t="s">
        <v>132</v>
      </c>
      <c r="B7" s="202"/>
      <c r="C7" s="202"/>
      <c r="D7" s="202"/>
      <c r="E7" s="200">
        <f>Metrics!C28</f>
        <v>0</v>
      </c>
      <c r="F7" s="200"/>
      <c r="G7" s="200"/>
      <c r="H7" s="200"/>
      <c r="I7" s="200"/>
      <c r="J7" s="78"/>
      <c r="K7" s="78"/>
      <c r="L7" s="162"/>
      <c r="M7" s="78"/>
      <c r="R7" s="51"/>
    </row>
    <row r="8" spans="1:21" s="71" customFormat="1" hidden="1" outlineLevel="2">
      <c r="A8" s="201" t="s">
        <v>133</v>
      </c>
      <c r="B8" s="202"/>
      <c r="C8" s="202"/>
      <c r="D8" s="202"/>
      <c r="E8" s="200">
        <f>Metrics!C42</f>
        <v>0</v>
      </c>
      <c r="F8" s="200"/>
      <c r="G8" s="200"/>
      <c r="H8" s="200"/>
      <c r="I8" s="200"/>
      <c r="J8" s="78"/>
      <c r="K8" s="78"/>
      <c r="L8" s="162"/>
      <c r="M8" s="78"/>
      <c r="S8" s="51"/>
    </row>
    <row r="9" spans="1:21" s="71" customFormat="1" ht="12.75" customHeight="1" outlineLevel="1" collapsed="1">
      <c r="A9" s="196" t="s">
        <v>130</v>
      </c>
      <c r="B9" s="196"/>
      <c r="C9" s="196"/>
      <c r="D9" s="196"/>
      <c r="E9" s="195"/>
      <c r="F9" s="195"/>
      <c r="G9" s="174"/>
      <c r="H9" s="170"/>
      <c r="I9" s="170"/>
      <c r="J9" s="170"/>
      <c r="K9" s="170"/>
      <c r="L9" s="170"/>
      <c r="M9" s="170"/>
      <c r="Q9" s="170"/>
    </row>
    <row r="10" spans="1:21" s="71" customFormat="1" ht="12.75" customHeight="1" outlineLevel="1">
      <c r="E10" s="193" t="s">
        <v>139</v>
      </c>
      <c r="F10" s="193"/>
      <c r="G10" s="193"/>
      <c r="H10" s="193"/>
      <c r="I10" s="193"/>
      <c r="J10" s="193"/>
      <c r="K10" s="193"/>
      <c r="L10" s="193"/>
      <c r="M10" s="193"/>
      <c r="Q10" s="173"/>
    </row>
    <row r="11" spans="1:21" s="71" customFormat="1" ht="15.75" customHeight="1" outlineLevel="1">
      <c r="A11" s="77"/>
      <c r="B11" s="77"/>
      <c r="C11" s="77"/>
      <c r="D11" s="76" t="s">
        <v>129</v>
      </c>
      <c r="E11" s="203" t="str">
        <f>"Comments raised: " &amp;CommentsRaised</f>
        <v>Comments raised: 0</v>
      </c>
      <c r="F11" s="203"/>
      <c r="G11" s="203"/>
      <c r="H11" s="203"/>
      <c r="I11" s="171" t="str">
        <f>"Comments to action: "&amp;CommentsToAction</f>
        <v>Comments to action: 0</v>
      </c>
      <c r="J11" s="172"/>
      <c r="K11" s="204" t="str">
        <f>"Comments to sign-off: " &amp; CommentsToSignOff</f>
        <v>Comments to sign-off: 0</v>
      </c>
      <c r="L11" s="205"/>
      <c r="M11" s="206"/>
      <c r="P11" s="173"/>
      <c r="Q11" s="174"/>
      <c r="R11" s="173"/>
      <c r="S11" s="173"/>
    </row>
    <row r="12" spans="1:21" s="71" customFormat="1" ht="27" customHeight="1" outlineLevel="1">
      <c r="A12" s="75" t="s">
        <v>115</v>
      </c>
      <c r="B12" s="75"/>
      <c r="C12" s="75"/>
      <c r="H12" s="74"/>
      <c r="I12" s="156">
        <f>COUNTA(I14:I1075)</f>
        <v>0</v>
      </c>
      <c r="J12" s="113"/>
      <c r="K12" s="113"/>
      <c r="L12" s="156"/>
      <c r="M12" s="115"/>
      <c r="N12" s="113">
        <f>COUNTIF($R14:$R1075,CheckErr)</f>
        <v>0</v>
      </c>
      <c r="O12" s="113"/>
      <c r="P12" s="113">
        <f>COUNTIF($S14:$S1075,CheckErr)</f>
        <v>0</v>
      </c>
      <c r="Q12" s="114"/>
      <c r="R12" s="113"/>
    </row>
    <row r="13" spans="1:21" ht="68.25" customHeight="1">
      <c r="A13" s="70" t="s">
        <v>114</v>
      </c>
      <c r="B13" s="88" t="s">
        <v>138</v>
      </c>
      <c r="C13" s="88" t="s">
        <v>137</v>
      </c>
      <c r="D13" s="106" t="s">
        <v>121</v>
      </c>
      <c r="E13" s="107" t="s">
        <v>127</v>
      </c>
      <c r="F13" s="107" t="s">
        <v>128</v>
      </c>
      <c r="G13" s="107" t="s">
        <v>579</v>
      </c>
      <c r="H13" s="108" t="s">
        <v>113</v>
      </c>
      <c r="I13" s="157" t="s">
        <v>126</v>
      </c>
      <c r="J13" s="90" t="s">
        <v>125</v>
      </c>
      <c r="K13" s="89" t="s">
        <v>124</v>
      </c>
      <c r="L13" s="163" t="s">
        <v>111</v>
      </c>
      <c r="M13" s="104" t="s">
        <v>110</v>
      </c>
      <c r="N13" s="105" t="s">
        <v>109</v>
      </c>
      <c r="O13" s="86" t="s">
        <v>123</v>
      </c>
      <c r="P13" s="87" t="s">
        <v>108</v>
      </c>
      <c r="Q13" s="112" t="s">
        <v>112</v>
      </c>
      <c r="R13" s="111" t="s">
        <v>93</v>
      </c>
      <c r="S13" s="111" t="s">
        <v>107</v>
      </c>
    </row>
    <row r="14" spans="1:21">
      <c r="A14" s="69">
        <v>1</v>
      </c>
      <c r="B14" s="69"/>
      <c r="C14" s="69"/>
      <c r="D14" s="69"/>
      <c r="E14" s="69"/>
      <c r="F14" s="69"/>
      <c r="G14" s="69"/>
      <c r="H14" s="69"/>
      <c r="I14" s="158"/>
      <c r="J14" s="68"/>
      <c r="K14" s="66"/>
      <c r="L14" s="158"/>
      <c r="M14" s="66"/>
      <c r="N14" s="66" t="s">
        <v>106</v>
      </c>
      <c r="O14" s="117"/>
      <c r="P14" s="58"/>
      <c r="Q14" s="67" t="str">
        <f t="shared" ref="Q14:Q77" si="0">IF(OR(AND(CodeFileListUsed="Yes",D14="",COUNTA(B14:C14,E14:I14)&lt;&gt;0),AND(COUNTA(B14:C14,E14:I14)&lt;&gt;0, COUNTA(B14:C14,E14:I14)&lt;&gt;COUNTA(B$13:C$13,E$13:I$13))),CheckErr,CheckOK)</f>
        <v/>
      </c>
      <c r="R14" s="50" t="str">
        <f t="shared" ref="R14:R77" si="1">IF(OR(ISBLANK(I14), AND(NOT(ISBLANK(K14)),OR(AND(M14="Accepted",OR(N14="Y",N14="y")),M14="Noted",M14="Duplicate",AND(M14="Rejected",NOT(ISBLANK(L14)))))),CheckOK,CheckErr)</f>
        <v/>
      </c>
      <c r="S14" s="50" t="str">
        <f t="shared" ref="S14:S77" si="2">IF(OR(ISBLANK(I14),NOT(ISBLANK(O14))),CheckOK,CheckErr)</f>
        <v/>
      </c>
    </row>
    <row r="15" spans="1:21">
      <c r="A15" s="69">
        <f t="shared" ref="A15:A46" si="3">A14+1</f>
        <v>2</v>
      </c>
      <c r="B15" s="69"/>
      <c r="C15" s="69"/>
      <c r="D15" s="69"/>
      <c r="E15" s="69"/>
      <c r="F15" s="69"/>
      <c r="G15" s="69"/>
      <c r="H15" s="69"/>
      <c r="I15" s="158"/>
      <c r="J15" s="68"/>
      <c r="K15" s="66"/>
      <c r="L15" s="158"/>
      <c r="M15" s="153"/>
      <c r="N15" s="66" t="s">
        <v>106</v>
      </c>
      <c r="O15" s="117"/>
      <c r="P15" s="58"/>
      <c r="Q15" s="67" t="str">
        <f t="shared" si="0"/>
        <v/>
      </c>
      <c r="R15" s="50" t="str">
        <f t="shared" si="1"/>
        <v/>
      </c>
      <c r="S15" s="50" t="str">
        <f t="shared" si="2"/>
        <v/>
      </c>
    </row>
    <row r="16" spans="1:21">
      <c r="A16" s="57">
        <f t="shared" si="3"/>
        <v>3</v>
      </c>
      <c r="B16" s="69"/>
      <c r="C16" s="69"/>
      <c r="D16" s="69"/>
      <c r="E16" s="69"/>
      <c r="F16" s="69"/>
      <c r="G16" s="69"/>
      <c r="H16" s="69"/>
      <c r="I16" s="158"/>
      <c r="J16" s="68"/>
      <c r="K16" s="66"/>
      <c r="L16" s="158"/>
      <c r="M16" s="153"/>
      <c r="N16" s="66" t="s">
        <v>106</v>
      </c>
      <c r="O16" s="117"/>
      <c r="P16" s="58"/>
      <c r="Q16" s="67" t="str">
        <f t="shared" si="0"/>
        <v/>
      </c>
      <c r="R16" s="50" t="str">
        <f t="shared" si="1"/>
        <v/>
      </c>
      <c r="S16" s="50" t="str">
        <f t="shared" si="2"/>
        <v/>
      </c>
    </row>
    <row r="17" spans="1:19">
      <c r="A17" s="57">
        <f t="shared" si="3"/>
        <v>4</v>
      </c>
      <c r="B17" s="69"/>
      <c r="C17" s="69"/>
      <c r="D17" s="69"/>
      <c r="E17" s="69"/>
      <c r="F17" s="69"/>
      <c r="G17" s="69"/>
      <c r="H17" s="69"/>
      <c r="I17" s="158"/>
      <c r="J17" s="68"/>
      <c r="K17" s="66"/>
      <c r="L17" s="158"/>
      <c r="M17" s="153"/>
      <c r="N17" s="66"/>
      <c r="O17" s="117"/>
      <c r="P17" s="58"/>
      <c r="Q17" s="67" t="str">
        <f t="shared" si="0"/>
        <v/>
      </c>
      <c r="R17" s="50" t="str">
        <f t="shared" si="1"/>
        <v/>
      </c>
      <c r="S17" s="50" t="str">
        <f t="shared" si="2"/>
        <v/>
      </c>
    </row>
    <row r="18" spans="1:19">
      <c r="A18" s="57">
        <f t="shared" si="3"/>
        <v>5</v>
      </c>
      <c r="B18" s="69"/>
      <c r="C18" s="69"/>
      <c r="D18" s="69"/>
      <c r="E18" s="69"/>
      <c r="F18" s="69"/>
      <c r="G18" s="69"/>
      <c r="H18" s="69"/>
      <c r="I18" s="158"/>
      <c r="J18" s="68"/>
      <c r="K18" s="66"/>
      <c r="L18" s="158"/>
      <c r="M18" s="66"/>
      <c r="N18" s="66" t="s">
        <v>106</v>
      </c>
      <c r="O18" s="117"/>
      <c r="P18" s="58"/>
      <c r="Q18" s="67" t="str">
        <f t="shared" si="0"/>
        <v/>
      </c>
      <c r="R18" s="50" t="str">
        <f t="shared" si="1"/>
        <v/>
      </c>
      <c r="S18" s="50" t="str">
        <f t="shared" si="2"/>
        <v/>
      </c>
    </row>
    <row r="19" spans="1:19">
      <c r="A19" s="57">
        <f t="shared" si="3"/>
        <v>6</v>
      </c>
      <c r="B19" s="69"/>
      <c r="C19" s="69"/>
      <c r="D19" s="69"/>
      <c r="E19" s="69"/>
      <c r="F19" s="69"/>
      <c r="G19" s="69"/>
      <c r="H19" s="69"/>
      <c r="I19" s="158"/>
      <c r="J19" s="68"/>
      <c r="K19" s="66"/>
      <c r="L19" s="158"/>
      <c r="M19" s="66"/>
      <c r="N19" s="66" t="s">
        <v>106</v>
      </c>
      <c r="O19" s="117"/>
      <c r="P19" s="58"/>
      <c r="Q19" s="67" t="str">
        <f t="shared" si="0"/>
        <v/>
      </c>
      <c r="R19" s="50" t="str">
        <f t="shared" si="1"/>
        <v/>
      </c>
      <c r="S19" s="50" t="str">
        <f t="shared" si="2"/>
        <v/>
      </c>
    </row>
    <row r="20" spans="1:19">
      <c r="A20" s="57">
        <f t="shared" si="3"/>
        <v>7</v>
      </c>
      <c r="B20" s="69"/>
      <c r="C20" s="69"/>
      <c r="D20" s="69"/>
      <c r="E20" s="69"/>
      <c r="F20" s="69"/>
      <c r="G20" s="69"/>
      <c r="H20" s="69"/>
      <c r="I20" s="158"/>
      <c r="J20" s="68"/>
      <c r="K20" s="66"/>
      <c r="L20" s="158"/>
      <c r="M20" s="66"/>
      <c r="N20" s="66" t="s">
        <v>106</v>
      </c>
      <c r="O20" s="117"/>
      <c r="P20" s="58"/>
      <c r="Q20" s="67" t="str">
        <f t="shared" si="0"/>
        <v/>
      </c>
      <c r="R20" s="50" t="str">
        <f t="shared" si="1"/>
        <v/>
      </c>
      <c r="S20" s="50" t="str">
        <f t="shared" si="2"/>
        <v/>
      </c>
    </row>
    <row r="21" spans="1:19">
      <c r="A21" s="57">
        <f t="shared" si="3"/>
        <v>8</v>
      </c>
      <c r="B21" s="69"/>
      <c r="C21" s="69"/>
      <c r="D21" s="69"/>
      <c r="E21" s="69"/>
      <c r="F21" s="69"/>
      <c r="G21" s="69"/>
      <c r="H21" s="69"/>
      <c r="I21" s="158"/>
      <c r="J21" s="68"/>
      <c r="K21" s="66"/>
      <c r="L21" s="158"/>
      <c r="M21" s="66"/>
      <c r="N21" s="66" t="s">
        <v>106</v>
      </c>
      <c r="O21" s="117"/>
      <c r="P21" s="58"/>
      <c r="Q21" s="67" t="str">
        <f t="shared" si="0"/>
        <v/>
      </c>
      <c r="R21" s="50" t="str">
        <f t="shared" si="1"/>
        <v/>
      </c>
      <c r="S21" s="50" t="str">
        <f t="shared" si="2"/>
        <v/>
      </c>
    </row>
    <row r="22" spans="1:19">
      <c r="A22" s="57">
        <f t="shared" si="3"/>
        <v>9</v>
      </c>
      <c r="B22" s="69"/>
      <c r="C22" s="69"/>
      <c r="D22" s="69"/>
      <c r="E22" s="69"/>
      <c r="F22" s="69"/>
      <c r="G22" s="69"/>
      <c r="H22" s="69"/>
      <c r="I22" s="158"/>
      <c r="J22" s="68"/>
      <c r="K22" s="66"/>
      <c r="L22" s="158"/>
      <c r="M22" s="66"/>
      <c r="N22" s="66" t="s">
        <v>106</v>
      </c>
      <c r="O22" s="117"/>
      <c r="P22" s="58"/>
      <c r="Q22" s="67" t="str">
        <f t="shared" si="0"/>
        <v/>
      </c>
      <c r="R22" s="50" t="str">
        <f t="shared" si="1"/>
        <v/>
      </c>
      <c r="S22" s="50" t="str">
        <f t="shared" si="2"/>
        <v/>
      </c>
    </row>
    <row r="23" spans="1:19">
      <c r="A23" s="57">
        <f t="shared" si="3"/>
        <v>10</v>
      </c>
      <c r="B23" s="69"/>
      <c r="C23" s="69"/>
      <c r="D23" s="69"/>
      <c r="E23" s="69"/>
      <c r="F23" s="69"/>
      <c r="G23" s="69"/>
      <c r="H23" s="69"/>
      <c r="I23" s="158"/>
      <c r="J23" s="68"/>
      <c r="K23" s="66"/>
      <c r="L23" s="158"/>
      <c r="M23" s="66"/>
      <c r="N23" s="66" t="s">
        <v>106</v>
      </c>
      <c r="O23" s="117"/>
      <c r="P23" s="58"/>
      <c r="Q23" s="67" t="str">
        <f t="shared" si="0"/>
        <v/>
      </c>
      <c r="R23" s="50" t="str">
        <f t="shared" si="1"/>
        <v/>
      </c>
      <c r="S23" s="50" t="str">
        <f t="shared" si="2"/>
        <v/>
      </c>
    </row>
    <row r="24" spans="1:19">
      <c r="A24" s="57">
        <f t="shared" si="3"/>
        <v>11</v>
      </c>
      <c r="B24" s="69"/>
      <c r="C24" s="69"/>
      <c r="D24" s="69"/>
      <c r="E24" s="69"/>
      <c r="F24" s="69"/>
      <c r="G24" s="69"/>
      <c r="H24" s="69"/>
      <c r="I24" s="158"/>
      <c r="J24" s="68"/>
      <c r="K24" s="66"/>
      <c r="L24" s="158"/>
      <c r="M24" s="66"/>
      <c r="N24" s="66" t="s">
        <v>106</v>
      </c>
      <c r="O24" s="117"/>
      <c r="P24" s="58"/>
      <c r="Q24" s="67" t="str">
        <f t="shared" si="0"/>
        <v/>
      </c>
      <c r="R24" s="50" t="str">
        <f t="shared" si="1"/>
        <v/>
      </c>
      <c r="S24" s="50" t="str">
        <f t="shared" si="2"/>
        <v/>
      </c>
    </row>
    <row r="25" spans="1:19">
      <c r="A25" s="57">
        <f t="shared" si="3"/>
        <v>12</v>
      </c>
      <c r="B25" s="69"/>
      <c r="C25" s="69"/>
      <c r="D25" s="69"/>
      <c r="E25" s="69"/>
      <c r="F25" s="69"/>
      <c r="G25" s="69"/>
      <c r="H25" s="69"/>
      <c r="I25" s="158"/>
      <c r="J25" s="68"/>
      <c r="K25" s="66"/>
      <c r="L25" s="158"/>
      <c r="M25" s="66"/>
      <c r="N25" s="66" t="s">
        <v>106</v>
      </c>
      <c r="O25" s="117"/>
      <c r="P25" s="58"/>
      <c r="Q25" s="67" t="str">
        <f t="shared" si="0"/>
        <v/>
      </c>
      <c r="R25" s="50" t="str">
        <f t="shared" si="1"/>
        <v/>
      </c>
      <c r="S25" s="50" t="str">
        <f t="shared" si="2"/>
        <v/>
      </c>
    </row>
    <row r="26" spans="1:19">
      <c r="A26" s="57">
        <f t="shared" si="3"/>
        <v>13</v>
      </c>
      <c r="B26" s="69"/>
      <c r="C26" s="69"/>
      <c r="D26" s="69"/>
      <c r="E26" s="69"/>
      <c r="F26" s="69"/>
      <c r="G26" s="69"/>
      <c r="H26" s="69"/>
      <c r="I26" s="158"/>
      <c r="J26" s="68"/>
      <c r="K26" s="66"/>
      <c r="L26" s="158"/>
      <c r="M26" s="66"/>
      <c r="N26" s="66" t="s">
        <v>106</v>
      </c>
      <c r="O26" s="117"/>
      <c r="P26" s="58"/>
      <c r="Q26" s="67" t="str">
        <f t="shared" si="0"/>
        <v/>
      </c>
      <c r="R26" s="50" t="str">
        <f t="shared" si="1"/>
        <v/>
      </c>
      <c r="S26" s="50" t="str">
        <f t="shared" si="2"/>
        <v/>
      </c>
    </row>
    <row r="27" spans="1:19">
      <c r="A27" s="57">
        <f t="shared" si="3"/>
        <v>14</v>
      </c>
      <c r="B27" s="69"/>
      <c r="C27" s="69"/>
      <c r="D27" s="69"/>
      <c r="E27" s="69"/>
      <c r="F27" s="69"/>
      <c r="G27" s="69"/>
      <c r="H27" s="69"/>
      <c r="I27" s="158"/>
      <c r="J27" s="68"/>
      <c r="K27" s="66"/>
      <c r="L27" s="158"/>
      <c r="M27" s="66"/>
      <c r="N27" s="66" t="s">
        <v>106</v>
      </c>
      <c r="O27" s="117"/>
      <c r="P27" s="58"/>
      <c r="Q27" s="67" t="str">
        <f t="shared" si="0"/>
        <v/>
      </c>
      <c r="R27" s="50" t="str">
        <f t="shared" si="1"/>
        <v/>
      </c>
      <c r="S27" s="50" t="str">
        <f t="shared" si="2"/>
        <v/>
      </c>
    </row>
    <row r="28" spans="1:19">
      <c r="A28" s="57">
        <f t="shared" si="3"/>
        <v>15</v>
      </c>
      <c r="B28" s="69"/>
      <c r="C28" s="69"/>
      <c r="D28" s="69"/>
      <c r="E28" s="69"/>
      <c r="F28" s="69"/>
      <c r="G28" s="69"/>
      <c r="H28" s="69"/>
      <c r="I28" s="158"/>
      <c r="J28" s="68"/>
      <c r="K28" s="66"/>
      <c r="L28" s="158"/>
      <c r="M28" s="66"/>
      <c r="N28" s="66" t="s">
        <v>106</v>
      </c>
      <c r="O28" s="117"/>
      <c r="P28" s="58"/>
      <c r="Q28" s="67" t="str">
        <f t="shared" si="0"/>
        <v/>
      </c>
      <c r="R28" s="50" t="str">
        <f t="shared" si="1"/>
        <v/>
      </c>
      <c r="S28" s="50" t="str">
        <f t="shared" si="2"/>
        <v/>
      </c>
    </row>
    <row r="29" spans="1:19">
      <c r="A29" s="57">
        <f t="shared" si="3"/>
        <v>16</v>
      </c>
      <c r="B29" s="69"/>
      <c r="C29" s="69"/>
      <c r="D29" s="69"/>
      <c r="E29" s="69"/>
      <c r="F29" s="69"/>
      <c r="G29" s="69"/>
      <c r="H29" s="69"/>
      <c r="I29" s="158"/>
      <c r="J29" s="68"/>
      <c r="K29" s="66"/>
      <c r="L29" s="158"/>
      <c r="M29" s="66"/>
      <c r="N29" s="66" t="s">
        <v>106</v>
      </c>
      <c r="O29" s="117"/>
      <c r="P29" s="58"/>
      <c r="Q29" s="67" t="str">
        <f t="shared" si="0"/>
        <v/>
      </c>
      <c r="R29" s="50" t="str">
        <f t="shared" si="1"/>
        <v/>
      </c>
      <c r="S29" s="50" t="str">
        <f t="shared" si="2"/>
        <v/>
      </c>
    </row>
    <row r="30" spans="1:19">
      <c r="A30" s="57">
        <f t="shared" si="3"/>
        <v>17</v>
      </c>
      <c r="B30" s="69"/>
      <c r="C30" s="69"/>
      <c r="D30" s="69"/>
      <c r="E30" s="69"/>
      <c r="F30" s="69"/>
      <c r="G30" s="69"/>
      <c r="H30" s="69"/>
      <c r="I30" s="158"/>
      <c r="J30" s="66"/>
      <c r="K30" s="66"/>
      <c r="L30" s="158"/>
      <c r="M30" s="66"/>
      <c r="N30" s="66" t="s">
        <v>106</v>
      </c>
      <c r="O30" s="117"/>
      <c r="P30" s="58"/>
      <c r="Q30" s="67" t="str">
        <f t="shared" si="0"/>
        <v/>
      </c>
      <c r="R30" s="50" t="str">
        <f t="shared" si="1"/>
        <v/>
      </c>
      <c r="S30" s="50" t="str">
        <f t="shared" si="2"/>
        <v/>
      </c>
    </row>
    <row r="31" spans="1:19">
      <c r="A31" s="57">
        <f t="shared" si="3"/>
        <v>18</v>
      </c>
      <c r="B31" s="69"/>
      <c r="C31" s="69"/>
      <c r="D31" s="69"/>
      <c r="E31" s="69"/>
      <c r="F31" s="69"/>
      <c r="G31" s="69"/>
      <c r="H31" s="69"/>
      <c r="I31" s="158"/>
      <c r="J31" s="68"/>
      <c r="K31" s="66"/>
      <c r="L31" s="158"/>
      <c r="M31" s="66"/>
      <c r="N31" s="66" t="s">
        <v>106</v>
      </c>
      <c r="O31" s="117"/>
      <c r="P31" s="58"/>
      <c r="Q31" s="67" t="str">
        <f t="shared" si="0"/>
        <v/>
      </c>
      <c r="R31" s="50" t="str">
        <f t="shared" si="1"/>
        <v/>
      </c>
      <c r="S31" s="50" t="str">
        <f t="shared" si="2"/>
        <v/>
      </c>
    </row>
    <row r="32" spans="1:19">
      <c r="A32" s="57">
        <f t="shared" si="3"/>
        <v>19</v>
      </c>
      <c r="B32" s="69"/>
      <c r="C32" s="69"/>
      <c r="D32" s="69"/>
      <c r="E32" s="69"/>
      <c r="F32" s="69"/>
      <c r="G32" s="69"/>
      <c r="H32" s="69"/>
      <c r="I32" s="158"/>
      <c r="J32" s="68"/>
      <c r="K32" s="66"/>
      <c r="L32" s="158"/>
      <c r="M32" s="66"/>
      <c r="N32" s="66" t="s">
        <v>106</v>
      </c>
      <c r="O32" s="117"/>
      <c r="P32" s="58"/>
      <c r="Q32" s="67" t="str">
        <f t="shared" si="0"/>
        <v/>
      </c>
      <c r="R32" s="50" t="str">
        <f t="shared" si="1"/>
        <v/>
      </c>
      <c r="S32" s="50" t="str">
        <f t="shared" si="2"/>
        <v/>
      </c>
    </row>
    <row r="33" spans="1:19">
      <c r="A33" s="57">
        <f t="shared" si="3"/>
        <v>20</v>
      </c>
      <c r="B33" s="69"/>
      <c r="C33" s="69"/>
      <c r="D33" s="69"/>
      <c r="E33" s="69"/>
      <c r="F33" s="69"/>
      <c r="G33" s="69"/>
      <c r="H33" s="69"/>
      <c r="I33" s="158"/>
      <c r="J33" s="68"/>
      <c r="K33" s="66"/>
      <c r="L33" s="158"/>
      <c r="M33" s="66"/>
      <c r="N33" s="66" t="s">
        <v>106</v>
      </c>
      <c r="O33" s="117"/>
      <c r="P33" s="58"/>
      <c r="Q33" s="67" t="str">
        <f t="shared" si="0"/>
        <v/>
      </c>
      <c r="R33" s="50" t="str">
        <f t="shared" si="1"/>
        <v/>
      </c>
      <c r="S33" s="50" t="str">
        <f t="shared" si="2"/>
        <v/>
      </c>
    </row>
    <row r="34" spans="1:19">
      <c r="A34" s="57">
        <f t="shared" si="3"/>
        <v>21</v>
      </c>
      <c r="B34" s="69"/>
      <c r="C34" s="69"/>
      <c r="D34" s="69"/>
      <c r="E34" s="69"/>
      <c r="F34" s="69"/>
      <c r="G34" s="69"/>
      <c r="H34" s="69"/>
      <c r="I34" s="158"/>
      <c r="J34" s="68"/>
      <c r="K34" s="66"/>
      <c r="L34" s="158"/>
      <c r="M34" s="66"/>
      <c r="N34" s="66" t="s">
        <v>106</v>
      </c>
      <c r="O34" s="117"/>
      <c r="P34" s="58"/>
      <c r="Q34" s="67" t="str">
        <f t="shared" si="0"/>
        <v/>
      </c>
      <c r="R34" s="50" t="str">
        <f t="shared" si="1"/>
        <v/>
      </c>
      <c r="S34" s="50" t="str">
        <f t="shared" si="2"/>
        <v/>
      </c>
    </row>
    <row r="35" spans="1:19">
      <c r="A35" s="57">
        <f t="shared" si="3"/>
        <v>22</v>
      </c>
      <c r="B35" s="69"/>
      <c r="C35" s="69"/>
      <c r="D35" s="69"/>
      <c r="E35" s="69"/>
      <c r="F35" s="69"/>
      <c r="G35" s="69"/>
      <c r="H35" s="69"/>
      <c r="I35" s="158"/>
      <c r="J35" s="68"/>
      <c r="K35" s="66"/>
      <c r="L35" s="158"/>
      <c r="M35" s="66"/>
      <c r="N35" s="66" t="s">
        <v>106</v>
      </c>
      <c r="O35" s="117"/>
      <c r="P35" s="58"/>
      <c r="Q35" s="67" t="str">
        <f t="shared" si="0"/>
        <v/>
      </c>
      <c r="R35" s="50" t="str">
        <f t="shared" si="1"/>
        <v/>
      </c>
      <c r="S35" s="50" t="str">
        <f t="shared" si="2"/>
        <v/>
      </c>
    </row>
    <row r="36" spans="1:19">
      <c r="A36" s="57">
        <f t="shared" si="3"/>
        <v>23</v>
      </c>
      <c r="B36" s="69"/>
      <c r="C36" s="69"/>
      <c r="D36" s="69"/>
      <c r="E36" s="69"/>
      <c r="F36" s="69"/>
      <c r="G36" s="69"/>
      <c r="H36" s="69"/>
      <c r="I36" s="158"/>
      <c r="J36" s="68"/>
      <c r="K36" s="66"/>
      <c r="L36" s="158"/>
      <c r="M36" s="66"/>
      <c r="N36" s="66" t="s">
        <v>106</v>
      </c>
      <c r="O36" s="117"/>
      <c r="P36" s="58"/>
      <c r="Q36" s="67" t="str">
        <f t="shared" si="0"/>
        <v/>
      </c>
      <c r="R36" s="50" t="str">
        <f t="shared" si="1"/>
        <v/>
      </c>
      <c r="S36" s="50" t="str">
        <f t="shared" si="2"/>
        <v/>
      </c>
    </row>
    <row r="37" spans="1:19">
      <c r="A37" s="57">
        <f t="shared" si="3"/>
        <v>24</v>
      </c>
      <c r="B37" s="69"/>
      <c r="C37" s="69"/>
      <c r="D37" s="69"/>
      <c r="E37" s="69"/>
      <c r="F37" s="69"/>
      <c r="G37" s="69"/>
      <c r="H37" s="69"/>
      <c r="I37" s="158"/>
      <c r="J37" s="68"/>
      <c r="K37" s="66"/>
      <c r="L37" s="158"/>
      <c r="M37" s="66"/>
      <c r="N37" s="66" t="s">
        <v>106</v>
      </c>
      <c r="O37" s="117"/>
      <c r="P37" s="58"/>
      <c r="Q37" s="67" t="str">
        <f t="shared" si="0"/>
        <v/>
      </c>
      <c r="R37" s="50" t="str">
        <f t="shared" si="1"/>
        <v/>
      </c>
      <c r="S37" s="50" t="str">
        <f t="shared" si="2"/>
        <v/>
      </c>
    </row>
    <row r="38" spans="1:19">
      <c r="A38" s="57">
        <f t="shared" si="3"/>
        <v>25</v>
      </c>
      <c r="B38" s="69"/>
      <c r="C38" s="69"/>
      <c r="D38" s="69"/>
      <c r="E38" s="69"/>
      <c r="F38" s="69"/>
      <c r="G38" s="69"/>
      <c r="H38" s="69"/>
      <c r="I38" s="158"/>
      <c r="J38" s="68"/>
      <c r="K38" s="66"/>
      <c r="L38" s="158"/>
      <c r="M38" s="66"/>
      <c r="N38" s="66" t="s">
        <v>106</v>
      </c>
      <c r="O38" s="117"/>
      <c r="P38" s="58"/>
      <c r="Q38" s="67" t="str">
        <f t="shared" si="0"/>
        <v/>
      </c>
      <c r="R38" s="50" t="str">
        <f t="shared" si="1"/>
        <v/>
      </c>
      <c r="S38" s="50" t="str">
        <f t="shared" si="2"/>
        <v/>
      </c>
    </row>
    <row r="39" spans="1:19">
      <c r="A39" s="57">
        <f t="shared" si="3"/>
        <v>26</v>
      </c>
      <c r="B39" s="69"/>
      <c r="C39" s="69"/>
      <c r="D39" s="69"/>
      <c r="E39" s="69"/>
      <c r="F39" s="69"/>
      <c r="G39" s="69"/>
      <c r="H39" s="69"/>
      <c r="I39" s="158"/>
      <c r="J39" s="68"/>
      <c r="K39" s="66"/>
      <c r="L39" s="158"/>
      <c r="M39" s="66"/>
      <c r="N39" s="66" t="s">
        <v>106</v>
      </c>
      <c r="O39" s="117"/>
      <c r="P39" s="58"/>
      <c r="Q39" s="67" t="str">
        <f t="shared" si="0"/>
        <v/>
      </c>
      <c r="R39" s="50" t="str">
        <f t="shared" si="1"/>
        <v/>
      </c>
      <c r="S39" s="50" t="str">
        <f t="shared" si="2"/>
        <v/>
      </c>
    </row>
    <row r="40" spans="1:19">
      <c r="A40" s="57">
        <f t="shared" si="3"/>
        <v>27</v>
      </c>
      <c r="B40" s="69"/>
      <c r="C40" s="69"/>
      <c r="D40" s="69"/>
      <c r="E40" s="69"/>
      <c r="F40" s="69"/>
      <c r="G40" s="69"/>
      <c r="H40" s="69"/>
      <c r="I40" s="158"/>
      <c r="J40" s="68"/>
      <c r="K40" s="66"/>
      <c r="L40" s="158"/>
      <c r="M40" s="66"/>
      <c r="N40" s="66" t="s">
        <v>106</v>
      </c>
      <c r="O40" s="117"/>
      <c r="P40" s="58"/>
      <c r="Q40" s="67" t="str">
        <f t="shared" si="0"/>
        <v/>
      </c>
      <c r="R40" s="50" t="str">
        <f t="shared" si="1"/>
        <v/>
      </c>
      <c r="S40" s="50" t="str">
        <f t="shared" si="2"/>
        <v/>
      </c>
    </row>
    <row r="41" spans="1:19">
      <c r="A41" s="57">
        <f t="shared" si="3"/>
        <v>28</v>
      </c>
      <c r="B41" s="69"/>
      <c r="C41" s="69"/>
      <c r="D41" s="69"/>
      <c r="E41" s="69"/>
      <c r="F41" s="69"/>
      <c r="G41" s="69"/>
      <c r="H41" s="69"/>
      <c r="I41" s="158"/>
      <c r="J41" s="68"/>
      <c r="K41" s="66"/>
      <c r="L41" s="158"/>
      <c r="M41" s="66"/>
      <c r="N41" s="66" t="s">
        <v>106</v>
      </c>
      <c r="O41" s="117"/>
      <c r="P41" s="58"/>
      <c r="Q41" s="67" t="str">
        <f t="shared" si="0"/>
        <v/>
      </c>
      <c r="R41" s="50" t="str">
        <f t="shared" si="1"/>
        <v/>
      </c>
      <c r="S41" s="50" t="str">
        <f t="shared" si="2"/>
        <v/>
      </c>
    </row>
    <row r="42" spans="1:19">
      <c r="A42" s="57">
        <f t="shared" si="3"/>
        <v>29</v>
      </c>
      <c r="B42" s="69"/>
      <c r="C42" s="69"/>
      <c r="D42" s="69"/>
      <c r="E42" s="69"/>
      <c r="F42" s="69"/>
      <c r="G42" s="69"/>
      <c r="H42" s="69"/>
      <c r="I42" s="158"/>
      <c r="J42" s="68"/>
      <c r="K42" s="66"/>
      <c r="L42" s="158"/>
      <c r="M42" s="66"/>
      <c r="N42" s="66" t="s">
        <v>106</v>
      </c>
      <c r="O42" s="117"/>
      <c r="P42" s="58"/>
      <c r="Q42" s="67" t="str">
        <f t="shared" si="0"/>
        <v/>
      </c>
      <c r="R42" s="50" t="str">
        <f t="shared" si="1"/>
        <v/>
      </c>
      <c r="S42" s="50" t="str">
        <f t="shared" si="2"/>
        <v/>
      </c>
    </row>
    <row r="43" spans="1:19">
      <c r="A43" s="57">
        <f t="shared" si="3"/>
        <v>30</v>
      </c>
      <c r="B43" s="69"/>
      <c r="C43" s="69"/>
      <c r="D43" s="69"/>
      <c r="E43" s="69"/>
      <c r="F43" s="69"/>
      <c r="G43" s="69"/>
      <c r="H43" s="69"/>
      <c r="I43" s="158"/>
      <c r="J43" s="68"/>
      <c r="K43" s="66"/>
      <c r="L43" s="158"/>
      <c r="M43" s="66"/>
      <c r="N43" s="66" t="s">
        <v>106</v>
      </c>
      <c r="O43" s="117"/>
      <c r="P43" s="58"/>
      <c r="Q43" s="67" t="str">
        <f t="shared" si="0"/>
        <v/>
      </c>
      <c r="R43" s="50" t="str">
        <f t="shared" si="1"/>
        <v/>
      </c>
      <c r="S43" s="50" t="str">
        <f t="shared" si="2"/>
        <v/>
      </c>
    </row>
    <row r="44" spans="1:19">
      <c r="A44" s="57">
        <f t="shared" si="3"/>
        <v>31</v>
      </c>
      <c r="B44" s="69"/>
      <c r="C44" s="69"/>
      <c r="D44" s="69"/>
      <c r="E44" s="69"/>
      <c r="F44" s="69"/>
      <c r="G44" s="69"/>
      <c r="H44" s="69"/>
      <c r="I44" s="158"/>
      <c r="J44" s="68"/>
      <c r="K44" s="66"/>
      <c r="L44" s="158"/>
      <c r="M44" s="66"/>
      <c r="N44" s="66" t="s">
        <v>106</v>
      </c>
      <c r="O44" s="117"/>
      <c r="P44" s="58"/>
      <c r="Q44" s="67" t="str">
        <f t="shared" si="0"/>
        <v/>
      </c>
      <c r="R44" s="50" t="str">
        <f t="shared" si="1"/>
        <v/>
      </c>
      <c r="S44" s="50" t="str">
        <f t="shared" si="2"/>
        <v/>
      </c>
    </row>
    <row r="45" spans="1:19">
      <c r="A45" s="57">
        <f t="shared" si="3"/>
        <v>32</v>
      </c>
      <c r="B45" s="69"/>
      <c r="C45" s="69"/>
      <c r="D45" s="69"/>
      <c r="E45" s="69"/>
      <c r="F45" s="69"/>
      <c r="G45" s="69"/>
      <c r="H45" s="69"/>
      <c r="I45" s="158"/>
      <c r="J45" s="68"/>
      <c r="K45" s="66"/>
      <c r="L45" s="158"/>
      <c r="M45" s="66"/>
      <c r="N45" s="66" t="s">
        <v>106</v>
      </c>
      <c r="O45" s="117"/>
      <c r="P45" s="58"/>
      <c r="Q45" s="67" t="str">
        <f t="shared" si="0"/>
        <v/>
      </c>
      <c r="R45" s="50" t="str">
        <f t="shared" si="1"/>
        <v/>
      </c>
      <c r="S45" s="50" t="str">
        <f t="shared" si="2"/>
        <v/>
      </c>
    </row>
    <row r="46" spans="1:19">
      <c r="A46" s="57">
        <f t="shared" si="3"/>
        <v>33</v>
      </c>
      <c r="B46" s="69"/>
      <c r="C46" s="69"/>
      <c r="D46" s="69"/>
      <c r="E46" s="69"/>
      <c r="F46" s="69"/>
      <c r="G46" s="69"/>
      <c r="H46" s="69"/>
      <c r="I46" s="158"/>
      <c r="J46" s="68"/>
      <c r="K46" s="66"/>
      <c r="L46" s="158"/>
      <c r="M46" s="66"/>
      <c r="N46" s="66" t="s">
        <v>106</v>
      </c>
      <c r="O46" s="117"/>
      <c r="P46" s="58"/>
      <c r="Q46" s="67" t="str">
        <f t="shared" si="0"/>
        <v/>
      </c>
      <c r="R46" s="50" t="str">
        <f t="shared" si="1"/>
        <v/>
      </c>
      <c r="S46" s="50" t="str">
        <f t="shared" si="2"/>
        <v/>
      </c>
    </row>
    <row r="47" spans="1:19">
      <c r="A47" s="57">
        <f t="shared" ref="A47:A78" si="4">A46+1</f>
        <v>34</v>
      </c>
      <c r="B47" s="69"/>
      <c r="C47" s="69"/>
      <c r="D47" s="69"/>
      <c r="E47" s="69"/>
      <c r="F47" s="69"/>
      <c r="G47" s="69"/>
      <c r="H47" s="69"/>
      <c r="I47" s="158"/>
      <c r="J47" s="68"/>
      <c r="K47" s="66"/>
      <c r="L47" s="158"/>
      <c r="M47" s="66"/>
      <c r="N47" s="66" t="s">
        <v>106</v>
      </c>
      <c r="O47" s="117"/>
      <c r="P47" s="58"/>
      <c r="Q47" s="67" t="str">
        <f t="shared" si="0"/>
        <v/>
      </c>
      <c r="R47" s="50" t="str">
        <f t="shared" si="1"/>
        <v/>
      </c>
      <c r="S47" s="50" t="str">
        <f t="shared" si="2"/>
        <v/>
      </c>
    </row>
    <row r="48" spans="1:19">
      <c r="A48" s="57">
        <f t="shared" si="4"/>
        <v>35</v>
      </c>
      <c r="B48" s="69"/>
      <c r="C48" s="69"/>
      <c r="D48" s="69"/>
      <c r="E48" s="69"/>
      <c r="F48" s="69"/>
      <c r="G48" s="69"/>
      <c r="H48" s="69"/>
      <c r="I48" s="158"/>
      <c r="J48" s="68"/>
      <c r="K48" s="66"/>
      <c r="L48" s="158"/>
      <c r="M48" s="66"/>
      <c r="N48" s="66" t="s">
        <v>106</v>
      </c>
      <c r="O48" s="117"/>
      <c r="P48" s="58"/>
      <c r="Q48" s="67" t="str">
        <f t="shared" si="0"/>
        <v/>
      </c>
      <c r="R48" s="50" t="str">
        <f t="shared" si="1"/>
        <v/>
      </c>
      <c r="S48" s="50" t="str">
        <f t="shared" si="2"/>
        <v/>
      </c>
    </row>
    <row r="49" spans="1:19">
      <c r="A49" s="57">
        <f t="shared" si="4"/>
        <v>36</v>
      </c>
      <c r="B49" s="69"/>
      <c r="C49" s="69"/>
      <c r="D49" s="69"/>
      <c r="E49" s="69"/>
      <c r="F49" s="69"/>
      <c r="G49" s="69"/>
      <c r="H49" s="69"/>
      <c r="I49" s="158"/>
      <c r="J49" s="68"/>
      <c r="K49" s="66"/>
      <c r="L49" s="158"/>
      <c r="M49" s="66"/>
      <c r="N49" s="66" t="s">
        <v>106</v>
      </c>
      <c r="O49" s="117"/>
      <c r="P49" s="58"/>
      <c r="Q49" s="67" t="str">
        <f t="shared" si="0"/>
        <v/>
      </c>
      <c r="R49" s="50" t="str">
        <f t="shared" si="1"/>
        <v/>
      </c>
      <c r="S49" s="50" t="str">
        <f t="shared" si="2"/>
        <v/>
      </c>
    </row>
    <row r="50" spans="1:19">
      <c r="A50" s="57">
        <f t="shared" si="4"/>
        <v>37</v>
      </c>
      <c r="B50" s="69"/>
      <c r="C50" s="69"/>
      <c r="D50" s="69"/>
      <c r="E50" s="69"/>
      <c r="F50" s="69"/>
      <c r="G50" s="69"/>
      <c r="H50" s="69"/>
      <c r="I50" s="158"/>
      <c r="J50" s="68"/>
      <c r="K50" s="66"/>
      <c r="L50" s="158"/>
      <c r="M50" s="66"/>
      <c r="N50" s="66" t="s">
        <v>106</v>
      </c>
      <c r="O50" s="117"/>
      <c r="P50" s="58"/>
      <c r="Q50" s="67" t="str">
        <f t="shared" si="0"/>
        <v/>
      </c>
      <c r="R50" s="50" t="str">
        <f t="shared" si="1"/>
        <v/>
      </c>
      <c r="S50" s="50" t="str">
        <f t="shared" si="2"/>
        <v/>
      </c>
    </row>
    <row r="51" spans="1:19">
      <c r="A51" s="57">
        <f t="shared" si="4"/>
        <v>38</v>
      </c>
      <c r="B51" s="69"/>
      <c r="C51" s="69"/>
      <c r="D51" s="69"/>
      <c r="E51" s="69"/>
      <c r="F51" s="69"/>
      <c r="G51" s="69"/>
      <c r="H51" s="69"/>
      <c r="I51" s="158"/>
      <c r="J51" s="68"/>
      <c r="K51" s="66"/>
      <c r="L51" s="158"/>
      <c r="M51" s="66"/>
      <c r="N51" s="66" t="s">
        <v>106</v>
      </c>
      <c r="O51" s="117"/>
      <c r="P51" s="58"/>
      <c r="Q51" s="67" t="str">
        <f t="shared" si="0"/>
        <v/>
      </c>
      <c r="R51" s="50" t="str">
        <f t="shared" si="1"/>
        <v/>
      </c>
      <c r="S51" s="50" t="str">
        <f t="shared" si="2"/>
        <v/>
      </c>
    </row>
    <row r="52" spans="1:19">
      <c r="A52" s="57">
        <f t="shared" si="4"/>
        <v>39</v>
      </c>
      <c r="B52" s="69"/>
      <c r="C52" s="69"/>
      <c r="D52" s="69"/>
      <c r="E52" s="69"/>
      <c r="F52" s="69"/>
      <c r="G52" s="69"/>
      <c r="H52" s="69"/>
      <c r="I52" s="158"/>
      <c r="J52" s="68"/>
      <c r="K52" s="66"/>
      <c r="L52" s="158"/>
      <c r="M52" s="66"/>
      <c r="N52" s="66" t="s">
        <v>106</v>
      </c>
      <c r="O52" s="117"/>
      <c r="P52" s="58"/>
      <c r="Q52" s="67" t="str">
        <f t="shared" si="0"/>
        <v/>
      </c>
      <c r="R52" s="50" t="str">
        <f t="shared" si="1"/>
        <v/>
      </c>
      <c r="S52" s="50" t="str">
        <f t="shared" si="2"/>
        <v/>
      </c>
    </row>
    <row r="53" spans="1:19">
      <c r="A53" s="57">
        <f t="shared" si="4"/>
        <v>40</v>
      </c>
      <c r="B53" s="69"/>
      <c r="C53" s="69"/>
      <c r="D53" s="69"/>
      <c r="E53" s="69"/>
      <c r="F53" s="69"/>
      <c r="G53" s="69"/>
      <c r="H53" s="69"/>
      <c r="I53" s="158"/>
      <c r="J53" s="68"/>
      <c r="K53" s="66"/>
      <c r="L53" s="158"/>
      <c r="M53" s="66"/>
      <c r="N53" s="66" t="s">
        <v>106</v>
      </c>
      <c r="O53" s="117"/>
      <c r="P53" s="58"/>
      <c r="Q53" s="67" t="str">
        <f t="shared" si="0"/>
        <v/>
      </c>
      <c r="R53" s="50" t="str">
        <f t="shared" si="1"/>
        <v/>
      </c>
      <c r="S53" s="50" t="str">
        <f t="shared" si="2"/>
        <v/>
      </c>
    </row>
    <row r="54" spans="1:19">
      <c r="A54" s="57">
        <f t="shared" si="4"/>
        <v>41</v>
      </c>
      <c r="B54" s="69"/>
      <c r="C54" s="69"/>
      <c r="D54" s="69"/>
      <c r="E54" s="69"/>
      <c r="F54" s="69"/>
      <c r="G54" s="69"/>
      <c r="H54" s="69"/>
      <c r="I54" s="158"/>
      <c r="J54" s="68"/>
      <c r="K54" s="66"/>
      <c r="L54" s="158"/>
      <c r="M54" s="66"/>
      <c r="N54" s="66" t="s">
        <v>106</v>
      </c>
      <c r="O54" s="117"/>
      <c r="P54" s="58"/>
      <c r="Q54" s="67" t="str">
        <f t="shared" si="0"/>
        <v/>
      </c>
      <c r="R54" s="50" t="str">
        <f t="shared" si="1"/>
        <v/>
      </c>
      <c r="S54" s="50" t="str">
        <f t="shared" si="2"/>
        <v/>
      </c>
    </row>
    <row r="55" spans="1:19">
      <c r="A55" s="57">
        <f t="shared" si="4"/>
        <v>42</v>
      </c>
      <c r="B55" s="69"/>
      <c r="C55" s="69"/>
      <c r="D55" s="69"/>
      <c r="E55" s="69"/>
      <c r="F55" s="69"/>
      <c r="G55" s="69"/>
      <c r="H55" s="69"/>
      <c r="I55" s="158"/>
      <c r="J55" s="68"/>
      <c r="K55" s="66"/>
      <c r="L55" s="158"/>
      <c r="M55" s="66"/>
      <c r="N55" s="66" t="s">
        <v>106</v>
      </c>
      <c r="O55" s="117"/>
      <c r="P55" s="58"/>
      <c r="Q55" s="67" t="str">
        <f t="shared" si="0"/>
        <v/>
      </c>
      <c r="R55" s="50" t="str">
        <f t="shared" si="1"/>
        <v/>
      </c>
      <c r="S55" s="50" t="str">
        <f t="shared" si="2"/>
        <v/>
      </c>
    </row>
    <row r="56" spans="1:19">
      <c r="A56" s="57">
        <f t="shared" si="4"/>
        <v>43</v>
      </c>
      <c r="B56" s="69"/>
      <c r="C56" s="69"/>
      <c r="D56" s="69"/>
      <c r="E56" s="69"/>
      <c r="F56" s="69"/>
      <c r="G56" s="69"/>
      <c r="H56" s="69"/>
      <c r="I56" s="158"/>
      <c r="J56" s="68"/>
      <c r="K56" s="66"/>
      <c r="L56" s="158"/>
      <c r="M56" s="66"/>
      <c r="N56" s="66" t="s">
        <v>106</v>
      </c>
      <c r="O56" s="117"/>
      <c r="P56" s="58"/>
      <c r="Q56" s="67" t="str">
        <f t="shared" si="0"/>
        <v/>
      </c>
      <c r="R56" s="50" t="str">
        <f t="shared" si="1"/>
        <v/>
      </c>
      <c r="S56" s="50" t="str">
        <f t="shared" si="2"/>
        <v/>
      </c>
    </row>
    <row r="57" spans="1:19">
      <c r="A57" s="57">
        <f t="shared" si="4"/>
        <v>44</v>
      </c>
      <c r="B57" s="69"/>
      <c r="C57" s="69"/>
      <c r="D57" s="69"/>
      <c r="E57" s="69"/>
      <c r="F57" s="69"/>
      <c r="G57" s="69"/>
      <c r="H57" s="69"/>
      <c r="I57" s="158"/>
      <c r="J57" s="68"/>
      <c r="K57" s="66"/>
      <c r="L57" s="158"/>
      <c r="M57" s="66"/>
      <c r="N57" s="66" t="s">
        <v>106</v>
      </c>
      <c r="O57" s="117"/>
      <c r="P57" s="58"/>
      <c r="Q57" s="67" t="str">
        <f t="shared" si="0"/>
        <v/>
      </c>
      <c r="R57" s="50" t="str">
        <f t="shared" si="1"/>
        <v/>
      </c>
      <c r="S57" s="50" t="str">
        <f t="shared" si="2"/>
        <v/>
      </c>
    </row>
    <row r="58" spans="1:19">
      <c r="A58" s="57">
        <f t="shared" si="4"/>
        <v>45</v>
      </c>
      <c r="B58" s="69"/>
      <c r="C58" s="69"/>
      <c r="D58" s="69"/>
      <c r="E58" s="69"/>
      <c r="F58" s="69"/>
      <c r="G58" s="69"/>
      <c r="H58" s="69"/>
      <c r="I58" s="158"/>
      <c r="J58" s="68"/>
      <c r="K58" s="66"/>
      <c r="L58" s="158"/>
      <c r="M58" s="66"/>
      <c r="N58" s="66" t="s">
        <v>106</v>
      </c>
      <c r="O58" s="117"/>
      <c r="P58" s="58"/>
      <c r="Q58" s="67" t="str">
        <f t="shared" si="0"/>
        <v/>
      </c>
      <c r="R58" s="50" t="str">
        <f t="shared" si="1"/>
        <v/>
      </c>
      <c r="S58" s="50" t="str">
        <f t="shared" si="2"/>
        <v/>
      </c>
    </row>
    <row r="59" spans="1:19">
      <c r="A59" s="57">
        <f t="shared" si="4"/>
        <v>46</v>
      </c>
      <c r="B59" s="69"/>
      <c r="C59" s="69"/>
      <c r="D59" s="69"/>
      <c r="E59" s="69"/>
      <c r="F59" s="69"/>
      <c r="G59" s="69"/>
      <c r="H59" s="69"/>
      <c r="I59" s="158"/>
      <c r="J59" s="68"/>
      <c r="K59" s="66"/>
      <c r="L59" s="158"/>
      <c r="M59" s="66"/>
      <c r="N59" s="66" t="s">
        <v>106</v>
      </c>
      <c r="O59" s="117"/>
      <c r="P59" s="58"/>
      <c r="Q59" s="67" t="str">
        <f t="shared" si="0"/>
        <v/>
      </c>
      <c r="R59" s="50" t="str">
        <f t="shared" si="1"/>
        <v/>
      </c>
      <c r="S59" s="50" t="str">
        <f t="shared" si="2"/>
        <v/>
      </c>
    </row>
    <row r="60" spans="1:19">
      <c r="A60" s="57">
        <f t="shared" si="4"/>
        <v>47</v>
      </c>
      <c r="B60" s="69"/>
      <c r="C60" s="69"/>
      <c r="D60" s="69"/>
      <c r="E60" s="69"/>
      <c r="F60" s="69"/>
      <c r="G60" s="69"/>
      <c r="H60" s="69"/>
      <c r="I60" s="158"/>
      <c r="J60" s="68"/>
      <c r="K60" s="66"/>
      <c r="L60" s="158"/>
      <c r="M60" s="66"/>
      <c r="N60" s="66" t="s">
        <v>106</v>
      </c>
      <c r="O60" s="117"/>
      <c r="P60" s="58"/>
      <c r="Q60" s="67" t="str">
        <f t="shared" si="0"/>
        <v/>
      </c>
      <c r="R60" s="50" t="str">
        <f t="shared" si="1"/>
        <v/>
      </c>
      <c r="S60" s="50" t="str">
        <f t="shared" si="2"/>
        <v/>
      </c>
    </row>
    <row r="61" spans="1:19">
      <c r="A61" s="57">
        <f t="shared" si="4"/>
        <v>48</v>
      </c>
      <c r="B61" s="69"/>
      <c r="C61" s="69"/>
      <c r="D61" s="69"/>
      <c r="E61" s="69"/>
      <c r="F61" s="69"/>
      <c r="G61" s="69"/>
      <c r="H61" s="69"/>
      <c r="I61" s="158"/>
      <c r="J61" s="68"/>
      <c r="K61" s="66"/>
      <c r="L61" s="158"/>
      <c r="M61" s="66"/>
      <c r="N61" s="66" t="s">
        <v>106</v>
      </c>
      <c r="O61" s="117"/>
      <c r="P61" s="58"/>
      <c r="Q61" s="67" t="str">
        <f t="shared" si="0"/>
        <v/>
      </c>
      <c r="R61" s="50" t="str">
        <f t="shared" si="1"/>
        <v/>
      </c>
      <c r="S61" s="50" t="str">
        <f t="shared" si="2"/>
        <v/>
      </c>
    </row>
    <row r="62" spans="1:19">
      <c r="A62" s="57">
        <f t="shared" si="4"/>
        <v>49</v>
      </c>
      <c r="B62" s="69"/>
      <c r="C62" s="69"/>
      <c r="D62" s="69"/>
      <c r="E62" s="69"/>
      <c r="F62" s="69"/>
      <c r="G62" s="69"/>
      <c r="H62" s="69"/>
      <c r="I62" s="158"/>
      <c r="J62" s="68"/>
      <c r="K62" s="66"/>
      <c r="L62" s="158"/>
      <c r="M62" s="66"/>
      <c r="N62" s="66" t="s">
        <v>106</v>
      </c>
      <c r="O62" s="117"/>
      <c r="P62" s="58"/>
      <c r="Q62" s="67" t="str">
        <f t="shared" si="0"/>
        <v/>
      </c>
      <c r="R62" s="50" t="str">
        <f t="shared" si="1"/>
        <v/>
      </c>
      <c r="S62" s="50" t="str">
        <f t="shared" si="2"/>
        <v/>
      </c>
    </row>
    <row r="63" spans="1:19">
      <c r="A63" s="57">
        <f t="shared" si="4"/>
        <v>50</v>
      </c>
      <c r="B63" s="69"/>
      <c r="C63" s="69"/>
      <c r="D63" s="69"/>
      <c r="E63" s="69"/>
      <c r="F63" s="69"/>
      <c r="G63" s="69"/>
      <c r="H63" s="69"/>
      <c r="I63" s="158"/>
      <c r="J63" s="68"/>
      <c r="K63" s="66"/>
      <c r="L63" s="158"/>
      <c r="M63" s="66"/>
      <c r="N63" s="66" t="s">
        <v>106</v>
      </c>
      <c r="O63" s="117"/>
      <c r="P63" s="58"/>
      <c r="Q63" s="67" t="str">
        <f t="shared" si="0"/>
        <v/>
      </c>
      <c r="R63" s="50" t="str">
        <f t="shared" si="1"/>
        <v/>
      </c>
      <c r="S63" s="50" t="str">
        <f t="shared" si="2"/>
        <v/>
      </c>
    </row>
    <row r="64" spans="1:19">
      <c r="A64" s="57">
        <f t="shared" si="4"/>
        <v>51</v>
      </c>
      <c r="B64" s="69"/>
      <c r="C64" s="69"/>
      <c r="D64" s="69"/>
      <c r="E64" s="69"/>
      <c r="F64" s="69"/>
      <c r="G64" s="69"/>
      <c r="H64" s="69"/>
      <c r="I64" s="158"/>
      <c r="J64" s="68"/>
      <c r="K64" s="66"/>
      <c r="L64" s="158"/>
      <c r="M64" s="66"/>
      <c r="N64" s="66" t="s">
        <v>106</v>
      </c>
      <c r="O64" s="117"/>
      <c r="P64" s="58"/>
      <c r="Q64" s="67" t="str">
        <f t="shared" si="0"/>
        <v/>
      </c>
      <c r="R64" s="50" t="str">
        <f t="shared" si="1"/>
        <v/>
      </c>
      <c r="S64" s="50" t="str">
        <f t="shared" si="2"/>
        <v/>
      </c>
    </row>
    <row r="65" spans="1:19">
      <c r="A65" s="57">
        <f t="shared" si="4"/>
        <v>52</v>
      </c>
      <c r="B65" s="69"/>
      <c r="C65" s="69"/>
      <c r="D65" s="69"/>
      <c r="E65" s="69"/>
      <c r="F65" s="69"/>
      <c r="G65" s="69"/>
      <c r="H65" s="69"/>
      <c r="I65" s="158"/>
      <c r="J65" s="68"/>
      <c r="K65" s="66"/>
      <c r="L65" s="158"/>
      <c r="M65" s="66"/>
      <c r="N65" s="66" t="s">
        <v>106</v>
      </c>
      <c r="O65" s="117"/>
      <c r="P65" s="58"/>
      <c r="Q65" s="67" t="str">
        <f t="shared" si="0"/>
        <v/>
      </c>
      <c r="R65" s="50" t="str">
        <f t="shared" si="1"/>
        <v/>
      </c>
      <c r="S65" s="50" t="str">
        <f t="shared" si="2"/>
        <v/>
      </c>
    </row>
    <row r="66" spans="1:19">
      <c r="A66" s="57">
        <f t="shared" si="4"/>
        <v>53</v>
      </c>
      <c r="B66" s="69"/>
      <c r="C66" s="69"/>
      <c r="D66" s="69"/>
      <c r="E66" s="69"/>
      <c r="F66" s="69"/>
      <c r="G66" s="69"/>
      <c r="H66" s="69"/>
      <c r="I66" s="158"/>
      <c r="J66" s="68"/>
      <c r="K66" s="66"/>
      <c r="L66" s="158"/>
      <c r="M66" s="66"/>
      <c r="N66" s="66" t="s">
        <v>106</v>
      </c>
      <c r="O66" s="117"/>
      <c r="P66" s="58"/>
      <c r="Q66" s="67" t="str">
        <f t="shared" si="0"/>
        <v/>
      </c>
      <c r="R66" s="50" t="str">
        <f t="shared" si="1"/>
        <v/>
      </c>
      <c r="S66" s="50" t="str">
        <f t="shared" si="2"/>
        <v/>
      </c>
    </row>
    <row r="67" spans="1:19">
      <c r="A67" s="57">
        <f t="shared" si="4"/>
        <v>54</v>
      </c>
      <c r="B67" s="69"/>
      <c r="C67" s="69"/>
      <c r="D67" s="69"/>
      <c r="E67" s="69"/>
      <c r="F67" s="69"/>
      <c r="G67" s="69"/>
      <c r="H67" s="69"/>
      <c r="I67" s="158"/>
      <c r="J67" s="68"/>
      <c r="K67" s="66"/>
      <c r="L67" s="158"/>
      <c r="M67" s="66"/>
      <c r="N67" s="66" t="s">
        <v>106</v>
      </c>
      <c r="O67" s="117"/>
      <c r="P67" s="58"/>
      <c r="Q67" s="67" t="str">
        <f t="shared" si="0"/>
        <v/>
      </c>
      <c r="R67" s="50" t="str">
        <f t="shared" si="1"/>
        <v/>
      </c>
      <c r="S67" s="50" t="str">
        <f t="shared" si="2"/>
        <v/>
      </c>
    </row>
    <row r="68" spans="1:19">
      <c r="A68" s="57">
        <f t="shared" si="4"/>
        <v>55</v>
      </c>
      <c r="B68" s="69"/>
      <c r="C68" s="69"/>
      <c r="D68" s="69"/>
      <c r="E68" s="69"/>
      <c r="F68" s="69"/>
      <c r="G68" s="69"/>
      <c r="H68" s="69"/>
      <c r="I68" s="158"/>
      <c r="J68" s="68"/>
      <c r="K68" s="66"/>
      <c r="L68" s="158"/>
      <c r="M68" s="66"/>
      <c r="N68" s="66" t="s">
        <v>106</v>
      </c>
      <c r="O68" s="117"/>
      <c r="P68" s="58"/>
      <c r="Q68" s="67" t="str">
        <f t="shared" si="0"/>
        <v/>
      </c>
      <c r="R68" s="50" t="str">
        <f t="shared" si="1"/>
        <v/>
      </c>
      <c r="S68" s="50" t="str">
        <f t="shared" si="2"/>
        <v/>
      </c>
    </row>
    <row r="69" spans="1:19">
      <c r="A69" s="57">
        <f t="shared" si="4"/>
        <v>56</v>
      </c>
      <c r="B69" s="69"/>
      <c r="C69" s="69"/>
      <c r="D69" s="69"/>
      <c r="E69" s="69"/>
      <c r="F69" s="69"/>
      <c r="G69" s="69"/>
      <c r="H69" s="69"/>
      <c r="I69" s="158"/>
      <c r="J69" s="68"/>
      <c r="K69" s="66"/>
      <c r="L69" s="158"/>
      <c r="M69" s="66"/>
      <c r="N69" s="66" t="s">
        <v>106</v>
      </c>
      <c r="O69" s="117"/>
      <c r="P69" s="58"/>
      <c r="Q69" s="67" t="str">
        <f t="shared" si="0"/>
        <v/>
      </c>
      <c r="R69" s="50" t="str">
        <f t="shared" si="1"/>
        <v/>
      </c>
      <c r="S69" s="50" t="str">
        <f t="shared" si="2"/>
        <v/>
      </c>
    </row>
    <row r="70" spans="1:19">
      <c r="A70" s="57">
        <f t="shared" si="4"/>
        <v>57</v>
      </c>
      <c r="B70" s="69"/>
      <c r="C70" s="69"/>
      <c r="D70" s="69"/>
      <c r="E70" s="69"/>
      <c r="F70" s="69"/>
      <c r="G70" s="69"/>
      <c r="H70" s="69"/>
      <c r="I70" s="158"/>
      <c r="J70" s="68"/>
      <c r="K70" s="66"/>
      <c r="L70" s="158"/>
      <c r="M70" s="66"/>
      <c r="N70" s="66" t="s">
        <v>106</v>
      </c>
      <c r="O70" s="117"/>
      <c r="P70" s="58"/>
      <c r="Q70" s="67" t="str">
        <f t="shared" si="0"/>
        <v/>
      </c>
      <c r="R70" s="50" t="str">
        <f t="shared" si="1"/>
        <v/>
      </c>
      <c r="S70" s="50" t="str">
        <f t="shared" si="2"/>
        <v/>
      </c>
    </row>
    <row r="71" spans="1:19">
      <c r="A71" s="57">
        <f t="shared" si="4"/>
        <v>58</v>
      </c>
      <c r="B71" s="69"/>
      <c r="C71" s="69"/>
      <c r="D71" s="69"/>
      <c r="E71" s="69"/>
      <c r="F71" s="69"/>
      <c r="G71" s="69"/>
      <c r="H71" s="69"/>
      <c r="I71" s="158"/>
      <c r="J71" s="68"/>
      <c r="K71" s="66"/>
      <c r="L71" s="158"/>
      <c r="M71" s="66"/>
      <c r="N71" s="66" t="s">
        <v>106</v>
      </c>
      <c r="O71" s="117"/>
      <c r="P71" s="58"/>
      <c r="Q71" s="67" t="str">
        <f t="shared" si="0"/>
        <v/>
      </c>
      <c r="R71" s="50" t="str">
        <f t="shared" si="1"/>
        <v/>
      </c>
      <c r="S71" s="50" t="str">
        <f t="shared" si="2"/>
        <v/>
      </c>
    </row>
    <row r="72" spans="1:19">
      <c r="A72" s="57">
        <f t="shared" si="4"/>
        <v>59</v>
      </c>
      <c r="B72" s="69"/>
      <c r="C72" s="69"/>
      <c r="D72" s="69"/>
      <c r="E72" s="69"/>
      <c r="F72" s="69"/>
      <c r="G72" s="69"/>
      <c r="H72" s="69"/>
      <c r="I72" s="158"/>
      <c r="J72" s="68"/>
      <c r="K72" s="66"/>
      <c r="L72" s="158"/>
      <c r="M72" s="66"/>
      <c r="N72" s="66" t="s">
        <v>106</v>
      </c>
      <c r="O72" s="117"/>
      <c r="P72" s="58"/>
      <c r="Q72" s="67" t="str">
        <f t="shared" si="0"/>
        <v/>
      </c>
      <c r="R72" s="50" t="str">
        <f t="shared" si="1"/>
        <v/>
      </c>
      <c r="S72" s="50" t="str">
        <f t="shared" si="2"/>
        <v/>
      </c>
    </row>
    <row r="73" spans="1:19">
      <c r="A73" s="57">
        <f t="shared" si="4"/>
        <v>60</v>
      </c>
      <c r="B73" s="69"/>
      <c r="C73" s="69"/>
      <c r="D73" s="69"/>
      <c r="E73" s="69"/>
      <c r="F73" s="69"/>
      <c r="G73" s="69"/>
      <c r="H73" s="69"/>
      <c r="I73" s="158"/>
      <c r="J73" s="68"/>
      <c r="K73" s="66"/>
      <c r="L73" s="158"/>
      <c r="M73" s="66"/>
      <c r="N73" s="66" t="s">
        <v>106</v>
      </c>
      <c r="O73" s="117"/>
      <c r="P73" s="58"/>
      <c r="Q73" s="67" t="str">
        <f t="shared" si="0"/>
        <v/>
      </c>
      <c r="R73" s="50" t="str">
        <f t="shared" si="1"/>
        <v/>
      </c>
      <c r="S73" s="50" t="str">
        <f t="shared" si="2"/>
        <v/>
      </c>
    </row>
    <row r="74" spans="1:19">
      <c r="A74" s="57">
        <f t="shared" si="4"/>
        <v>61</v>
      </c>
      <c r="B74" s="69"/>
      <c r="C74" s="69"/>
      <c r="D74" s="69"/>
      <c r="E74" s="69"/>
      <c r="F74" s="69"/>
      <c r="G74" s="69"/>
      <c r="H74" s="69"/>
      <c r="I74" s="158"/>
      <c r="J74" s="68"/>
      <c r="K74" s="66"/>
      <c r="L74" s="158"/>
      <c r="M74" s="66"/>
      <c r="N74" s="66" t="s">
        <v>106</v>
      </c>
      <c r="O74" s="117"/>
      <c r="P74" s="58"/>
      <c r="Q74" s="67" t="str">
        <f t="shared" si="0"/>
        <v/>
      </c>
      <c r="R74" s="50" t="str">
        <f t="shared" si="1"/>
        <v/>
      </c>
      <c r="S74" s="50" t="str">
        <f t="shared" si="2"/>
        <v/>
      </c>
    </row>
    <row r="75" spans="1:19">
      <c r="A75" s="57">
        <f t="shared" si="4"/>
        <v>62</v>
      </c>
      <c r="B75" s="69"/>
      <c r="C75" s="69"/>
      <c r="D75" s="69"/>
      <c r="E75" s="69"/>
      <c r="F75" s="69"/>
      <c r="G75" s="69"/>
      <c r="H75" s="69"/>
      <c r="I75" s="158"/>
      <c r="J75" s="68"/>
      <c r="K75" s="66"/>
      <c r="L75" s="158"/>
      <c r="M75" s="66"/>
      <c r="N75" s="66" t="s">
        <v>106</v>
      </c>
      <c r="O75" s="117"/>
      <c r="P75" s="58"/>
      <c r="Q75" s="67" t="str">
        <f t="shared" si="0"/>
        <v/>
      </c>
      <c r="R75" s="50" t="str">
        <f t="shared" si="1"/>
        <v/>
      </c>
      <c r="S75" s="50" t="str">
        <f t="shared" si="2"/>
        <v/>
      </c>
    </row>
    <row r="76" spans="1:19">
      <c r="A76" s="57">
        <f t="shared" si="4"/>
        <v>63</v>
      </c>
      <c r="B76" s="69"/>
      <c r="C76" s="69"/>
      <c r="D76" s="69"/>
      <c r="E76" s="69"/>
      <c r="F76" s="69"/>
      <c r="G76" s="69"/>
      <c r="H76" s="69"/>
      <c r="I76" s="158"/>
      <c r="J76" s="68"/>
      <c r="K76" s="66"/>
      <c r="L76" s="158"/>
      <c r="M76" s="66"/>
      <c r="N76" s="66" t="s">
        <v>106</v>
      </c>
      <c r="O76" s="117"/>
      <c r="P76" s="58"/>
      <c r="Q76" s="67" t="str">
        <f t="shared" si="0"/>
        <v/>
      </c>
      <c r="R76" s="50" t="str">
        <f t="shared" si="1"/>
        <v/>
      </c>
      <c r="S76" s="50" t="str">
        <f t="shared" si="2"/>
        <v/>
      </c>
    </row>
    <row r="77" spans="1:19">
      <c r="A77" s="57">
        <f t="shared" si="4"/>
        <v>64</v>
      </c>
      <c r="B77" s="69"/>
      <c r="C77" s="69"/>
      <c r="D77" s="69"/>
      <c r="E77" s="69"/>
      <c r="F77" s="69"/>
      <c r="G77" s="69"/>
      <c r="H77" s="69"/>
      <c r="I77" s="158"/>
      <c r="J77" s="68"/>
      <c r="K77" s="66"/>
      <c r="L77" s="158"/>
      <c r="M77" s="66"/>
      <c r="N77" s="66" t="s">
        <v>106</v>
      </c>
      <c r="O77" s="117"/>
      <c r="P77" s="58"/>
      <c r="Q77" s="67" t="str">
        <f t="shared" si="0"/>
        <v/>
      </c>
      <c r="R77" s="50" t="str">
        <f t="shared" si="1"/>
        <v/>
      </c>
      <c r="S77" s="50" t="str">
        <f t="shared" si="2"/>
        <v/>
      </c>
    </row>
    <row r="78" spans="1:19">
      <c r="A78" s="57">
        <f t="shared" si="4"/>
        <v>65</v>
      </c>
      <c r="B78" s="69"/>
      <c r="C78" s="69"/>
      <c r="D78" s="69"/>
      <c r="E78" s="69"/>
      <c r="F78" s="69"/>
      <c r="G78" s="69"/>
      <c r="H78" s="69"/>
      <c r="I78" s="158"/>
      <c r="J78" s="68"/>
      <c r="K78" s="66"/>
      <c r="L78" s="158"/>
      <c r="M78" s="66"/>
      <c r="N78" s="66" t="s">
        <v>106</v>
      </c>
      <c r="O78" s="117"/>
      <c r="P78" s="58"/>
      <c r="Q78" s="67" t="str">
        <f t="shared" ref="Q78:Q141" si="5">IF(OR(AND(CodeFileListUsed="Yes",D78="",COUNTA(B78:C78,E78:I78)&lt;&gt;0),AND(COUNTA(B78:C78,E78:I78)&lt;&gt;0, COUNTA(B78:C78,E78:I78)&lt;&gt;COUNTA(B$13:C$13,E$13:I$13))),CheckErr,CheckOK)</f>
        <v/>
      </c>
      <c r="R78" s="50" t="str">
        <f t="shared" ref="R78:R141" si="6">IF(OR(ISBLANK(I78), AND(NOT(ISBLANK(K78)),OR(AND(M78="Accepted",OR(N78="Y",N78="y")),M78="Noted",M78="Duplicate",AND(M78="Rejected",NOT(ISBLANK(L78)))))),CheckOK,CheckErr)</f>
        <v/>
      </c>
      <c r="S78" s="50" t="str">
        <f t="shared" ref="S78:S141" si="7">IF(OR(ISBLANK(I78),NOT(ISBLANK(O78))),CheckOK,CheckErr)</f>
        <v/>
      </c>
    </row>
    <row r="79" spans="1:19">
      <c r="A79" s="57">
        <f t="shared" ref="A79:A110" si="8">A78+1</f>
        <v>66</v>
      </c>
      <c r="B79" s="69"/>
      <c r="C79" s="69"/>
      <c r="D79" s="69"/>
      <c r="E79" s="69"/>
      <c r="F79" s="69"/>
      <c r="G79" s="69"/>
      <c r="H79" s="69"/>
      <c r="I79" s="158"/>
      <c r="J79" s="68"/>
      <c r="K79" s="66"/>
      <c r="L79" s="158"/>
      <c r="M79" s="66"/>
      <c r="N79" s="66" t="s">
        <v>106</v>
      </c>
      <c r="O79" s="117"/>
      <c r="P79" s="58"/>
      <c r="Q79" s="67" t="str">
        <f t="shared" si="5"/>
        <v/>
      </c>
      <c r="R79" s="50" t="str">
        <f t="shared" si="6"/>
        <v/>
      </c>
      <c r="S79" s="50" t="str">
        <f t="shared" si="7"/>
        <v/>
      </c>
    </row>
    <row r="80" spans="1:19">
      <c r="A80" s="57">
        <f t="shared" si="8"/>
        <v>67</v>
      </c>
      <c r="B80" s="69"/>
      <c r="C80" s="69"/>
      <c r="D80" s="69"/>
      <c r="E80" s="69"/>
      <c r="F80" s="69"/>
      <c r="G80" s="69"/>
      <c r="H80" s="69"/>
      <c r="I80" s="158"/>
      <c r="J80" s="68"/>
      <c r="K80" s="66"/>
      <c r="L80" s="158"/>
      <c r="M80" s="66"/>
      <c r="N80" s="66" t="s">
        <v>106</v>
      </c>
      <c r="O80" s="117"/>
      <c r="P80" s="58"/>
      <c r="Q80" s="67" t="str">
        <f t="shared" si="5"/>
        <v/>
      </c>
      <c r="R80" s="50" t="str">
        <f t="shared" si="6"/>
        <v/>
      </c>
      <c r="S80" s="50" t="str">
        <f t="shared" si="7"/>
        <v/>
      </c>
    </row>
    <row r="81" spans="1:19">
      <c r="A81" s="57">
        <f t="shared" si="8"/>
        <v>68</v>
      </c>
      <c r="B81" s="69"/>
      <c r="C81" s="69"/>
      <c r="D81" s="69"/>
      <c r="E81" s="69"/>
      <c r="F81" s="69"/>
      <c r="G81" s="69"/>
      <c r="H81" s="69"/>
      <c r="I81" s="158"/>
      <c r="J81" s="68"/>
      <c r="K81" s="66"/>
      <c r="L81" s="158"/>
      <c r="M81" s="66"/>
      <c r="N81" s="66" t="s">
        <v>106</v>
      </c>
      <c r="O81" s="117"/>
      <c r="P81" s="58"/>
      <c r="Q81" s="67" t="str">
        <f t="shared" si="5"/>
        <v/>
      </c>
      <c r="R81" s="50" t="str">
        <f t="shared" si="6"/>
        <v/>
      </c>
      <c r="S81" s="50" t="str">
        <f t="shared" si="7"/>
        <v/>
      </c>
    </row>
    <row r="82" spans="1:19">
      <c r="A82" s="57">
        <f t="shared" si="8"/>
        <v>69</v>
      </c>
      <c r="B82" s="69"/>
      <c r="C82" s="69"/>
      <c r="D82" s="69"/>
      <c r="E82" s="69"/>
      <c r="F82" s="69"/>
      <c r="G82" s="69"/>
      <c r="H82" s="69"/>
      <c r="I82" s="158"/>
      <c r="J82" s="68"/>
      <c r="K82" s="66"/>
      <c r="L82" s="158"/>
      <c r="M82" s="66"/>
      <c r="N82" s="66" t="s">
        <v>106</v>
      </c>
      <c r="O82" s="117"/>
      <c r="P82" s="58"/>
      <c r="Q82" s="67" t="str">
        <f t="shared" si="5"/>
        <v/>
      </c>
      <c r="R82" s="50" t="str">
        <f t="shared" si="6"/>
        <v/>
      </c>
      <c r="S82" s="50" t="str">
        <f t="shared" si="7"/>
        <v/>
      </c>
    </row>
    <row r="83" spans="1:19">
      <c r="A83" s="57">
        <f t="shared" si="8"/>
        <v>70</v>
      </c>
      <c r="B83" s="69"/>
      <c r="C83" s="69"/>
      <c r="D83" s="69"/>
      <c r="E83" s="69"/>
      <c r="F83" s="69"/>
      <c r="G83" s="69"/>
      <c r="H83" s="69"/>
      <c r="I83" s="158"/>
      <c r="J83" s="68"/>
      <c r="K83" s="66"/>
      <c r="L83" s="158"/>
      <c r="M83" s="66"/>
      <c r="N83" s="66" t="s">
        <v>106</v>
      </c>
      <c r="O83" s="117"/>
      <c r="P83" s="58"/>
      <c r="Q83" s="67" t="str">
        <f t="shared" si="5"/>
        <v/>
      </c>
      <c r="R83" s="50" t="str">
        <f t="shared" si="6"/>
        <v/>
      </c>
      <c r="S83" s="50" t="str">
        <f t="shared" si="7"/>
        <v/>
      </c>
    </row>
    <row r="84" spans="1:19">
      <c r="A84" s="57">
        <f t="shared" si="8"/>
        <v>71</v>
      </c>
      <c r="B84" s="69"/>
      <c r="C84" s="69"/>
      <c r="D84" s="69"/>
      <c r="E84" s="69"/>
      <c r="F84" s="69"/>
      <c r="G84" s="69"/>
      <c r="H84" s="69"/>
      <c r="I84" s="158"/>
      <c r="J84" s="68"/>
      <c r="K84" s="66"/>
      <c r="L84" s="158"/>
      <c r="M84" s="66"/>
      <c r="N84" s="66" t="s">
        <v>106</v>
      </c>
      <c r="O84" s="117"/>
      <c r="P84" s="58"/>
      <c r="Q84" s="67" t="str">
        <f t="shared" si="5"/>
        <v/>
      </c>
      <c r="R84" s="50" t="str">
        <f t="shared" si="6"/>
        <v/>
      </c>
      <c r="S84" s="50" t="str">
        <f t="shared" si="7"/>
        <v/>
      </c>
    </row>
    <row r="85" spans="1:19">
      <c r="A85" s="57">
        <f t="shared" si="8"/>
        <v>72</v>
      </c>
      <c r="B85" s="69"/>
      <c r="C85" s="69"/>
      <c r="D85" s="69"/>
      <c r="E85" s="69"/>
      <c r="F85" s="69"/>
      <c r="G85" s="69"/>
      <c r="H85" s="69"/>
      <c r="I85" s="158"/>
      <c r="J85" s="68"/>
      <c r="K85" s="66"/>
      <c r="L85" s="158"/>
      <c r="M85" s="66"/>
      <c r="N85" s="66" t="s">
        <v>106</v>
      </c>
      <c r="O85" s="117"/>
      <c r="P85" s="58"/>
      <c r="Q85" s="67" t="str">
        <f t="shared" si="5"/>
        <v/>
      </c>
      <c r="R85" s="50" t="str">
        <f t="shared" si="6"/>
        <v/>
      </c>
      <c r="S85" s="50" t="str">
        <f t="shared" si="7"/>
        <v/>
      </c>
    </row>
    <row r="86" spans="1:19">
      <c r="A86" s="57">
        <f t="shared" si="8"/>
        <v>73</v>
      </c>
      <c r="B86" s="69"/>
      <c r="C86" s="69"/>
      <c r="D86" s="69"/>
      <c r="E86" s="69"/>
      <c r="F86" s="69"/>
      <c r="G86" s="69"/>
      <c r="H86" s="69"/>
      <c r="I86" s="158"/>
      <c r="J86" s="68"/>
      <c r="K86" s="66"/>
      <c r="L86" s="158"/>
      <c r="M86" s="66"/>
      <c r="N86" s="66" t="s">
        <v>106</v>
      </c>
      <c r="O86" s="117"/>
      <c r="P86" s="58"/>
      <c r="Q86" s="67" t="str">
        <f t="shared" si="5"/>
        <v/>
      </c>
      <c r="R86" s="50" t="str">
        <f t="shared" si="6"/>
        <v/>
      </c>
      <c r="S86" s="50" t="str">
        <f t="shared" si="7"/>
        <v/>
      </c>
    </row>
    <row r="87" spans="1:19">
      <c r="A87" s="57">
        <f t="shared" si="8"/>
        <v>74</v>
      </c>
      <c r="B87" s="69"/>
      <c r="C87" s="69"/>
      <c r="D87" s="69"/>
      <c r="E87" s="69"/>
      <c r="F87" s="69"/>
      <c r="G87" s="69"/>
      <c r="H87" s="69"/>
      <c r="I87" s="158"/>
      <c r="J87" s="68"/>
      <c r="K87" s="66"/>
      <c r="L87" s="158"/>
      <c r="M87" s="66"/>
      <c r="N87" s="66" t="s">
        <v>106</v>
      </c>
      <c r="O87" s="117"/>
      <c r="P87" s="58"/>
      <c r="Q87" s="67" t="str">
        <f t="shared" si="5"/>
        <v/>
      </c>
      <c r="R87" s="50" t="str">
        <f t="shared" si="6"/>
        <v/>
      </c>
      <c r="S87" s="50" t="str">
        <f t="shared" si="7"/>
        <v/>
      </c>
    </row>
    <row r="88" spans="1:19">
      <c r="A88" s="57">
        <f t="shared" si="8"/>
        <v>75</v>
      </c>
      <c r="B88" s="69"/>
      <c r="C88" s="69"/>
      <c r="D88" s="69"/>
      <c r="E88" s="69"/>
      <c r="F88" s="69"/>
      <c r="G88" s="69"/>
      <c r="H88" s="69"/>
      <c r="I88" s="158"/>
      <c r="J88" s="68"/>
      <c r="K88" s="66"/>
      <c r="L88" s="158"/>
      <c r="M88" s="66"/>
      <c r="N88" s="66" t="s">
        <v>106</v>
      </c>
      <c r="O88" s="117"/>
      <c r="P88" s="58"/>
      <c r="Q88" s="67" t="str">
        <f t="shared" si="5"/>
        <v/>
      </c>
      <c r="R88" s="50" t="str">
        <f t="shared" si="6"/>
        <v/>
      </c>
      <c r="S88" s="50" t="str">
        <f t="shared" si="7"/>
        <v/>
      </c>
    </row>
    <row r="89" spans="1:19">
      <c r="A89" s="57">
        <f t="shared" si="8"/>
        <v>76</v>
      </c>
      <c r="B89" s="69"/>
      <c r="C89" s="69"/>
      <c r="D89" s="69"/>
      <c r="E89" s="69"/>
      <c r="F89" s="69"/>
      <c r="G89" s="69"/>
      <c r="H89" s="69"/>
      <c r="I89" s="158"/>
      <c r="J89" s="68"/>
      <c r="K89" s="66"/>
      <c r="L89" s="158"/>
      <c r="M89" s="66"/>
      <c r="N89" s="66" t="s">
        <v>106</v>
      </c>
      <c r="O89" s="117"/>
      <c r="P89" s="58"/>
      <c r="Q89" s="67" t="str">
        <f t="shared" si="5"/>
        <v/>
      </c>
      <c r="R89" s="50" t="str">
        <f t="shared" si="6"/>
        <v/>
      </c>
      <c r="S89" s="50" t="str">
        <f t="shared" si="7"/>
        <v/>
      </c>
    </row>
    <row r="90" spans="1:19">
      <c r="A90" s="57">
        <f t="shared" si="8"/>
        <v>77</v>
      </c>
      <c r="B90" s="69"/>
      <c r="C90" s="69"/>
      <c r="D90" s="69"/>
      <c r="E90" s="69"/>
      <c r="F90" s="69"/>
      <c r="G90" s="69"/>
      <c r="H90" s="69"/>
      <c r="I90" s="158"/>
      <c r="J90" s="68"/>
      <c r="K90" s="66"/>
      <c r="L90" s="158"/>
      <c r="M90" s="66"/>
      <c r="N90" s="66" t="s">
        <v>106</v>
      </c>
      <c r="O90" s="117"/>
      <c r="P90" s="58"/>
      <c r="Q90" s="67" t="str">
        <f t="shared" si="5"/>
        <v/>
      </c>
      <c r="R90" s="50" t="str">
        <f t="shared" si="6"/>
        <v/>
      </c>
      <c r="S90" s="50" t="str">
        <f t="shared" si="7"/>
        <v/>
      </c>
    </row>
    <row r="91" spans="1:19">
      <c r="A91" s="57">
        <f t="shared" si="8"/>
        <v>78</v>
      </c>
      <c r="B91" s="69"/>
      <c r="C91" s="69"/>
      <c r="D91" s="69"/>
      <c r="E91" s="69"/>
      <c r="F91" s="69"/>
      <c r="G91" s="69"/>
      <c r="H91" s="69"/>
      <c r="I91" s="158"/>
      <c r="J91" s="68"/>
      <c r="K91" s="66"/>
      <c r="L91" s="158"/>
      <c r="M91" s="66"/>
      <c r="N91" s="66" t="s">
        <v>106</v>
      </c>
      <c r="O91" s="117"/>
      <c r="P91" s="58"/>
      <c r="Q91" s="67" t="str">
        <f t="shared" si="5"/>
        <v/>
      </c>
      <c r="R91" s="50" t="str">
        <f t="shared" si="6"/>
        <v/>
      </c>
      <c r="S91" s="50" t="str">
        <f t="shared" si="7"/>
        <v/>
      </c>
    </row>
    <row r="92" spans="1:19">
      <c r="A92" s="57">
        <f t="shared" si="8"/>
        <v>79</v>
      </c>
      <c r="B92" s="69"/>
      <c r="C92" s="69"/>
      <c r="D92" s="69"/>
      <c r="E92" s="69"/>
      <c r="F92" s="69"/>
      <c r="G92" s="69"/>
      <c r="H92" s="69"/>
      <c r="I92" s="158"/>
      <c r="J92" s="68"/>
      <c r="K92" s="66"/>
      <c r="L92" s="158"/>
      <c r="M92" s="66"/>
      <c r="N92" s="66" t="s">
        <v>106</v>
      </c>
      <c r="O92" s="117"/>
      <c r="P92" s="58"/>
      <c r="Q92" s="67" t="str">
        <f t="shared" si="5"/>
        <v/>
      </c>
      <c r="R92" s="50" t="str">
        <f t="shared" si="6"/>
        <v/>
      </c>
      <c r="S92" s="50" t="str">
        <f t="shared" si="7"/>
        <v/>
      </c>
    </row>
    <row r="93" spans="1:19">
      <c r="A93" s="57">
        <f t="shared" si="8"/>
        <v>80</v>
      </c>
      <c r="B93" s="69"/>
      <c r="C93" s="69"/>
      <c r="D93" s="69"/>
      <c r="E93" s="69"/>
      <c r="F93" s="69"/>
      <c r="G93" s="69"/>
      <c r="H93" s="69"/>
      <c r="I93" s="158"/>
      <c r="J93" s="68"/>
      <c r="K93" s="66"/>
      <c r="L93" s="158"/>
      <c r="M93" s="66"/>
      <c r="N93" s="66" t="s">
        <v>106</v>
      </c>
      <c r="O93" s="117"/>
      <c r="P93" s="58"/>
      <c r="Q93" s="67" t="str">
        <f t="shared" si="5"/>
        <v/>
      </c>
      <c r="R93" s="50" t="str">
        <f t="shared" si="6"/>
        <v/>
      </c>
      <c r="S93" s="50" t="str">
        <f t="shared" si="7"/>
        <v/>
      </c>
    </row>
    <row r="94" spans="1:19">
      <c r="A94" s="57">
        <f t="shared" si="8"/>
        <v>81</v>
      </c>
      <c r="B94" s="69"/>
      <c r="C94" s="69"/>
      <c r="D94" s="69"/>
      <c r="E94" s="69"/>
      <c r="F94" s="69"/>
      <c r="G94" s="69"/>
      <c r="H94" s="69"/>
      <c r="I94" s="158"/>
      <c r="J94" s="68"/>
      <c r="K94" s="66"/>
      <c r="L94" s="158"/>
      <c r="M94" s="66"/>
      <c r="N94" s="66" t="s">
        <v>106</v>
      </c>
      <c r="O94" s="117"/>
      <c r="P94" s="58"/>
      <c r="Q94" s="67" t="str">
        <f t="shared" si="5"/>
        <v/>
      </c>
      <c r="R94" s="50" t="str">
        <f t="shared" si="6"/>
        <v/>
      </c>
      <c r="S94" s="50" t="str">
        <f t="shared" si="7"/>
        <v/>
      </c>
    </row>
    <row r="95" spans="1:19">
      <c r="A95" s="57">
        <f t="shared" si="8"/>
        <v>82</v>
      </c>
      <c r="B95" s="69"/>
      <c r="C95" s="69"/>
      <c r="D95" s="69"/>
      <c r="E95" s="69"/>
      <c r="F95" s="69"/>
      <c r="G95" s="69"/>
      <c r="H95" s="69"/>
      <c r="I95" s="158"/>
      <c r="J95" s="68"/>
      <c r="K95" s="66"/>
      <c r="L95" s="158"/>
      <c r="M95" s="66"/>
      <c r="N95" s="66" t="s">
        <v>106</v>
      </c>
      <c r="O95" s="117"/>
      <c r="P95" s="58"/>
      <c r="Q95" s="67" t="str">
        <f t="shared" si="5"/>
        <v/>
      </c>
      <c r="R95" s="50" t="str">
        <f t="shared" si="6"/>
        <v/>
      </c>
      <c r="S95" s="50" t="str">
        <f t="shared" si="7"/>
        <v/>
      </c>
    </row>
    <row r="96" spans="1:19">
      <c r="A96" s="57">
        <f t="shared" si="8"/>
        <v>83</v>
      </c>
      <c r="B96" s="69"/>
      <c r="C96" s="69"/>
      <c r="D96" s="69"/>
      <c r="E96" s="69"/>
      <c r="F96" s="69"/>
      <c r="G96" s="69"/>
      <c r="H96" s="69"/>
      <c r="I96" s="158"/>
      <c r="J96" s="68"/>
      <c r="K96" s="66"/>
      <c r="L96" s="158"/>
      <c r="M96" s="66"/>
      <c r="N96" s="66" t="s">
        <v>106</v>
      </c>
      <c r="O96" s="117"/>
      <c r="P96" s="58"/>
      <c r="Q96" s="67" t="str">
        <f t="shared" si="5"/>
        <v/>
      </c>
      <c r="R96" s="50" t="str">
        <f t="shared" si="6"/>
        <v/>
      </c>
      <c r="S96" s="50" t="str">
        <f t="shared" si="7"/>
        <v/>
      </c>
    </row>
    <row r="97" spans="1:19">
      <c r="A97" s="57">
        <f t="shared" si="8"/>
        <v>84</v>
      </c>
      <c r="B97" s="69"/>
      <c r="C97" s="69"/>
      <c r="D97" s="69"/>
      <c r="E97" s="69"/>
      <c r="F97" s="69"/>
      <c r="G97" s="69"/>
      <c r="H97" s="69"/>
      <c r="I97" s="158"/>
      <c r="J97" s="68"/>
      <c r="K97" s="66"/>
      <c r="L97" s="158"/>
      <c r="M97" s="66"/>
      <c r="N97" s="66" t="s">
        <v>106</v>
      </c>
      <c r="O97" s="117"/>
      <c r="P97" s="58"/>
      <c r="Q97" s="67" t="str">
        <f t="shared" si="5"/>
        <v/>
      </c>
      <c r="R97" s="50" t="str">
        <f t="shared" si="6"/>
        <v/>
      </c>
      <c r="S97" s="50" t="str">
        <f t="shared" si="7"/>
        <v/>
      </c>
    </row>
    <row r="98" spans="1:19">
      <c r="A98" s="57">
        <f t="shared" si="8"/>
        <v>85</v>
      </c>
      <c r="B98" s="69"/>
      <c r="C98" s="69"/>
      <c r="D98" s="69"/>
      <c r="E98" s="69"/>
      <c r="F98" s="69"/>
      <c r="G98" s="69"/>
      <c r="H98" s="69"/>
      <c r="I98" s="158"/>
      <c r="J98" s="68"/>
      <c r="K98" s="66"/>
      <c r="L98" s="158"/>
      <c r="M98" s="66"/>
      <c r="N98" s="66" t="s">
        <v>106</v>
      </c>
      <c r="O98" s="117"/>
      <c r="P98" s="58"/>
      <c r="Q98" s="67" t="str">
        <f t="shared" si="5"/>
        <v/>
      </c>
      <c r="R98" s="50" t="str">
        <f t="shared" si="6"/>
        <v/>
      </c>
      <c r="S98" s="50" t="str">
        <f t="shared" si="7"/>
        <v/>
      </c>
    </row>
    <row r="99" spans="1:19">
      <c r="A99" s="57">
        <f t="shared" si="8"/>
        <v>86</v>
      </c>
      <c r="B99" s="69"/>
      <c r="C99" s="69"/>
      <c r="D99" s="69"/>
      <c r="E99" s="69"/>
      <c r="F99" s="69"/>
      <c r="G99" s="69"/>
      <c r="H99" s="69"/>
      <c r="I99" s="158"/>
      <c r="J99" s="68"/>
      <c r="K99" s="66"/>
      <c r="L99" s="158"/>
      <c r="M99" s="66"/>
      <c r="N99" s="66" t="s">
        <v>106</v>
      </c>
      <c r="O99" s="117"/>
      <c r="P99" s="58"/>
      <c r="Q99" s="67" t="str">
        <f t="shared" si="5"/>
        <v/>
      </c>
      <c r="R99" s="50" t="str">
        <f t="shared" si="6"/>
        <v/>
      </c>
      <c r="S99" s="50" t="str">
        <f t="shared" si="7"/>
        <v/>
      </c>
    </row>
    <row r="100" spans="1:19">
      <c r="A100" s="57">
        <f t="shared" si="8"/>
        <v>87</v>
      </c>
      <c r="B100" s="69"/>
      <c r="C100" s="69"/>
      <c r="D100" s="69"/>
      <c r="E100" s="69"/>
      <c r="F100" s="69"/>
      <c r="G100" s="69"/>
      <c r="H100" s="69"/>
      <c r="I100" s="158"/>
      <c r="J100" s="68"/>
      <c r="K100" s="66"/>
      <c r="L100" s="158"/>
      <c r="M100" s="66"/>
      <c r="N100" s="66" t="s">
        <v>106</v>
      </c>
      <c r="O100" s="117"/>
      <c r="P100" s="58"/>
      <c r="Q100" s="67" t="str">
        <f t="shared" si="5"/>
        <v/>
      </c>
      <c r="R100" s="50" t="str">
        <f t="shared" si="6"/>
        <v/>
      </c>
      <c r="S100" s="50" t="str">
        <f t="shared" si="7"/>
        <v/>
      </c>
    </row>
    <row r="101" spans="1:19">
      <c r="A101" s="57">
        <f t="shared" si="8"/>
        <v>88</v>
      </c>
      <c r="B101" s="69"/>
      <c r="C101" s="69"/>
      <c r="D101" s="69"/>
      <c r="E101" s="69"/>
      <c r="F101" s="69"/>
      <c r="G101" s="69"/>
      <c r="H101" s="69"/>
      <c r="I101" s="158"/>
      <c r="J101" s="68"/>
      <c r="K101" s="66"/>
      <c r="L101" s="158"/>
      <c r="M101" s="66"/>
      <c r="N101" s="66" t="s">
        <v>106</v>
      </c>
      <c r="O101" s="117"/>
      <c r="P101" s="58"/>
      <c r="Q101" s="67" t="str">
        <f t="shared" si="5"/>
        <v/>
      </c>
      <c r="R101" s="50" t="str">
        <f t="shared" si="6"/>
        <v/>
      </c>
      <c r="S101" s="50" t="str">
        <f t="shared" si="7"/>
        <v/>
      </c>
    </row>
    <row r="102" spans="1:19">
      <c r="A102" s="57">
        <f t="shared" si="8"/>
        <v>89</v>
      </c>
      <c r="B102" s="69"/>
      <c r="C102" s="69"/>
      <c r="D102" s="69"/>
      <c r="E102" s="69"/>
      <c r="F102" s="69"/>
      <c r="G102" s="69"/>
      <c r="H102" s="69"/>
      <c r="I102" s="158"/>
      <c r="J102" s="68"/>
      <c r="K102" s="66"/>
      <c r="L102" s="158"/>
      <c r="M102" s="66"/>
      <c r="N102" s="66" t="s">
        <v>106</v>
      </c>
      <c r="O102" s="117"/>
      <c r="P102" s="58"/>
      <c r="Q102" s="67" t="str">
        <f t="shared" si="5"/>
        <v/>
      </c>
      <c r="R102" s="50" t="str">
        <f t="shared" si="6"/>
        <v/>
      </c>
      <c r="S102" s="50" t="str">
        <f t="shared" si="7"/>
        <v/>
      </c>
    </row>
    <row r="103" spans="1:19">
      <c r="A103" s="57">
        <f t="shared" si="8"/>
        <v>90</v>
      </c>
      <c r="B103" s="69"/>
      <c r="C103" s="69"/>
      <c r="D103" s="69"/>
      <c r="E103" s="69"/>
      <c r="F103" s="69"/>
      <c r="G103" s="69"/>
      <c r="H103" s="69"/>
      <c r="I103" s="158"/>
      <c r="J103" s="68"/>
      <c r="K103" s="66"/>
      <c r="L103" s="158"/>
      <c r="M103" s="66"/>
      <c r="N103" s="66" t="s">
        <v>106</v>
      </c>
      <c r="O103" s="117"/>
      <c r="P103" s="58"/>
      <c r="Q103" s="67" t="str">
        <f t="shared" si="5"/>
        <v/>
      </c>
      <c r="R103" s="50" t="str">
        <f t="shared" si="6"/>
        <v/>
      </c>
      <c r="S103" s="50" t="str">
        <f t="shared" si="7"/>
        <v/>
      </c>
    </row>
    <row r="104" spans="1:19">
      <c r="A104" s="57">
        <f t="shared" si="8"/>
        <v>91</v>
      </c>
      <c r="B104" s="69"/>
      <c r="C104" s="69"/>
      <c r="D104" s="69"/>
      <c r="E104" s="69"/>
      <c r="F104" s="69"/>
      <c r="G104" s="69"/>
      <c r="H104" s="69"/>
      <c r="I104" s="158"/>
      <c r="J104" s="68"/>
      <c r="K104" s="66"/>
      <c r="L104" s="158"/>
      <c r="M104" s="66"/>
      <c r="N104" s="66" t="s">
        <v>106</v>
      </c>
      <c r="O104" s="117"/>
      <c r="P104" s="58"/>
      <c r="Q104" s="67" t="str">
        <f t="shared" si="5"/>
        <v/>
      </c>
      <c r="R104" s="50" t="str">
        <f t="shared" si="6"/>
        <v/>
      </c>
      <c r="S104" s="50" t="str">
        <f t="shared" si="7"/>
        <v/>
      </c>
    </row>
    <row r="105" spans="1:19">
      <c r="A105" s="57">
        <f t="shared" si="8"/>
        <v>92</v>
      </c>
      <c r="B105" s="69"/>
      <c r="C105" s="69"/>
      <c r="D105" s="69"/>
      <c r="E105" s="69"/>
      <c r="F105" s="69"/>
      <c r="G105" s="69"/>
      <c r="H105" s="69"/>
      <c r="I105" s="158"/>
      <c r="J105" s="68"/>
      <c r="K105" s="66"/>
      <c r="L105" s="158"/>
      <c r="M105" s="66"/>
      <c r="N105" s="66" t="s">
        <v>106</v>
      </c>
      <c r="O105" s="117"/>
      <c r="P105" s="58"/>
      <c r="Q105" s="67" t="str">
        <f t="shared" si="5"/>
        <v/>
      </c>
      <c r="R105" s="50" t="str">
        <f t="shared" si="6"/>
        <v/>
      </c>
      <c r="S105" s="50" t="str">
        <f t="shared" si="7"/>
        <v/>
      </c>
    </row>
    <row r="106" spans="1:19">
      <c r="A106" s="57">
        <f t="shared" si="8"/>
        <v>93</v>
      </c>
      <c r="B106" s="69"/>
      <c r="C106" s="69"/>
      <c r="D106" s="69"/>
      <c r="E106" s="69"/>
      <c r="F106" s="69"/>
      <c r="G106" s="69"/>
      <c r="H106" s="69"/>
      <c r="I106" s="158"/>
      <c r="J106" s="68"/>
      <c r="K106" s="66"/>
      <c r="L106" s="158"/>
      <c r="M106" s="66"/>
      <c r="N106" s="66" t="s">
        <v>106</v>
      </c>
      <c r="O106" s="117"/>
      <c r="P106" s="58"/>
      <c r="Q106" s="67" t="str">
        <f t="shared" si="5"/>
        <v/>
      </c>
      <c r="R106" s="50" t="str">
        <f t="shared" si="6"/>
        <v/>
      </c>
      <c r="S106" s="50" t="str">
        <f t="shared" si="7"/>
        <v/>
      </c>
    </row>
    <row r="107" spans="1:19">
      <c r="A107" s="57">
        <f t="shared" si="8"/>
        <v>94</v>
      </c>
      <c r="B107" s="69"/>
      <c r="C107" s="69"/>
      <c r="D107" s="69"/>
      <c r="E107" s="69"/>
      <c r="F107" s="69"/>
      <c r="G107" s="69"/>
      <c r="H107" s="69"/>
      <c r="I107" s="158"/>
      <c r="J107" s="68"/>
      <c r="K107" s="66"/>
      <c r="L107" s="158"/>
      <c r="M107" s="66"/>
      <c r="N107" s="66" t="s">
        <v>106</v>
      </c>
      <c r="O107" s="117"/>
      <c r="P107" s="58"/>
      <c r="Q107" s="67" t="str">
        <f t="shared" si="5"/>
        <v/>
      </c>
      <c r="R107" s="50" t="str">
        <f t="shared" si="6"/>
        <v/>
      </c>
      <c r="S107" s="50" t="str">
        <f t="shared" si="7"/>
        <v/>
      </c>
    </row>
    <row r="108" spans="1:19">
      <c r="A108" s="57">
        <f t="shared" si="8"/>
        <v>95</v>
      </c>
      <c r="B108" s="69"/>
      <c r="C108" s="69"/>
      <c r="D108" s="69"/>
      <c r="E108" s="69"/>
      <c r="F108" s="69"/>
      <c r="G108" s="69"/>
      <c r="H108" s="69"/>
      <c r="I108" s="158"/>
      <c r="J108" s="68"/>
      <c r="K108" s="66"/>
      <c r="L108" s="158"/>
      <c r="M108" s="66"/>
      <c r="N108" s="66" t="s">
        <v>106</v>
      </c>
      <c r="O108" s="117"/>
      <c r="P108" s="58"/>
      <c r="Q108" s="67" t="str">
        <f t="shared" si="5"/>
        <v/>
      </c>
      <c r="R108" s="50" t="str">
        <f t="shared" si="6"/>
        <v/>
      </c>
      <c r="S108" s="50" t="str">
        <f t="shared" si="7"/>
        <v/>
      </c>
    </row>
    <row r="109" spans="1:19">
      <c r="A109" s="57">
        <f t="shared" si="8"/>
        <v>96</v>
      </c>
      <c r="B109" s="69"/>
      <c r="C109" s="69"/>
      <c r="D109" s="69"/>
      <c r="E109" s="69"/>
      <c r="F109" s="69"/>
      <c r="G109" s="69"/>
      <c r="H109" s="69"/>
      <c r="I109" s="158"/>
      <c r="J109" s="68"/>
      <c r="K109" s="66"/>
      <c r="L109" s="158"/>
      <c r="M109" s="66"/>
      <c r="N109" s="66" t="s">
        <v>106</v>
      </c>
      <c r="O109" s="117"/>
      <c r="P109" s="58"/>
      <c r="Q109" s="67" t="str">
        <f t="shared" si="5"/>
        <v/>
      </c>
      <c r="R109" s="50" t="str">
        <f t="shared" si="6"/>
        <v/>
      </c>
      <c r="S109" s="50" t="str">
        <f t="shared" si="7"/>
        <v/>
      </c>
    </row>
    <row r="110" spans="1:19">
      <c r="A110" s="57">
        <f t="shared" si="8"/>
        <v>97</v>
      </c>
      <c r="B110" s="69"/>
      <c r="C110" s="69"/>
      <c r="D110" s="69"/>
      <c r="E110" s="69"/>
      <c r="F110" s="69"/>
      <c r="G110" s="69"/>
      <c r="H110" s="69"/>
      <c r="I110" s="158"/>
      <c r="J110" s="68"/>
      <c r="K110" s="66"/>
      <c r="L110" s="158"/>
      <c r="M110" s="66"/>
      <c r="N110" s="66" t="s">
        <v>106</v>
      </c>
      <c r="O110" s="117"/>
      <c r="P110" s="58"/>
      <c r="Q110" s="67" t="str">
        <f t="shared" si="5"/>
        <v/>
      </c>
      <c r="R110" s="50" t="str">
        <f t="shared" si="6"/>
        <v/>
      </c>
      <c r="S110" s="50" t="str">
        <f t="shared" si="7"/>
        <v/>
      </c>
    </row>
    <row r="111" spans="1:19">
      <c r="A111" s="57">
        <f t="shared" ref="A111:A142" si="9">A110+1</f>
        <v>98</v>
      </c>
      <c r="B111" s="69"/>
      <c r="C111" s="69"/>
      <c r="D111" s="69"/>
      <c r="E111" s="69"/>
      <c r="F111" s="69"/>
      <c r="G111" s="69"/>
      <c r="H111" s="69"/>
      <c r="I111" s="158"/>
      <c r="J111" s="68"/>
      <c r="K111" s="66"/>
      <c r="L111" s="158"/>
      <c r="M111" s="66"/>
      <c r="N111" s="66" t="s">
        <v>106</v>
      </c>
      <c r="O111" s="117"/>
      <c r="P111" s="58"/>
      <c r="Q111" s="67" t="str">
        <f t="shared" si="5"/>
        <v/>
      </c>
      <c r="R111" s="50" t="str">
        <f t="shared" si="6"/>
        <v/>
      </c>
      <c r="S111" s="50" t="str">
        <f t="shared" si="7"/>
        <v/>
      </c>
    </row>
    <row r="112" spans="1:19">
      <c r="A112" s="57">
        <f t="shared" si="9"/>
        <v>99</v>
      </c>
      <c r="B112" s="69"/>
      <c r="C112" s="69"/>
      <c r="D112" s="69"/>
      <c r="E112" s="69"/>
      <c r="F112" s="69"/>
      <c r="G112" s="69"/>
      <c r="H112" s="69"/>
      <c r="I112" s="158"/>
      <c r="J112" s="68"/>
      <c r="K112" s="66"/>
      <c r="L112" s="158"/>
      <c r="M112" s="66"/>
      <c r="N112" s="66" t="s">
        <v>106</v>
      </c>
      <c r="O112" s="117"/>
      <c r="P112" s="58"/>
      <c r="Q112" s="67" t="str">
        <f t="shared" si="5"/>
        <v/>
      </c>
      <c r="R112" s="50" t="str">
        <f t="shared" si="6"/>
        <v/>
      </c>
      <c r="S112" s="50" t="str">
        <f t="shared" si="7"/>
        <v/>
      </c>
    </row>
    <row r="113" spans="1:19">
      <c r="A113" s="57">
        <f t="shared" si="9"/>
        <v>100</v>
      </c>
      <c r="B113" s="69"/>
      <c r="C113" s="69"/>
      <c r="D113" s="69"/>
      <c r="E113" s="69"/>
      <c r="F113" s="69"/>
      <c r="G113" s="69"/>
      <c r="H113" s="69"/>
      <c r="I113" s="158"/>
      <c r="J113" s="68"/>
      <c r="K113" s="66"/>
      <c r="L113" s="158"/>
      <c r="M113" s="66"/>
      <c r="N113" s="66" t="s">
        <v>106</v>
      </c>
      <c r="O113" s="117"/>
      <c r="P113" s="58"/>
      <c r="Q113" s="67" t="str">
        <f t="shared" si="5"/>
        <v/>
      </c>
      <c r="R113" s="50" t="str">
        <f t="shared" si="6"/>
        <v/>
      </c>
      <c r="S113" s="50" t="str">
        <f t="shared" si="7"/>
        <v/>
      </c>
    </row>
    <row r="114" spans="1:19">
      <c r="A114" s="57">
        <f t="shared" si="9"/>
        <v>101</v>
      </c>
      <c r="B114" s="69"/>
      <c r="C114" s="69"/>
      <c r="D114" s="69"/>
      <c r="E114" s="69"/>
      <c r="F114" s="69"/>
      <c r="G114" s="69"/>
      <c r="H114" s="69"/>
      <c r="I114" s="158"/>
      <c r="J114" s="68"/>
      <c r="K114" s="66"/>
      <c r="L114" s="158"/>
      <c r="M114" s="66"/>
      <c r="N114" s="66" t="s">
        <v>106</v>
      </c>
      <c r="O114" s="117"/>
      <c r="P114" s="58"/>
      <c r="Q114" s="67" t="str">
        <f t="shared" si="5"/>
        <v/>
      </c>
      <c r="R114" s="50" t="str">
        <f t="shared" si="6"/>
        <v/>
      </c>
      <c r="S114" s="50" t="str">
        <f t="shared" si="7"/>
        <v/>
      </c>
    </row>
    <row r="115" spans="1:19">
      <c r="A115" s="57">
        <f t="shared" si="9"/>
        <v>102</v>
      </c>
      <c r="B115" s="69"/>
      <c r="C115" s="69"/>
      <c r="D115" s="69"/>
      <c r="E115" s="69"/>
      <c r="F115" s="69"/>
      <c r="G115" s="69"/>
      <c r="H115" s="69"/>
      <c r="I115" s="158"/>
      <c r="J115" s="68"/>
      <c r="K115" s="66"/>
      <c r="L115" s="158"/>
      <c r="M115" s="66"/>
      <c r="N115" s="66" t="s">
        <v>106</v>
      </c>
      <c r="O115" s="117"/>
      <c r="P115" s="58"/>
      <c r="Q115" s="67" t="str">
        <f t="shared" si="5"/>
        <v/>
      </c>
      <c r="R115" s="50" t="str">
        <f t="shared" si="6"/>
        <v/>
      </c>
      <c r="S115" s="50" t="str">
        <f t="shared" si="7"/>
        <v/>
      </c>
    </row>
    <row r="116" spans="1:19">
      <c r="A116" s="57">
        <f t="shared" si="9"/>
        <v>103</v>
      </c>
      <c r="B116" s="69"/>
      <c r="C116" s="69"/>
      <c r="D116" s="69"/>
      <c r="E116" s="69"/>
      <c r="F116" s="69"/>
      <c r="G116" s="69"/>
      <c r="H116" s="69"/>
      <c r="I116" s="158"/>
      <c r="J116" s="68"/>
      <c r="K116" s="66"/>
      <c r="L116" s="158"/>
      <c r="M116" s="66"/>
      <c r="N116" s="66" t="s">
        <v>106</v>
      </c>
      <c r="O116" s="117"/>
      <c r="P116" s="58"/>
      <c r="Q116" s="67" t="str">
        <f t="shared" si="5"/>
        <v/>
      </c>
      <c r="R116" s="50" t="str">
        <f t="shared" si="6"/>
        <v/>
      </c>
      <c r="S116" s="50" t="str">
        <f t="shared" si="7"/>
        <v/>
      </c>
    </row>
    <row r="117" spans="1:19">
      <c r="A117" s="57">
        <f t="shared" si="9"/>
        <v>104</v>
      </c>
      <c r="B117" s="69"/>
      <c r="C117" s="69"/>
      <c r="D117" s="69"/>
      <c r="E117" s="69"/>
      <c r="F117" s="69"/>
      <c r="G117" s="69"/>
      <c r="H117" s="69"/>
      <c r="I117" s="158"/>
      <c r="J117" s="68"/>
      <c r="K117" s="66"/>
      <c r="L117" s="158"/>
      <c r="M117" s="66"/>
      <c r="N117" s="66" t="s">
        <v>106</v>
      </c>
      <c r="O117" s="117"/>
      <c r="P117" s="58"/>
      <c r="Q117" s="67" t="str">
        <f t="shared" si="5"/>
        <v/>
      </c>
      <c r="R117" s="50" t="str">
        <f t="shared" si="6"/>
        <v/>
      </c>
      <c r="S117" s="50" t="str">
        <f t="shared" si="7"/>
        <v/>
      </c>
    </row>
    <row r="118" spans="1:19">
      <c r="A118" s="57">
        <f t="shared" si="9"/>
        <v>105</v>
      </c>
      <c r="B118" s="69"/>
      <c r="C118" s="69"/>
      <c r="D118" s="69"/>
      <c r="E118" s="69"/>
      <c r="F118" s="69"/>
      <c r="G118" s="69"/>
      <c r="H118" s="69"/>
      <c r="I118" s="158"/>
      <c r="J118" s="68"/>
      <c r="K118" s="66"/>
      <c r="L118" s="158"/>
      <c r="M118" s="66"/>
      <c r="N118" s="66" t="s">
        <v>106</v>
      </c>
      <c r="O118" s="117"/>
      <c r="P118" s="58"/>
      <c r="Q118" s="67" t="str">
        <f t="shared" si="5"/>
        <v/>
      </c>
      <c r="R118" s="50" t="str">
        <f t="shared" si="6"/>
        <v/>
      </c>
      <c r="S118" s="50" t="str">
        <f t="shared" si="7"/>
        <v/>
      </c>
    </row>
    <row r="119" spans="1:19">
      <c r="A119" s="57">
        <f t="shared" si="9"/>
        <v>106</v>
      </c>
      <c r="B119" s="69"/>
      <c r="C119" s="69"/>
      <c r="D119" s="69"/>
      <c r="E119" s="69"/>
      <c r="F119" s="69"/>
      <c r="G119" s="69"/>
      <c r="H119" s="69"/>
      <c r="I119" s="158"/>
      <c r="J119" s="68"/>
      <c r="K119" s="66"/>
      <c r="L119" s="158"/>
      <c r="M119" s="66"/>
      <c r="N119" s="66" t="s">
        <v>106</v>
      </c>
      <c r="O119" s="117"/>
      <c r="P119" s="58"/>
      <c r="Q119" s="67" t="str">
        <f t="shared" si="5"/>
        <v/>
      </c>
      <c r="R119" s="50" t="str">
        <f t="shared" si="6"/>
        <v/>
      </c>
      <c r="S119" s="50" t="str">
        <f t="shared" si="7"/>
        <v/>
      </c>
    </row>
    <row r="120" spans="1:19">
      <c r="A120" s="57">
        <f t="shared" si="9"/>
        <v>107</v>
      </c>
      <c r="B120" s="69"/>
      <c r="C120" s="69"/>
      <c r="D120" s="69"/>
      <c r="E120" s="69"/>
      <c r="F120" s="69"/>
      <c r="G120" s="69"/>
      <c r="H120" s="69"/>
      <c r="I120" s="158"/>
      <c r="J120" s="68"/>
      <c r="K120" s="66"/>
      <c r="L120" s="158"/>
      <c r="M120" s="66"/>
      <c r="N120" s="66" t="s">
        <v>106</v>
      </c>
      <c r="O120" s="117"/>
      <c r="P120" s="58"/>
      <c r="Q120" s="67" t="str">
        <f t="shared" si="5"/>
        <v/>
      </c>
      <c r="R120" s="50" t="str">
        <f t="shared" si="6"/>
        <v/>
      </c>
      <c r="S120" s="50" t="str">
        <f t="shared" si="7"/>
        <v/>
      </c>
    </row>
    <row r="121" spans="1:19">
      <c r="A121" s="57">
        <f t="shared" si="9"/>
        <v>108</v>
      </c>
      <c r="B121" s="69"/>
      <c r="C121" s="69"/>
      <c r="D121" s="69"/>
      <c r="E121" s="69"/>
      <c r="F121" s="69"/>
      <c r="G121" s="69"/>
      <c r="H121" s="69"/>
      <c r="I121" s="158"/>
      <c r="J121" s="68"/>
      <c r="K121" s="66"/>
      <c r="L121" s="158"/>
      <c r="M121" s="66"/>
      <c r="N121" s="66" t="s">
        <v>106</v>
      </c>
      <c r="O121" s="117"/>
      <c r="P121" s="58"/>
      <c r="Q121" s="67" t="str">
        <f t="shared" si="5"/>
        <v/>
      </c>
      <c r="R121" s="50" t="str">
        <f t="shared" si="6"/>
        <v/>
      </c>
      <c r="S121" s="50" t="str">
        <f t="shared" si="7"/>
        <v/>
      </c>
    </row>
    <row r="122" spans="1:19">
      <c r="A122" s="57">
        <f t="shared" si="9"/>
        <v>109</v>
      </c>
      <c r="B122" s="69"/>
      <c r="C122" s="69"/>
      <c r="D122" s="69"/>
      <c r="E122" s="69"/>
      <c r="F122" s="69"/>
      <c r="G122" s="69"/>
      <c r="H122" s="69"/>
      <c r="I122" s="158"/>
      <c r="J122" s="68"/>
      <c r="K122" s="66"/>
      <c r="L122" s="158"/>
      <c r="M122" s="66"/>
      <c r="N122" s="66" t="s">
        <v>106</v>
      </c>
      <c r="O122" s="117"/>
      <c r="P122" s="58"/>
      <c r="Q122" s="67" t="str">
        <f t="shared" si="5"/>
        <v/>
      </c>
      <c r="R122" s="50" t="str">
        <f t="shared" si="6"/>
        <v/>
      </c>
      <c r="S122" s="50" t="str">
        <f t="shared" si="7"/>
        <v/>
      </c>
    </row>
    <row r="123" spans="1:19">
      <c r="A123" s="57">
        <f t="shared" si="9"/>
        <v>110</v>
      </c>
      <c r="B123" s="69"/>
      <c r="C123" s="69"/>
      <c r="D123" s="69"/>
      <c r="E123" s="69"/>
      <c r="F123" s="69"/>
      <c r="G123" s="69"/>
      <c r="H123" s="69"/>
      <c r="I123" s="158"/>
      <c r="J123" s="68"/>
      <c r="K123" s="66"/>
      <c r="L123" s="158"/>
      <c r="M123" s="66"/>
      <c r="N123" s="66" t="s">
        <v>106</v>
      </c>
      <c r="O123" s="117"/>
      <c r="P123" s="58"/>
      <c r="Q123" s="67" t="str">
        <f t="shared" si="5"/>
        <v/>
      </c>
      <c r="R123" s="50" t="str">
        <f t="shared" si="6"/>
        <v/>
      </c>
      <c r="S123" s="50" t="str">
        <f t="shared" si="7"/>
        <v/>
      </c>
    </row>
    <row r="124" spans="1:19">
      <c r="A124" s="57">
        <f t="shared" si="9"/>
        <v>111</v>
      </c>
      <c r="B124" s="69"/>
      <c r="C124" s="69"/>
      <c r="D124" s="69"/>
      <c r="E124" s="69"/>
      <c r="F124" s="69"/>
      <c r="G124" s="69"/>
      <c r="H124" s="69"/>
      <c r="I124" s="158"/>
      <c r="J124" s="68"/>
      <c r="K124" s="66"/>
      <c r="L124" s="158"/>
      <c r="M124" s="66"/>
      <c r="N124" s="66" t="s">
        <v>106</v>
      </c>
      <c r="O124" s="117"/>
      <c r="P124" s="58"/>
      <c r="Q124" s="67" t="str">
        <f t="shared" si="5"/>
        <v/>
      </c>
      <c r="R124" s="50" t="str">
        <f t="shared" si="6"/>
        <v/>
      </c>
      <c r="S124" s="50" t="str">
        <f t="shared" si="7"/>
        <v/>
      </c>
    </row>
    <row r="125" spans="1:19">
      <c r="A125" s="57">
        <f t="shared" si="9"/>
        <v>112</v>
      </c>
      <c r="B125" s="69"/>
      <c r="C125" s="69"/>
      <c r="D125" s="69"/>
      <c r="E125" s="69"/>
      <c r="F125" s="69"/>
      <c r="G125" s="69"/>
      <c r="H125" s="69"/>
      <c r="I125" s="158"/>
      <c r="J125" s="68"/>
      <c r="K125" s="66"/>
      <c r="L125" s="158"/>
      <c r="M125" s="66"/>
      <c r="N125" s="66" t="s">
        <v>106</v>
      </c>
      <c r="O125" s="117"/>
      <c r="P125" s="58"/>
      <c r="Q125" s="67" t="str">
        <f t="shared" si="5"/>
        <v/>
      </c>
      <c r="R125" s="50" t="str">
        <f t="shared" si="6"/>
        <v/>
      </c>
      <c r="S125" s="50" t="str">
        <f t="shared" si="7"/>
        <v/>
      </c>
    </row>
    <row r="126" spans="1:19">
      <c r="A126" s="57">
        <f t="shared" si="9"/>
        <v>113</v>
      </c>
      <c r="B126" s="69"/>
      <c r="C126" s="69"/>
      <c r="D126" s="69"/>
      <c r="E126" s="69"/>
      <c r="F126" s="69"/>
      <c r="G126" s="69"/>
      <c r="H126" s="69"/>
      <c r="I126" s="158"/>
      <c r="J126" s="68"/>
      <c r="K126" s="66"/>
      <c r="L126" s="158"/>
      <c r="M126" s="66"/>
      <c r="N126" s="66" t="s">
        <v>106</v>
      </c>
      <c r="O126" s="117"/>
      <c r="P126" s="58"/>
      <c r="Q126" s="67" t="str">
        <f t="shared" si="5"/>
        <v/>
      </c>
      <c r="R126" s="50" t="str">
        <f t="shared" si="6"/>
        <v/>
      </c>
      <c r="S126" s="50" t="str">
        <f t="shared" si="7"/>
        <v/>
      </c>
    </row>
    <row r="127" spans="1:19">
      <c r="A127" s="57">
        <f t="shared" si="9"/>
        <v>114</v>
      </c>
      <c r="B127" s="69"/>
      <c r="C127" s="69"/>
      <c r="D127" s="69"/>
      <c r="E127" s="69"/>
      <c r="F127" s="69"/>
      <c r="G127" s="69"/>
      <c r="H127" s="69"/>
      <c r="I127" s="158"/>
      <c r="J127" s="68"/>
      <c r="K127" s="66"/>
      <c r="L127" s="158"/>
      <c r="M127" s="66"/>
      <c r="N127" s="66" t="s">
        <v>106</v>
      </c>
      <c r="O127" s="117"/>
      <c r="P127" s="58"/>
      <c r="Q127" s="67" t="str">
        <f t="shared" si="5"/>
        <v/>
      </c>
      <c r="R127" s="50" t="str">
        <f t="shared" si="6"/>
        <v/>
      </c>
      <c r="S127" s="50" t="str">
        <f t="shared" si="7"/>
        <v/>
      </c>
    </row>
    <row r="128" spans="1:19">
      <c r="A128" s="57">
        <f t="shared" si="9"/>
        <v>115</v>
      </c>
      <c r="B128" s="69"/>
      <c r="C128" s="69"/>
      <c r="D128" s="69"/>
      <c r="E128" s="69"/>
      <c r="F128" s="69"/>
      <c r="G128" s="69"/>
      <c r="H128" s="69"/>
      <c r="I128" s="158"/>
      <c r="J128" s="68"/>
      <c r="K128" s="66"/>
      <c r="L128" s="158"/>
      <c r="M128" s="66"/>
      <c r="N128" s="66" t="s">
        <v>106</v>
      </c>
      <c r="O128" s="117"/>
      <c r="P128" s="58"/>
      <c r="Q128" s="67" t="str">
        <f t="shared" si="5"/>
        <v/>
      </c>
      <c r="R128" s="50" t="str">
        <f t="shared" si="6"/>
        <v/>
      </c>
      <c r="S128" s="50" t="str">
        <f t="shared" si="7"/>
        <v/>
      </c>
    </row>
    <row r="129" spans="1:19">
      <c r="A129" s="57">
        <f t="shared" si="9"/>
        <v>116</v>
      </c>
      <c r="B129" s="69"/>
      <c r="C129" s="69"/>
      <c r="D129" s="69"/>
      <c r="E129" s="69"/>
      <c r="F129" s="69"/>
      <c r="G129" s="69"/>
      <c r="H129" s="69"/>
      <c r="I129" s="158"/>
      <c r="J129" s="68"/>
      <c r="K129" s="66"/>
      <c r="L129" s="158"/>
      <c r="M129" s="66"/>
      <c r="N129" s="66" t="s">
        <v>106</v>
      </c>
      <c r="O129" s="117"/>
      <c r="P129" s="58"/>
      <c r="Q129" s="67" t="str">
        <f t="shared" si="5"/>
        <v/>
      </c>
      <c r="R129" s="50" t="str">
        <f t="shared" si="6"/>
        <v/>
      </c>
      <c r="S129" s="50" t="str">
        <f t="shared" si="7"/>
        <v/>
      </c>
    </row>
    <row r="130" spans="1:19">
      <c r="A130" s="57">
        <f t="shared" si="9"/>
        <v>117</v>
      </c>
      <c r="B130" s="69"/>
      <c r="C130" s="69"/>
      <c r="D130" s="69"/>
      <c r="E130" s="69"/>
      <c r="F130" s="69"/>
      <c r="G130" s="69"/>
      <c r="H130" s="69"/>
      <c r="I130" s="158"/>
      <c r="J130" s="68"/>
      <c r="K130" s="66"/>
      <c r="L130" s="158"/>
      <c r="M130" s="66"/>
      <c r="N130" s="66" t="s">
        <v>106</v>
      </c>
      <c r="O130" s="117"/>
      <c r="P130" s="58"/>
      <c r="Q130" s="67" t="str">
        <f t="shared" si="5"/>
        <v/>
      </c>
      <c r="R130" s="50" t="str">
        <f t="shared" si="6"/>
        <v/>
      </c>
      <c r="S130" s="50" t="str">
        <f t="shared" si="7"/>
        <v/>
      </c>
    </row>
    <row r="131" spans="1:19">
      <c r="A131" s="57">
        <f t="shared" si="9"/>
        <v>118</v>
      </c>
      <c r="B131" s="69"/>
      <c r="C131" s="69"/>
      <c r="D131" s="69"/>
      <c r="E131" s="69"/>
      <c r="F131" s="69"/>
      <c r="G131" s="69"/>
      <c r="H131" s="69"/>
      <c r="I131" s="158"/>
      <c r="J131" s="68"/>
      <c r="K131" s="66"/>
      <c r="L131" s="158"/>
      <c r="M131" s="66"/>
      <c r="N131" s="66" t="s">
        <v>106</v>
      </c>
      <c r="O131" s="117"/>
      <c r="P131" s="58"/>
      <c r="Q131" s="67" t="str">
        <f t="shared" si="5"/>
        <v/>
      </c>
      <c r="R131" s="50" t="str">
        <f t="shared" si="6"/>
        <v/>
      </c>
      <c r="S131" s="50" t="str">
        <f t="shared" si="7"/>
        <v/>
      </c>
    </row>
    <row r="132" spans="1:19">
      <c r="A132" s="57">
        <f t="shared" si="9"/>
        <v>119</v>
      </c>
      <c r="B132" s="69"/>
      <c r="C132" s="69"/>
      <c r="D132" s="69"/>
      <c r="E132" s="69"/>
      <c r="F132" s="69"/>
      <c r="G132" s="69"/>
      <c r="H132" s="69"/>
      <c r="I132" s="158"/>
      <c r="J132" s="68"/>
      <c r="K132" s="66"/>
      <c r="L132" s="158"/>
      <c r="M132" s="66"/>
      <c r="N132" s="66" t="s">
        <v>106</v>
      </c>
      <c r="O132" s="117"/>
      <c r="P132" s="58"/>
      <c r="Q132" s="67" t="str">
        <f t="shared" si="5"/>
        <v/>
      </c>
      <c r="R132" s="50" t="str">
        <f t="shared" si="6"/>
        <v/>
      </c>
      <c r="S132" s="50" t="str">
        <f t="shared" si="7"/>
        <v/>
      </c>
    </row>
    <row r="133" spans="1:19">
      <c r="A133" s="57">
        <f t="shared" si="9"/>
        <v>120</v>
      </c>
      <c r="B133" s="69"/>
      <c r="C133" s="69"/>
      <c r="D133" s="69"/>
      <c r="E133" s="69"/>
      <c r="F133" s="69"/>
      <c r="G133" s="69"/>
      <c r="H133" s="69"/>
      <c r="I133" s="158"/>
      <c r="J133" s="68"/>
      <c r="K133" s="66"/>
      <c r="L133" s="158"/>
      <c r="M133" s="66"/>
      <c r="N133" s="66" t="s">
        <v>106</v>
      </c>
      <c r="O133" s="117"/>
      <c r="P133" s="58"/>
      <c r="Q133" s="67" t="str">
        <f t="shared" si="5"/>
        <v/>
      </c>
      <c r="R133" s="50" t="str">
        <f t="shared" si="6"/>
        <v/>
      </c>
      <c r="S133" s="50" t="str">
        <f t="shared" si="7"/>
        <v/>
      </c>
    </row>
    <row r="134" spans="1:19">
      <c r="A134" s="57">
        <f t="shared" si="9"/>
        <v>121</v>
      </c>
      <c r="B134" s="69"/>
      <c r="C134" s="69"/>
      <c r="D134" s="69"/>
      <c r="E134" s="69"/>
      <c r="F134" s="69"/>
      <c r="G134" s="69"/>
      <c r="H134" s="69"/>
      <c r="I134" s="158"/>
      <c r="J134" s="68"/>
      <c r="K134" s="66"/>
      <c r="L134" s="158"/>
      <c r="M134" s="66"/>
      <c r="N134" s="66" t="s">
        <v>106</v>
      </c>
      <c r="O134" s="117"/>
      <c r="P134" s="58"/>
      <c r="Q134" s="67" t="str">
        <f t="shared" si="5"/>
        <v/>
      </c>
      <c r="R134" s="50" t="str">
        <f t="shared" si="6"/>
        <v/>
      </c>
      <c r="S134" s="50" t="str">
        <f t="shared" si="7"/>
        <v/>
      </c>
    </row>
    <row r="135" spans="1:19">
      <c r="A135" s="57">
        <f t="shared" si="9"/>
        <v>122</v>
      </c>
      <c r="B135" s="69"/>
      <c r="C135" s="69"/>
      <c r="D135" s="69"/>
      <c r="E135" s="69"/>
      <c r="F135" s="69"/>
      <c r="G135" s="69"/>
      <c r="H135" s="69"/>
      <c r="I135" s="158"/>
      <c r="J135" s="68"/>
      <c r="K135" s="66"/>
      <c r="L135" s="158"/>
      <c r="M135" s="66"/>
      <c r="N135" s="66" t="s">
        <v>106</v>
      </c>
      <c r="O135" s="117"/>
      <c r="P135" s="58"/>
      <c r="Q135" s="67" t="str">
        <f t="shared" si="5"/>
        <v/>
      </c>
      <c r="R135" s="50" t="str">
        <f t="shared" si="6"/>
        <v/>
      </c>
      <c r="S135" s="50" t="str">
        <f t="shared" si="7"/>
        <v/>
      </c>
    </row>
    <row r="136" spans="1:19">
      <c r="A136" s="57">
        <f t="shared" si="9"/>
        <v>123</v>
      </c>
      <c r="B136" s="69"/>
      <c r="C136" s="69"/>
      <c r="D136" s="69"/>
      <c r="E136" s="69"/>
      <c r="F136" s="69"/>
      <c r="G136" s="69"/>
      <c r="H136" s="69"/>
      <c r="I136" s="158"/>
      <c r="J136" s="68"/>
      <c r="K136" s="66"/>
      <c r="L136" s="158"/>
      <c r="M136" s="66"/>
      <c r="N136" s="66" t="s">
        <v>106</v>
      </c>
      <c r="O136" s="117"/>
      <c r="P136" s="58"/>
      <c r="Q136" s="67" t="str">
        <f t="shared" si="5"/>
        <v/>
      </c>
      <c r="R136" s="50" t="str">
        <f t="shared" si="6"/>
        <v/>
      </c>
      <c r="S136" s="50" t="str">
        <f t="shared" si="7"/>
        <v/>
      </c>
    </row>
    <row r="137" spans="1:19">
      <c r="A137" s="57">
        <f t="shared" si="9"/>
        <v>124</v>
      </c>
      <c r="B137" s="69"/>
      <c r="C137" s="69"/>
      <c r="D137" s="69"/>
      <c r="E137" s="69"/>
      <c r="F137" s="69"/>
      <c r="G137" s="69"/>
      <c r="H137" s="69"/>
      <c r="I137" s="158"/>
      <c r="J137" s="68"/>
      <c r="K137" s="66"/>
      <c r="L137" s="158"/>
      <c r="M137" s="66"/>
      <c r="N137" s="66" t="s">
        <v>106</v>
      </c>
      <c r="O137" s="117"/>
      <c r="P137" s="58"/>
      <c r="Q137" s="67" t="str">
        <f t="shared" si="5"/>
        <v/>
      </c>
      <c r="R137" s="50" t="str">
        <f t="shared" si="6"/>
        <v/>
      </c>
      <c r="S137" s="50" t="str">
        <f t="shared" si="7"/>
        <v/>
      </c>
    </row>
    <row r="138" spans="1:19">
      <c r="A138" s="57">
        <f t="shared" si="9"/>
        <v>125</v>
      </c>
      <c r="B138" s="69"/>
      <c r="C138" s="69"/>
      <c r="D138" s="69"/>
      <c r="E138" s="69"/>
      <c r="F138" s="69"/>
      <c r="G138" s="69"/>
      <c r="H138" s="69"/>
      <c r="I138" s="158"/>
      <c r="J138" s="68"/>
      <c r="K138" s="66"/>
      <c r="L138" s="158"/>
      <c r="M138" s="66"/>
      <c r="N138" s="66" t="s">
        <v>106</v>
      </c>
      <c r="O138" s="117"/>
      <c r="P138" s="58"/>
      <c r="Q138" s="67" t="str">
        <f t="shared" si="5"/>
        <v/>
      </c>
      <c r="R138" s="50" t="str">
        <f t="shared" si="6"/>
        <v/>
      </c>
      <c r="S138" s="50" t="str">
        <f t="shared" si="7"/>
        <v/>
      </c>
    </row>
    <row r="139" spans="1:19">
      <c r="A139" s="57">
        <f t="shared" si="9"/>
        <v>126</v>
      </c>
      <c r="B139" s="69"/>
      <c r="C139" s="69"/>
      <c r="D139" s="69"/>
      <c r="E139" s="69"/>
      <c r="F139" s="69"/>
      <c r="G139" s="69"/>
      <c r="H139" s="69"/>
      <c r="I139" s="158"/>
      <c r="J139" s="68"/>
      <c r="K139" s="66"/>
      <c r="L139" s="158"/>
      <c r="M139" s="66"/>
      <c r="N139" s="66" t="s">
        <v>106</v>
      </c>
      <c r="O139" s="117"/>
      <c r="P139" s="58"/>
      <c r="Q139" s="67" t="str">
        <f t="shared" si="5"/>
        <v/>
      </c>
      <c r="R139" s="50" t="str">
        <f t="shared" si="6"/>
        <v/>
      </c>
      <c r="S139" s="50" t="str">
        <f t="shared" si="7"/>
        <v/>
      </c>
    </row>
    <row r="140" spans="1:19">
      <c r="A140" s="57">
        <f t="shared" si="9"/>
        <v>127</v>
      </c>
      <c r="B140" s="69"/>
      <c r="C140" s="69"/>
      <c r="D140" s="69"/>
      <c r="E140" s="69"/>
      <c r="F140" s="69"/>
      <c r="G140" s="69"/>
      <c r="H140" s="69"/>
      <c r="I140" s="158"/>
      <c r="J140" s="68"/>
      <c r="K140" s="66"/>
      <c r="L140" s="158"/>
      <c r="M140" s="66"/>
      <c r="N140" s="66" t="s">
        <v>106</v>
      </c>
      <c r="O140" s="117"/>
      <c r="P140" s="58"/>
      <c r="Q140" s="67" t="str">
        <f t="shared" si="5"/>
        <v/>
      </c>
      <c r="R140" s="50" t="str">
        <f t="shared" si="6"/>
        <v/>
      </c>
      <c r="S140" s="50" t="str">
        <f t="shared" si="7"/>
        <v/>
      </c>
    </row>
    <row r="141" spans="1:19">
      <c r="A141" s="57">
        <f t="shared" si="9"/>
        <v>128</v>
      </c>
      <c r="B141" s="69"/>
      <c r="C141" s="69"/>
      <c r="D141" s="69"/>
      <c r="E141" s="69"/>
      <c r="F141" s="69"/>
      <c r="G141" s="69"/>
      <c r="H141" s="69"/>
      <c r="I141" s="158"/>
      <c r="J141" s="68"/>
      <c r="K141" s="66"/>
      <c r="L141" s="158"/>
      <c r="M141" s="66"/>
      <c r="N141" s="66" t="s">
        <v>106</v>
      </c>
      <c r="O141" s="117"/>
      <c r="P141" s="58"/>
      <c r="Q141" s="67" t="str">
        <f t="shared" si="5"/>
        <v/>
      </c>
      <c r="R141" s="50" t="str">
        <f t="shared" si="6"/>
        <v/>
      </c>
      <c r="S141" s="50" t="str">
        <f t="shared" si="7"/>
        <v/>
      </c>
    </row>
    <row r="142" spans="1:19">
      <c r="A142" s="57">
        <f t="shared" si="9"/>
        <v>129</v>
      </c>
      <c r="B142" s="69"/>
      <c r="C142" s="69"/>
      <c r="D142" s="69"/>
      <c r="E142" s="69"/>
      <c r="F142" s="69"/>
      <c r="G142" s="69"/>
      <c r="H142" s="69"/>
      <c r="I142" s="158"/>
      <c r="J142" s="68"/>
      <c r="K142" s="66"/>
      <c r="L142" s="158"/>
      <c r="M142" s="66"/>
      <c r="N142" s="66" t="s">
        <v>106</v>
      </c>
      <c r="O142" s="117"/>
      <c r="P142" s="58"/>
      <c r="Q142" s="67" t="str">
        <f t="shared" ref="Q142:Q205" si="10">IF(OR(AND(CodeFileListUsed="Yes",D142="",COUNTA(B142:C142,E142:I142)&lt;&gt;0),AND(COUNTA(B142:C142,E142:I142)&lt;&gt;0, COUNTA(B142:C142,E142:I142)&lt;&gt;COUNTA(B$13:C$13,E$13:I$13))),CheckErr,CheckOK)</f>
        <v/>
      </c>
      <c r="R142" s="50" t="str">
        <f t="shared" ref="R142:R205" si="11">IF(OR(ISBLANK(I142), AND(NOT(ISBLANK(K142)),OR(AND(M142="Accepted",OR(N142="Y",N142="y")),M142="Noted",M142="Duplicate",AND(M142="Rejected",NOT(ISBLANK(L142)))))),CheckOK,CheckErr)</f>
        <v/>
      </c>
      <c r="S142" s="50" t="str">
        <f t="shared" ref="S142:S205" si="12">IF(OR(ISBLANK(I142),NOT(ISBLANK(O142))),CheckOK,CheckErr)</f>
        <v/>
      </c>
    </row>
    <row r="143" spans="1:19">
      <c r="A143" s="57">
        <f t="shared" ref="A143:A206" si="13">A142+1</f>
        <v>130</v>
      </c>
      <c r="B143" s="69"/>
      <c r="C143" s="69"/>
      <c r="D143" s="69"/>
      <c r="E143" s="69"/>
      <c r="F143" s="69"/>
      <c r="G143" s="69"/>
      <c r="H143" s="69"/>
      <c r="I143" s="158"/>
      <c r="J143" s="68"/>
      <c r="K143" s="66"/>
      <c r="L143" s="158"/>
      <c r="M143" s="66"/>
      <c r="N143" s="66" t="s">
        <v>106</v>
      </c>
      <c r="O143" s="117"/>
      <c r="P143" s="58"/>
      <c r="Q143" s="67" t="str">
        <f t="shared" si="10"/>
        <v/>
      </c>
      <c r="R143" s="50" t="str">
        <f t="shared" si="11"/>
        <v/>
      </c>
      <c r="S143" s="50" t="str">
        <f t="shared" si="12"/>
        <v/>
      </c>
    </row>
    <row r="144" spans="1:19">
      <c r="A144" s="57">
        <f t="shared" si="13"/>
        <v>131</v>
      </c>
      <c r="B144" s="69"/>
      <c r="C144" s="69"/>
      <c r="D144" s="69"/>
      <c r="E144" s="69"/>
      <c r="F144" s="69"/>
      <c r="G144" s="69"/>
      <c r="H144" s="69"/>
      <c r="I144" s="158"/>
      <c r="J144" s="68"/>
      <c r="K144" s="66"/>
      <c r="L144" s="158"/>
      <c r="M144" s="66"/>
      <c r="N144" s="66" t="s">
        <v>106</v>
      </c>
      <c r="O144" s="117"/>
      <c r="P144" s="58"/>
      <c r="Q144" s="67" t="str">
        <f t="shared" si="10"/>
        <v/>
      </c>
      <c r="R144" s="50" t="str">
        <f t="shared" si="11"/>
        <v/>
      </c>
      <c r="S144" s="50" t="str">
        <f t="shared" si="12"/>
        <v/>
      </c>
    </row>
    <row r="145" spans="1:19">
      <c r="A145" s="57">
        <f t="shared" si="13"/>
        <v>132</v>
      </c>
      <c r="B145" s="69"/>
      <c r="C145" s="69"/>
      <c r="D145" s="69"/>
      <c r="E145" s="69"/>
      <c r="F145" s="69"/>
      <c r="G145" s="69"/>
      <c r="H145" s="69"/>
      <c r="I145" s="158"/>
      <c r="J145" s="68"/>
      <c r="K145" s="66"/>
      <c r="L145" s="158"/>
      <c r="M145" s="66"/>
      <c r="N145" s="66" t="s">
        <v>106</v>
      </c>
      <c r="O145" s="117"/>
      <c r="P145" s="58"/>
      <c r="Q145" s="67" t="str">
        <f t="shared" si="10"/>
        <v/>
      </c>
      <c r="R145" s="50" t="str">
        <f t="shared" si="11"/>
        <v/>
      </c>
      <c r="S145" s="50" t="str">
        <f t="shared" si="12"/>
        <v/>
      </c>
    </row>
    <row r="146" spans="1:19">
      <c r="A146" s="57">
        <f t="shared" si="13"/>
        <v>133</v>
      </c>
      <c r="B146" s="69"/>
      <c r="C146" s="69"/>
      <c r="D146" s="69"/>
      <c r="E146" s="69"/>
      <c r="F146" s="69"/>
      <c r="G146" s="69"/>
      <c r="H146" s="69"/>
      <c r="I146" s="158"/>
      <c r="J146" s="68"/>
      <c r="K146" s="66"/>
      <c r="L146" s="158"/>
      <c r="M146" s="66"/>
      <c r="N146" s="66" t="s">
        <v>106</v>
      </c>
      <c r="O146" s="117"/>
      <c r="P146" s="58"/>
      <c r="Q146" s="67" t="str">
        <f t="shared" si="10"/>
        <v/>
      </c>
      <c r="R146" s="50" t="str">
        <f t="shared" si="11"/>
        <v/>
      </c>
      <c r="S146" s="50" t="str">
        <f t="shared" si="12"/>
        <v/>
      </c>
    </row>
    <row r="147" spans="1:19">
      <c r="A147" s="57">
        <f t="shared" si="13"/>
        <v>134</v>
      </c>
      <c r="B147" s="69"/>
      <c r="C147" s="69"/>
      <c r="D147" s="69"/>
      <c r="E147" s="69"/>
      <c r="F147" s="69"/>
      <c r="G147" s="69"/>
      <c r="H147" s="69"/>
      <c r="I147" s="158"/>
      <c r="J147" s="68"/>
      <c r="K147" s="66"/>
      <c r="L147" s="158"/>
      <c r="M147" s="66"/>
      <c r="N147" s="66" t="s">
        <v>106</v>
      </c>
      <c r="O147" s="117"/>
      <c r="P147" s="58"/>
      <c r="Q147" s="67" t="str">
        <f t="shared" si="10"/>
        <v/>
      </c>
      <c r="R147" s="50" t="str">
        <f t="shared" si="11"/>
        <v/>
      </c>
      <c r="S147" s="50" t="str">
        <f t="shared" si="12"/>
        <v/>
      </c>
    </row>
    <row r="148" spans="1:19">
      <c r="A148" s="57">
        <f t="shared" si="13"/>
        <v>135</v>
      </c>
      <c r="B148" s="69"/>
      <c r="C148" s="69"/>
      <c r="D148" s="69"/>
      <c r="E148" s="69"/>
      <c r="F148" s="69"/>
      <c r="G148" s="69"/>
      <c r="H148" s="69"/>
      <c r="I148" s="158"/>
      <c r="J148" s="68"/>
      <c r="K148" s="66"/>
      <c r="L148" s="158"/>
      <c r="M148" s="66"/>
      <c r="N148" s="66" t="s">
        <v>106</v>
      </c>
      <c r="O148" s="117"/>
      <c r="P148" s="58"/>
      <c r="Q148" s="67" t="str">
        <f t="shared" si="10"/>
        <v/>
      </c>
      <c r="R148" s="50" t="str">
        <f t="shared" si="11"/>
        <v/>
      </c>
      <c r="S148" s="50" t="str">
        <f t="shared" si="12"/>
        <v/>
      </c>
    </row>
    <row r="149" spans="1:19">
      <c r="A149" s="57">
        <f t="shared" si="13"/>
        <v>136</v>
      </c>
      <c r="B149" s="69"/>
      <c r="C149" s="69"/>
      <c r="D149" s="69"/>
      <c r="E149" s="69"/>
      <c r="F149" s="69"/>
      <c r="G149" s="69"/>
      <c r="H149" s="69"/>
      <c r="I149" s="158"/>
      <c r="J149" s="68"/>
      <c r="K149" s="66"/>
      <c r="L149" s="158"/>
      <c r="M149" s="66"/>
      <c r="N149" s="66" t="s">
        <v>106</v>
      </c>
      <c r="O149" s="117"/>
      <c r="P149" s="58"/>
      <c r="Q149" s="67" t="str">
        <f t="shared" si="10"/>
        <v/>
      </c>
      <c r="R149" s="50" t="str">
        <f t="shared" si="11"/>
        <v/>
      </c>
      <c r="S149" s="50" t="str">
        <f t="shared" si="12"/>
        <v/>
      </c>
    </row>
    <row r="150" spans="1:19">
      <c r="A150" s="57">
        <f t="shared" si="13"/>
        <v>137</v>
      </c>
      <c r="B150" s="69"/>
      <c r="C150" s="69"/>
      <c r="D150" s="69"/>
      <c r="E150" s="69"/>
      <c r="F150" s="69"/>
      <c r="G150" s="69"/>
      <c r="H150" s="69"/>
      <c r="I150" s="158"/>
      <c r="J150" s="68"/>
      <c r="K150" s="66"/>
      <c r="L150" s="158"/>
      <c r="M150" s="66"/>
      <c r="N150" s="66" t="s">
        <v>106</v>
      </c>
      <c r="O150" s="117"/>
      <c r="P150" s="58"/>
      <c r="Q150" s="67" t="str">
        <f t="shared" si="10"/>
        <v/>
      </c>
      <c r="R150" s="50" t="str">
        <f t="shared" si="11"/>
        <v/>
      </c>
      <c r="S150" s="50" t="str">
        <f t="shared" si="12"/>
        <v/>
      </c>
    </row>
    <row r="151" spans="1:19">
      <c r="A151" s="57">
        <f t="shared" si="13"/>
        <v>138</v>
      </c>
      <c r="B151" s="69"/>
      <c r="C151" s="69"/>
      <c r="D151" s="69"/>
      <c r="E151" s="69"/>
      <c r="F151" s="69"/>
      <c r="G151" s="69"/>
      <c r="H151" s="69"/>
      <c r="I151" s="158"/>
      <c r="J151" s="68"/>
      <c r="K151" s="66"/>
      <c r="L151" s="158"/>
      <c r="M151" s="66"/>
      <c r="N151" s="66" t="s">
        <v>106</v>
      </c>
      <c r="O151" s="117"/>
      <c r="P151" s="58"/>
      <c r="Q151" s="67" t="str">
        <f t="shared" si="10"/>
        <v/>
      </c>
      <c r="R151" s="50" t="str">
        <f t="shared" si="11"/>
        <v/>
      </c>
      <c r="S151" s="50" t="str">
        <f t="shared" si="12"/>
        <v/>
      </c>
    </row>
    <row r="152" spans="1:19">
      <c r="A152" s="57">
        <f t="shared" si="13"/>
        <v>139</v>
      </c>
      <c r="B152" s="69"/>
      <c r="C152" s="69"/>
      <c r="D152" s="69"/>
      <c r="E152" s="69"/>
      <c r="F152" s="69"/>
      <c r="G152" s="69"/>
      <c r="H152" s="69"/>
      <c r="I152" s="158"/>
      <c r="J152" s="68"/>
      <c r="K152" s="66"/>
      <c r="L152" s="158"/>
      <c r="M152" s="66"/>
      <c r="N152" s="66" t="s">
        <v>106</v>
      </c>
      <c r="O152" s="117"/>
      <c r="P152" s="58"/>
      <c r="Q152" s="67" t="str">
        <f t="shared" si="10"/>
        <v/>
      </c>
      <c r="R152" s="50" t="str">
        <f t="shared" si="11"/>
        <v/>
      </c>
      <c r="S152" s="50" t="str">
        <f t="shared" si="12"/>
        <v/>
      </c>
    </row>
    <row r="153" spans="1:19">
      <c r="A153" s="57">
        <f t="shared" si="13"/>
        <v>140</v>
      </c>
      <c r="B153" s="69"/>
      <c r="C153" s="69"/>
      <c r="D153" s="69"/>
      <c r="E153" s="69"/>
      <c r="F153" s="69"/>
      <c r="G153" s="69"/>
      <c r="H153" s="69"/>
      <c r="I153" s="158"/>
      <c r="J153" s="68"/>
      <c r="K153" s="66"/>
      <c r="L153" s="158"/>
      <c r="M153" s="66"/>
      <c r="N153" s="66" t="s">
        <v>106</v>
      </c>
      <c r="O153" s="117"/>
      <c r="P153" s="58"/>
      <c r="Q153" s="67" t="str">
        <f t="shared" si="10"/>
        <v/>
      </c>
      <c r="R153" s="50" t="str">
        <f t="shared" si="11"/>
        <v/>
      </c>
      <c r="S153" s="50" t="str">
        <f t="shared" si="12"/>
        <v/>
      </c>
    </row>
    <row r="154" spans="1:19">
      <c r="A154" s="57">
        <f t="shared" si="13"/>
        <v>141</v>
      </c>
      <c r="B154" s="69"/>
      <c r="C154" s="69"/>
      <c r="D154" s="69"/>
      <c r="E154" s="69"/>
      <c r="F154" s="69"/>
      <c r="G154" s="69"/>
      <c r="H154" s="69"/>
      <c r="I154" s="158"/>
      <c r="J154" s="68"/>
      <c r="K154" s="66"/>
      <c r="L154" s="158"/>
      <c r="M154" s="66"/>
      <c r="N154" s="66" t="s">
        <v>106</v>
      </c>
      <c r="O154" s="117"/>
      <c r="P154" s="58"/>
      <c r="Q154" s="67" t="str">
        <f t="shared" si="10"/>
        <v/>
      </c>
      <c r="R154" s="50" t="str">
        <f t="shared" si="11"/>
        <v/>
      </c>
      <c r="S154" s="50" t="str">
        <f t="shared" si="12"/>
        <v/>
      </c>
    </row>
    <row r="155" spans="1:19">
      <c r="A155" s="57">
        <f t="shared" si="13"/>
        <v>142</v>
      </c>
      <c r="B155" s="69"/>
      <c r="C155" s="69"/>
      <c r="D155" s="69"/>
      <c r="E155" s="69"/>
      <c r="F155" s="69"/>
      <c r="G155" s="69"/>
      <c r="H155" s="69"/>
      <c r="I155" s="158"/>
      <c r="J155" s="68"/>
      <c r="K155" s="66"/>
      <c r="L155" s="158"/>
      <c r="M155" s="66"/>
      <c r="N155" s="66" t="s">
        <v>106</v>
      </c>
      <c r="O155" s="117"/>
      <c r="P155" s="58"/>
      <c r="Q155" s="67" t="str">
        <f t="shared" si="10"/>
        <v/>
      </c>
      <c r="R155" s="50" t="str">
        <f t="shared" si="11"/>
        <v/>
      </c>
      <c r="S155" s="50" t="str">
        <f t="shared" si="12"/>
        <v/>
      </c>
    </row>
    <row r="156" spans="1:19">
      <c r="A156" s="57">
        <f t="shared" si="13"/>
        <v>143</v>
      </c>
      <c r="B156" s="69"/>
      <c r="C156" s="69"/>
      <c r="D156" s="69"/>
      <c r="E156" s="69"/>
      <c r="F156" s="69"/>
      <c r="G156" s="69"/>
      <c r="H156" s="69"/>
      <c r="I156" s="158"/>
      <c r="J156" s="68"/>
      <c r="K156" s="66"/>
      <c r="L156" s="158"/>
      <c r="M156" s="66"/>
      <c r="N156" s="66" t="s">
        <v>106</v>
      </c>
      <c r="O156" s="117"/>
      <c r="P156" s="58"/>
      <c r="Q156" s="67" t="str">
        <f t="shared" si="10"/>
        <v/>
      </c>
      <c r="R156" s="50" t="str">
        <f t="shared" si="11"/>
        <v/>
      </c>
      <c r="S156" s="50" t="str">
        <f t="shared" si="12"/>
        <v/>
      </c>
    </row>
    <row r="157" spans="1:19">
      <c r="A157" s="57">
        <f t="shared" si="13"/>
        <v>144</v>
      </c>
      <c r="B157" s="69"/>
      <c r="C157" s="69"/>
      <c r="D157" s="69"/>
      <c r="E157" s="69"/>
      <c r="F157" s="69"/>
      <c r="G157" s="69"/>
      <c r="H157" s="69"/>
      <c r="I157" s="158"/>
      <c r="J157" s="68"/>
      <c r="K157" s="66"/>
      <c r="L157" s="158"/>
      <c r="M157" s="66"/>
      <c r="N157" s="66" t="s">
        <v>106</v>
      </c>
      <c r="O157" s="117"/>
      <c r="P157" s="58"/>
      <c r="Q157" s="67" t="str">
        <f t="shared" si="10"/>
        <v/>
      </c>
      <c r="R157" s="50" t="str">
        <f t="shared" si="11"/>
        <v/>
      </c>
      <c r="S157" s="50" t="str">
        <f t="shared" si="12"/>
        <v/>
      </c>
    </row>
    <row r="158" spans="1:19">
      <c r="A158" s="57">
        <f t="shared" si="13"/>
        <v>145</v>
      </c>
      <c r="B158" s="69"/>
      <c r="C158" s="69"/>
      <c r="D158" s="69"/>
      <c r="E158" s="69"/>
      <c r="F158" s="69"/>
      <c r="G158" s="69"/>
      <c r="H158" s="69"/>
      <c r="I158" s="158"/>
      <c r="J158" s="68"/>
      <c r="K158" s="66"/>
      <c r="L158" s="158"/>
      <c r="M158" s="66"/>
      <c r="N158" s="66" t="s">
        <v>106</v>
      </c>
      <c r="O158" s="117"/>
      <c r="P158" s="58"/>
      <c r="Q158" s="67" t="str">
        <f t="shared" si="10"/>
        <v/>
      </c>
      <c r="R158" s="50" t="str">
        <f t="shared" si="11"/>
        <v/>
      </c>
      <c r="S158" s="50" t="str">
        <f t="shared" si="12"/>
        <v/>
      </c>
    </row>
    <row r="159" spans="1:19">
      <c r="A159" s="57">
        <f t="shared" si="13"/>
        <v>146</v>
      </c>
      <c r="B159" s="69"/>
      <c r="C159" s="69"/>
      <c r="D159" s="69"/>
      <c r="E159" s="69"/>
      <c r="F159" s="69"/>
      <c r="G159" s="69"/>
      <c r="H159" s="69"/>
      <c r="I159" s="158"/>
      <c r="J159" s="68"/>
      <c r="K159" s="66"/>
      <c r="L159" s="158"/>
      <c r="M159" s="66"/>
      <c r="N159" s="66" t="s">
        <v>106</v>
      </c>
      <c r="O159" s="117"/>
      <c r="P159" s="58"/>
      <c r="Q159" s="67" t="str">
        <f t="shared" si="10"/>
        <v/>
      </c>
      <c r="R159" s="50" t="str">
        <f t="shared" si="11"/>
        <v/>
      </c>
      <c r="S159" s="50" t="str">
        <f t="shared" si="12"/>
        <v/>
      </c>
    </row>
    <row r="160" spans="1:19">
      <c r="A160" s="57">
        <f t="shared" si="13"/>
        <v>147</v>
      </c>
      <c r="B160" s="69"/>
      <c r="C160" s="69"/>
      <c r="D160" s="69"/>
      <c r="E160" s="69"/>
      <c r="F160" s="69"/>
      <c r="G160" s="69"/>
      <c r="H160" s="69"/>
      <c r="I160" s="158"/>
      <c r="J160" s="68"/>
      <c r="K160" s="66"/>
      <c r="L160" s="158"/>
      <c r="M160" s="66"/>
      <c r="N160" s="66" t="s">
        <v>106</v>
      </c>
      <c r="O160" s="117"/>
      <c r="P160" s="58"/>
      <c r="Q160" s="67" t="str">
        <f t="shared" si="10"/>
        <v/>
      </c>
      <c r="R160" s="50" t="str">
        <f t="shared" si="11"/>
        <v/>
      </c>
      <c r="S160" s="50" t="str">
        <f t="shared" si="12"/>
        <v/>
      </c>
    </row>
    <row r="161" spans="1:19">
      <c r="A161" s="57">
        <f t="shared" si="13"/>
        <v>148</v>
      </c>
      <c r="B161" s="69"/>
      <c r="C161" s="69"/>
      <c r="D161" s="69"/>
      <c r="E161" s="69"/>
      <c r="F161" s="69"/>
      <c r="G161" s="69"/>
      <c r="H161" s="69"/>
      <c r="I161" s="158"/>
      <c r="J161" s="68"/>
      <c r="K161" s="66"/>
      <c r="L161" s="158"/>
      <c r="M161" s="66"/>
      <c r="N161" s="66" t="s">
        <v>106</v>
      </c>
      <c r="O161" s="117"/>
      <c r="P161" s="58"/>
      <c r="Q161" s="67" t="str">
        <f t="shared" si="10"/>
        <v/>
      </c>
      <c r="R161" s="50" t="str">
        <f t="shared" si="11"/>
        <v/>
      </c>
      <c r="S161" s="50" t="str">
        <f t="shared" si="12"/>
        <v/>
      </c>
    </row>
    <row r="162" spans="1:19">
      <c r="A162" s="57">
        <f t="shared" si="13"/>
        <v>149</v>
      </c>
      <c r="B162" s="69"/>
      <c r="C162" s="69"/>
      <c r="D162" s="69"/>
      <c r="E162" s="69"/>
      <c r="F162" s="69"/>
      <c r="G162" s="69"/>
      <c r="H162" s="69"/>
      <c r="I162" s="158"/>
      <c r="J162" s="68"/>
      <c r="K162" s="66"/>
      <c r="L162" s="158"/>
      <c r="M162" s="66"/>
      <c r="N162" s="66" t="s">
        <v>106</v>
      </c>
      <c r="O162" s="117"/>
      <c r="P162" s="58"/>
      <c r="Q162" s="67" t="str">
        <f t="shared" si="10"/>
        <v/>
      </c>
      <c r="R162" s="50" t="str">
        <f t="shared" si="11"/>
        <v/>
      </c>
      <c r="S162" s="50" t="str">
        <f t="shared" si="12"/>
        <v/>
      </c>
    </row>
    <row r="163" spans="1:19">
      <c r="A163" s="57">
        <f t="shared" si="13"/>
        <v>150</v>
      </c>
      <c r="B163" s="69"/>
      <c r="C163" s="69"/>
      <c r="D163" s="69"/>
      <c r="E163" s="69"/>
      <c r="F163" s="69"/>
      <c r="G163" s="69"/>
      <c r="H163" s="69"/>
      <c r="I163" s="158"/>
      <c r="J163" s="68"/>
      <c r="K163" s="66"/>
      <c r="L163" s="158"/>
      <c r="M163" s="66"/>
      <c r="N163" s="66" t="s">
        <v>106</v>
      </c>
      <c r="O163" s="117"/>
      <c r="P163" s="58"/>
      <c r="Q163" s="67" t="str">
        <f t="shared" si="10"/>
        <v/>
      </c>
      <c r="R163" s="50" t="str">
        <f t="shared" si="11"/>
        <v/>
      </c>
      <c r="S163" s="50" t="str">
        <f t="shared" si="12"/>
        <v/>
      </c>
    </row>
    <row r="164" spans="1:19">
      <c r="A164" s="57">
        <f t="shared" si="13"/>
        <v>151</v>
      </c>
      <c r="B164" s="69"/>
      <c r="C164" s="69"/>
      <c r="D164" s="69"/>
      <c r="E164" s="69"/>
      <c r="F164" s="69"/>
      <c r="G164" s="69"/>
      <c r="H164" s="69"/>
      <c r="I164" s="158"/>
      <c r="J164" s="68"/>
      <c r="K164" s="66"/>
      <c r="L164" s="158"/>
      <c r="M164" s="66"/>
      <c r="N164" s="66" t="s">
        <v>106</v>
      </c>
      <c r="O164" s="117"/>
      <c r="P164" s="58"/>
      <c r="Q164" s="67" t="str">
        <f t="shared" si="10"/>
        <v/>
      </c>
      <c r="R164" s="50" t="str">
        <f t="shared" si="11"/>
        <v/>
      </c>
      <c r="S164" s="50" t="str">
        <f t="shared" si="12"/>
        <v/>
      </c>
    </row>
    <row r="165" spans="1:19">
      <c r="A165" s="57">
        <f t="shared" si="13"/>
        <v>152</v>
      </c>
      <c r="B165" s="69"/>
      <c r="C165" s="69"/>
      <c r="D165" s="69"/>
      <c r="E165" s="69"/>
      <c r="F165" s="69"/>
      <c r="G165" s="69"/>
      <c r="H165" s="69"/>
      <c r="I165" s="158"/>
      <c r="J165" s="68"/>
      <c r="K165" s="66"/>
      <c r="L165" s="158"/>
      <c r="M165" s="66"/>
      <c r="N165" s="66" t="s">
        <v>106</v>
      </c>
      <c r="O165" s="117"/>
      <c r="P165" s="58"/>
      <c r="Q165" s="67" t="str">
        <f t="shared" si="10"/>
        <v/>
      </c>
      <c r="R165" s="50" t="str">
        <f t="shared" si="11"/>
        <v/>
      </c>
      <c r="S165" s="50" t="str">
        <f t="shared" si="12"/>
        <v/>
      </c>
    </row>
    <row r="166" spans="1:19">
      <c r="A166" s="57">
        <f t="shared" si="13"/>
        <v>153</v>
      </c>
      <c r="B166" s="69"/>
      <c r="C166" s="69"/>
      <c r="D166" s="69"/>
      <c r="E166" s="69"/>
      <c r="F166" s="69"/>
      <c r="G166" s="69"/>
      <c r="H166" s="69"/>
      <c r="I166" s="158"/>
      <c r="J166" s="68"/>
      <c r="K166" s="66"/>
      <c r="L166" s="158"/>
      <c r="M166" s="66"/>
      <c r="N166" s="66" t="s">
        <v>106</v>
      </c>
      <c r="O166" s="117"/>
      <c r="P166" s="58"/>
      <c r="Q166" s="67" t="str">
        <f t="shared" si="10"/>
        <v/>
      </c>
      <c r="R166" s="50" t="str">
        <f t="shared" si="11"/>
        <v/>
      </c>
      <c r="S166" s="50" t="str">
        <f t="shared" si="12"/>
        <v/>
      </c>
    </row>
    <row r="167" spans="1:19">
      <c r="A167" s="57">
        <f t="shared" si="13"/>
        <v>154</v>
      </c>
      <c r="B167" s="69"/>
      <c r="C167" s="69"/>
      <c r="D167" s="69"/>
      <c r="E167" s="69"/>
      <c r="F167" s="69"/>
      <c r="G167" s="69"/>
      <c r="H167" s="69"/>
      <c r="I167" s="158"/>
      <c r="J167" s="68"/>
      <c r="K167" s="66"/>
      <c r="L167" s="158"/>
      <c r="M167" s="66"/>
      <c r="N167" s="66" t="s">
        <v>106</v>
      </c>
      <c r="O167" s="117"/>
      <c r="P167" s="58"/>
      <c r="Q167" s="67" t="str">
        <f t="shared" si="10"/>
        <v/>
      </c>
      <c r="R167" s="50" t="str">
        <f t="shared" si="11"/>
        <v/>
      </c>
      <c r="S167" s="50" t="str">
        <f t="shared" si="12"/>
        <v/>
      </c>
    </row>
    <row r="168" spans="1:19">
      <c r="A168" s="57">
        <f t="shared" si="13"/>
        <v>155</v>
      </c>
      <c r="B168" s="69"/>
      <c r="C168" s="69"/>
      <c r="D168" s="69"/>
      <c r="E168" s="69"/>
      <c r="F168" s="69"/>
      <c r="G168" s="69"/>
      <c r="H168" s="69"/>
      <c r="I168" s="158"/>
      <c r="J168" s="68"/>
      <c r="K168" s="66"/>
      <c r="L168" s="158"/>
      <c r="M168" s="66"/>
      <c r="N168" s="66" t="s">
        <v>106</v>
      </c>
      <c r="O168" s="117"/>
      <c r="P168" s="58"/>
      <c r="Q168" s="67" t="str">
        <f t="shared" si="10"/>
        <v/>
      </c>
      <c r="R168" s="50" t="str">
        <f t="shared" si="11"/>
        <v/>
      </c>
      <c r="S168" s="50" t="str">
        <f t="shared" si="12"/>
        <v/>
      </c>
    </row>
    <row r="169" spans="1:19">
      <c r="A169" s="57">
        <f t="shared" si="13"/>
        <v>156</v>
      </c>
      <c r="B169" s="69"/>
      <c r="C169" s="69"/>
      <c r="D169" s="69"/>
      <c r="E169" s="69"/>
      <c r="F169" s="69"/>
      <c r="G169" s="69"/>
      <c r="H169" s="69"/>
      <c r="I169" s="158"/>
      <c r="J169" s="68"/>
      <c r="K169" s="66"/>
      <c r="L169" s="158"/>
      <c r="M169" s="66"/>
      <c r="N169" s="66" t="s">
        <v>106</v>
      </c>
      <c r="O169" s="117"/>
      <c r="P169" s="58"/>
      <c r="Q169" s="67" t="str">
        <f t="shared" si="10"/>
        <v/>
      </c>
      <c r="R169" s="50" t="str">
        <f t="shared" si="11"/>
        <v/>
      </c>
      <c r="S169" s="50" t="str">
        <f t="shared" si="12"/>
        <v/>
      </c>
    </row>
    <row r="170" spans="1:19">
      <c r="A170" s="57">
        <f t="shared" si="13"/>
        <v>157</v>
      </c>
      <c r="B170" s="69"/>
      <c r="C170" s="69"/>
      <c r="D170" s="69"/>
      <c r="E170" s="69"/>
      <c r="F170" s="69"/>
      <c r="G170" s="69"/>
      <c r="H170" s="69"/>
      <c r="I170" s="158"/>
      <c r="J170" s="68"/>
      <c r="K170" s="66"/>
      <c r="L170" s="158"/>
      <c r="M170" s="66"/>
      <c r="N170" s="66" t="s">
        <v>106</v>
      </c>
      <c r="O170" s="117"/>
      <c r="P170" s="58"/>
      <c r="Q170" s="67" t="str">
        <f t="shared" si="10"/>
        <v/>
      </c>
      <c r="R170" s="50" t="str">
        <f t="shared" si="11"/>
        <v/>
      </c>
      <c r="S170" s="50" t="str">
        <f t="shared" si="12"/>
        <v/>
      </c>
    </row>
    <row r="171" spans="1:19">
      <c r="A171" s="57">
        <f t="shared" si="13"/>
        <v>158</v>
      </c>
      <c r="B171" s="69"/>
      <c r="C171" s="69"/>
      <c r="D171" s="69"/>
      <c r="E171" s="69"/>
      <c r="F171" s="69"/>
      <c r="G171" s="69"/>
      <c r="H171" s="69"/>
      <c r="I171" s="158"/>
      <c r="J171" s="68"/>
      <c r="K171" s="66"/>
      <c r="L171" s="158"/>
      <c r="M171" s="66"/>
      <c r="N171" s="66" t="s">
        <v>106</v>
      </c>
      <c r="O171" s="117"/>
      <c r="P171" s="58"/>
      <c r="Q171" s="67" t="str">
        <f t="shared" si="10"/>
        <v/>
      </c>
      <c r="R171" s="50" t="str">
        <f t="shared" si="11"/>
        <v/>
      </c>
      <c r="S171" s="50" t="str">
        <f t="shared" si="12"/>
        <v/>
      </c>
    </row>
    <row r="172" spans="1:19">
      <c r="A172" s="57">
        <f t="shared" si="13"/>
        <v>159</v>
      </c>
      <c r="B172" s="69"/>
      <c r="C172" s="69"/>
      <c r="D172" s="69"/>
      <c r="E172" s="69"/>
      <c r="F172" s="69"/>
      <c r="G172" s="69"/>
      <c r="H172" s="69"/>
      <c r="I172" s="158"/>
      <c r="J172" s="68"/>
      <c r="K172" s="66"/>
      <c r="L172" s="158"/>
      <c r="M172" s="66"/>
      <c r="N172" s="66" t="s">
        <v>106</v>
      </c>
      <c r="O172" s="117"/>
      <c r="P172" s="58"/>
      <c r="Q172" s="67" t="str">
        <f t="shared" si="10"/>
        <v/>
      </c>
      <c r="R172" s="50" t="str">
        <f t="shared" si="11"/>
        <v/>
      </c>
      <c r="S172" s="50" t="str">
        <f t="shared" si="12"/>
        <v/>
      </c>
    </row>
    <row r="173" spans="1:19">
      <c r="A173" s="57">
        <f t="shared" si="13"/>
        <v>160</v>
      </c>
      <c r="B173" s="69"/>
      <c r="C173" s="69"/>
      <c r="D173" s="69"/>
      <c r="E173" s="69"/>
      <c r="F173" s="69"/>
      <c r="G173" s="69"/>
      <c r="H173" s="69"/>
      <c r="I173" s="158"/>
      <c r="J173" s="68"/>
      <c r="K173" s="66"/>
      <c r="L173" s="158"/>
      <c r="M173" s="66"/>
      <c r="N173" s="66" t="s">
        <v>106</v>
      </c>
      <c r="O173" s="117"/>
      <c r="P173" s="58"/>
      <c r="Q173" s="67" t="str">
        <f t="shared" si="10"/>
        <v/>
      </c>
      <c r="R173" s="50" t="str">
        <f t="shared" si="11"/>
        <v/>
      </c>
      <c r="S173" s="50" t="str">
        <f t="shared" si="12"/>
        <v/>
      </c>
    </row>
    <row r="174" spans="1:19">
      <c r="A174" s="57">
        <f t="shared" si="13"/>
        <v>161</v>
      </c>
      <c r="B174" s="69"/>
      <c r="C174" s="69"/>
      <c r="D174" s="69"/>
      <c r="E174" s="69"/>
      <c r="F174" s="69"/>
      <c r="G174" s="69"/>
      <c r="H174" s="69"/>
      <c r="I174" s="158"/>
      <c r="J174" s="68"/>
      <c r="K174" s="66"/>
      <c r="L174" s="158"/>
      <c r="M174" s="66"/>
      <c r="N174" s="66" t="s">
        <v>106</v>
      </c>
      <c r="O174" s="117"/>
      <c r="P174" s="58"/>
      <c r="Q174" s="67" t="str">
        <f t="shared" si="10"/>
        <v/>
      </c>
      <c r="R174" s="50" t="str">
        <f t="shared" si="11"/>
        <v/>
      </c>
      <c r="S174" s="50" t="str">
        <f t="shared" si="12"/>
        <v/>
      </c>
    </row>
    <row r="175" spans="1:19">
      <c r="A175" s="57">
        <f t="shared" si="13"/>
        <v>162</v>
      </c>
      <c r="B175" s="69"/>
      <c r="C175" s="69"/>
      <c r="D175" s="69"/>
      <c r="E175" s="69"/>
      <c r="F175" s="69"/>
      <c r="G175" s="69"/>
      <c r="H175" s="69"/>
      <c r="I175" s="158"/>
      <c r="J175" s="68"/>
      <c r="K175" s="66"/>
      <c r="L175" s="158"/>
      <c r="M175" s="66"/>
      <c r="N175" s="66" t="s">
        <v>106</v>
      </c>
      <c r="O175" s="117"/>
      <c r="P175" s="58"/>
      <c r="Q175" s="67" t="str">
        <f t="shared" si="10"/>
        <v/>
      </c>
      <c r="R175" s="50" t="str">
        <f t="shared" si="11"/>
        <v/>
      </c>
      <c r="S175" s="50" t="str">
        <f t="shared" si="12"/>
        <v/>
      </c>
    </row>
    <row r="176" spans="1:19">
      <c r="A176" s="57">
        <f t="shared" si="13"/>
        <v>163</v>
      </c>
      <c r="B176" s="69"/>
      <c r="C176" s="69"/>
      <c r="D176" s="69"/>
      <c r="E176" s="69"/>
      <c r="F176" s="69"/>
      <c r="G176" s="69"/>
      <c r="H176" s="69"/>
      <c r="I176" s="158"/>
      <c r="J176" s="68"/>
      <c r="K176" s="66"/>
      <c r="L176" s="158"/>
      <c r="M176" s="66"/>
      <c r="N176" s="66" t="s">
        <v>106</v>
      </c>
      <c r="O176" s="117"/>
      <c r="P176" s="58"/>
      <c r="Q176" s="67" t="str">
        <f t="shared" si="10"/>
        <v/>
      </c>
      <c r="R176" s="50" t="str">
        <f t="shared" si="11"/>
        <v/>
      </c>
      <c r="S176" s="50" t="str">
        <f t="shared" si="12"/>
        <v/>
      </c>
    </row>
    <row r="177" spans="1:19">
      <c r="A177" s="57">
        <f t="shared" si="13"/>
        <v>164</v>
      </c>
      <c r="B177" s="69"/>
      <c r="C177" s="69"/>
      <c r="D177" s="69"/>
      <c r="E177" s="69"/>
      <c r="F177" s="69"/>
      <c r="G177" s="69"/>
      <c r="H177" s="69"/>
      <c r="I177" s="158"/>
      <c r="J177" s="68"/>
      <c r="K177" s="66"/>
      <c r="L177" s="158"/>
      <c r="M177" s="66"/>
      <c r="N177" s="66" t="s">
        <v>106</v>
      </c>
      <c r="O177" s="117"/>
      <c r="P177" s="58"/>
      <c r="Q177" s="67" t="str">
        <f t="shared" si="10"/>
        <v/>
      </c>
      <c r="R177" s="50" t="str">
        <f t="shared" si="11"/>
        <v/>
      </c>
      <c r="S177" s="50" t="str">
        <f t="shared" si="12"/>
        <v/>
      </c>
    </row>
    <row r="178" spans="1:19">
      <c r="A178" s="57">
        <f t="shared" si="13"/>
        <v>165</v>
      </c>
      <c r="B178" s="69"/>
      <c r="C178" s="69"/>
      <c r="D178" s="69"/>
      <c r="E178" s="69"/>
      <c r="F178" s="69"/>
      <c r="G178" s="69"/>
      <c r="H178" s="69"/>
      <c r="I178" s="158"/>
      <c r="J178" s="68"/>
      <c r="K178" s="66"/>
      <c r="L178" s="158"/>
      <c r="M178" s="66"/>
      <c r="N178" s="66" t="s">
        <v>106</v>
      </c>
      <c r="O178" s="117"/>
      <c r="P178" s="58"/>
      <c r="Q178" s="67" t="str">
        <f t="shared" si="10"/>
        <v/>
      </c>
      <c r="R178" s="50" t="str">
        <f t="shared" si="11"/>
        <v/>
      </c>
      <c r="S178" s="50" t="str">
        <f t="shared" si="12"/>
        <v/>
      </c>
    </row>
    <row r="179" spans="1:19">
      <c r="A179" s="57">
        <f t="shared" si="13"/>
        <v>166</v>
      </c>
      <c r="B179" s="69"/>
      <c r="C179" s="69"/>
      <c r="D179" s="69"/>
      <c r="E179" s="69"/>
      <c r="F179" s="69"/>
      <c r="G179" s="69"/>
      <c r="H179" s="69"/>
      <c r="I179" s="158"/>
      <c r="J179" s="68"/>
      <c r="K179" s="66"/>
      <c r="L179" s="158"/>
      <c r="M179" s="66"/>
      <c r="N179" s="66" t="s">
        <v>106</v>
      </c>
      <c r="O179" s="117"/>
      <c r="P179" s="58"/>
      <c r="Q179" s="67" t="str">
        <f t="shared" si="10"/>
        <v/>
      </c>
      <c r="R179" s="50" t="str">
        <f t="shared" si="11"/>
        <v/>
      </c>
      <c r="S179" s="50" t="str">
        <f t="shared" si="12"/>
        <v/>
      </c>
    </row>
    <row r="180" spans="1:19">
      <c r="A180" s="57">
        <f t="shared" si="13"/>
        <v>167</v>
      </c>
      <c r="B180" s="69"/>
      <c r="C180" s="69"/>
      <c r="D180" s="69"/>
      <c r="E180" s="69"/>
      <c r="F180" s="69"/>
      <c r="G180" s="69"/>
      <c r="H180" s="69"/>
      <c r="I180" s="158"/>
      <c r="J180" s="68"/>
      <c r="K180" s="66"/>
      <c r="L180" s="158"/>
      <c r="M180" s="66"/>
      <c r="N180" s="66" t="s">
        <v>106</v>
      </c>
      <c r="O180" s="117"/>
      <c r="P180" s="58"/>
      <c r="Q180" s="67" t="str">
        <f t="shared" si="10"/>
        <v/>
      </c>
      <c r="R180" s="50" t="str">
        <f t="shared" si="11"/>
        <v/>
      </c>
      <c r="S180" s="50" t="str">
        <f t="shared" si="12"/>
        <v/>
      </c>
    </row>
    <row r="181" spans="1:19">
      <c r="A181" s="57">
        <f t="shared" si="13"/>
        <v>168</v>
      </c>
      <c r="B181" s="69"/>
      <c r="C181" s="69"/>
      <c r="D181" s="69"/>
      <c r="E181" s="69"/>
      <c r="F181" s="69"/>
      <c r="G181" s="69"/>
      <c r="H181" s="69"/>
      <c r="I181" s="158"/>
      <c r="J181" s="68"/>
      <c r="K181" s="66"/>
      <c r="L181" s="158"/>
      <c r="M181" s="66"/>
      <c r="N181" s="66" t="s">
        <v>106</v>
      </c>
      <c r="O181" s="117"/>
      <c r="P181" s="58"/>
      <c r="Q181" s="67" t="str">
        <f t="shared" si="10"/>
        <v/>
      </c>
      <c r="R181" s="50" t="str">
        <f t="shared" si="11"/>
        <v/>
      </c>
      <c r="S181" s="50" t="str">
        <f t="shared" si="12"/>
        <v/>
      </c>
    </row>
    <row r="182" spans="1:19">
      <c r="A182" s="57">
        <f t="shared" si="13"/>
        <v>169</v>
      </c>
      <c r="B182" s="69"/>
      <c r="C182" s="69"/>
      <c r="D182" s="69"/>
      <c r="E182" s="69"/>
      <c r="F182" s="69"/>
      <c r="G182" s="69"/>
      <c r="H182" s="69"/>
      <c r="I182" s="158"/>
      <c r="J182" s="68"/>
      <c r="K182" s="66"/>
      <c r="L182" s="158"/>
      <c r="M182" s="66"/>
      <c r="N182" s="66" t="s">
        <v>106</v>
      </c>
      <c r="O182" s="117"/>
      <c r="P182" s="58"/>
      <c r="Q182" s="67" t="str">
        <f t="shared" si="10"/>
        <v/>
      </c>
      <c r="R182" s="50" t="str">
        <f t="shared" si="11"/>
        <v/>
      </c>
      <c r="S182" s="50" t="str">
        <f t="shared" si="12"/>
        <v/>
      </c>
    </row>
    <row r="183" spans="1:19">
      <c r="A183" s="57">
        <f t="shared" si="13"/>
        <v>170</v>
      </c>
      <c r="B183" s="69"/>
      <c r="C183" s="69"/>
      <c r="D183" s="69"/>
      <c r="E183" s="69"/>
      <c r="F183" s="69"/>
      <c r="G183" s="69"/>
      <c r="H183" s="69"/>
      <c r="I183" s="158"/>
      <c r="J183" s="68"/>
      <c r="K183" s="66"/>
      <c r="L183" s="158"/>
      <c r="M183" s="66"/>
      <c r="N183" s="66" t="s">
        <v>106</v>
      </c>
      <c r="O183" s="117"/>
      <c r="P183" s="58"/>
      <c r="Q183" s="67" t="str">
        <f t="shared" si="10"/>
        <v/>
      </c>
      <c r="R183" s="50" t="str">
        <f t="shared" si="11"/>
        <v/>
      </c>
      <c r="S183" s="50" t="str">
        <f t="shared" si="12"/>
        <v/>
      </c>
    </row>
    <row r="184" spans="1:19">
      <c r="A184" s="57">
        <f t="shared" si="13"/>
        <v>171</v>
      </c>
      <c r="B184" s="69"/>
      <c r="C184" s="69"/>
      <c r="D184" s="69"/>
      <c r="E184" s="69"/>
      <c r="F184" s="69"/>
      <c r="G184" s="69"/>
      <c r="H184" s="69"/>
      <c r="I184" s="158"/>
      <c r="J184" s="68"/>
      <c r="K184" s="66"/>
      <c r="L184" s="158"/>
      <c r="M184" s="66"/>
      <c r="N184" s="66" t="s">
        <v>106</v>
      </c>
      <c r="O184" s="117"/>
      <c r="P184" s="58"/>
      <c r="Q184" s="67" t="str">
        <f t="shared" si="10"/>
        <v/>
      </c>
      <c r="R184" s="50" t="str">
        <f t="shared" si="11"/>
        <v/>
      </c>
      <c r="S184" s="50" t="str">
        <f t="shared" si="12"/>
        <v/>
      </c>
    </row>
    <row r="185" spans="1:19">
      <c r="A185" s="57">
        <f t="shared" si="13"/>
        <v>172</v>
      </c>
      <c r="B185" s="69"/>
      <c r="C185" s="69"/>
      <c r="D185" s="69"/>
      <c r="E185" s="69"/>
      <c r="F185" s="69"/>
      <c r="G185" s="69"/>
      <c r="H185" s="69"/>
      <c r="I185" s="158"/>
      <c r="J185" s="68"/>
      <c r="K185" s="66"/>
      <c r="L185" s="158"/>
      <c r="M185" s="66"/>
      <c r="N185" s="66" t="s">
        <v>106</v>
      </c>
      <c r="O185" s="117"/>
      <c r="P185" s="58"/>
      <c r="Q185" s="67" t="str">
        <f t="shared" si="10"/>
        <v/>
      </c>
      <c r="R185" s="50" t="str">
        <f t="shared" si="11"/>
        <v/>
      </c>
      <c r="S185" s="50" t="str">
        <f t="shared" si="12"/>
        <v/>
      </c>
    </row>
    <row r="186" spans="1:19">
      <c r="A186" s="57">
        <f t="shared" si="13"/>
        <v>173</v>
      </c>
      <c r="B186" s="69"/>
      <c r="C186" s="69"/>
      <c r="D186" s="69"/>
      <c r="E186" s="69"/>
      <c r="F186" s="69"/>
      <c r="G186" s="69"/>
      <c r="H186" s="69"/>
      <c r="I186" s="158"/>
      <c r="J186" s="68"/>
      <c r="K186" s="66"/>
      <c r="L186" s="158"/>
      <c r="M186" s="66"/>
      <c r="N186" s="66" t="s">
        <v>106</v>
      </c>
      <c r="O186" s="117"/>
      <c r="P186" s="58"/>
      <c r="Q186" s="67" t="str">
        <f t="shared" si="10"/>
        <v/>
      </c>
      <c r="R186" s="50" t="str">
        <f t="shared" si="11"/>
        <v/>
      </c>
      <c r="S186" s="50" t="str">
        <f t="shared" si="12"/>
        <v/>
      </c>
    </row>
    <row r="187" spans="1:19">
      <c r="A187" s="57">
        <f t="shared" si="13"/>
        <v>174</v>
      </c>
      <c r="B187" s="69"/>
      <c r="C187" s="69"/>
      <c r="D187" s="69"/>
      <c r="E187" s="69"/>
      <c r="F187" s="69"/>
      <c r="G187" s="69"/>
      <c r="H187" s="69"/>
      <c r="I187" s="158"/>
      <c r="J187" s="68"/>
      <c r="K187" s="66"/>
      <c r="L187" s="158"/>
      <c r="M187" s="66"/>
      <c r="N187" s="66" t="s">
        <v>106</v>
      </c>
      <c r="O187" s="117"/>
      <c r="P187" s="58"/>
      <c r="Q187" s="67" t="str">
        <f t="shared" si="10"/>
        <v/>
      </c>
      <c r="R187" s="50" t="str">
        <f t="shared" si="11"/>
        <v/>
      </c>
      <c r="S187" s="50" t="str">
        <f t="shared" si="12"/>
        <v/>
      </c>
    </row>
    <row r="188" spans="1:19">
      <c r="A188" s="57">
        <f t="shared" si="13"/>
        <v>175</v>
      </c>
      <c r="B188" s="69"/>
      <c r="C188" s="69"/>
      <c r="D188" s="69"/>
      <c r="E188" s="69"/>
      <c r="F188" s="69"/>
      <c r="G188" s="69"/>
      <c r="H188" s="69"/>
      <c r="I188" s="158"/>
      <c r="J188" s="68"/>
      <c r="K188" s="66"/>
      <c r="L188" s="158"/>
      <c r="M188" s="66"/>
      <c r="N188" s="66" t="s">
        <v>106</v>
      </c>
      <c r="O188" s="117"/>
      <c r="P188" s="58"/>
      <c r="Q188" s="67" t="str">
        <f t="shared" si="10"/>
        <v/>
      </c>
      <c r="R188" s="50" t="str">
        <f t="shared" si="11"/>
        <v/>
      </c>
      <c r="S188" s="50" t="str">
        <f t="shared" si="12"/>
        <v/>
      </c>
    </row>
    <row r="189" spans="1:19">
      <c r="A189" s="57">
        <f t="shared" si="13"/>
        <v>176</v>
      </c>
      <c r="B189" s="69"/>
      <c r="C189" s="69"/>
      <c r="D189" s="69"/>
      <c r="E189" s="69"/>
      <c r="F189" s="69"/>
      <c r="G189" s="69"/>
      <c r="H189" s="69"/>
      <c r="I189" s="158"/>
      <c r="J189" s="68"/>
      <c r="K189" s="66"/>
      <c r="L189" s="158"/>
      <c r="M189" s="66"/>
      <c r="N189" s="66" t="s">
        <v>106</v>
      </c>
      <c r="O189" s="117"/>
      <c r="P189" s="58"/>
      <c r="Q189" s="67" t="str">
        <f t="shared" si="10"/>
        <v/>
      </c>
      <c r="R189" s="50" t="str">
        <f t="shared" si="11"/>
        <v/>
      </c>
      <c r="S189" s="50" t="str">
        <f t="shared" si="12"/>
        <v/>
      </c>
    </row>
    <row r="190" spans="1:19">
      <c r="A190" s="57">
        <f t="shared" si="13"/>
        <v>177</v>
      </c>
      <c r="B190" s="69"/>
      <c r="C190" s="69"/>
      <c r="D190" s="69"/>
      <c r="E190" s="69"/>
      <c r="F190" s="69"/>
      <c r="G190" s="69"/>
      <c r="H190" s="69"/>
      <c r="I190" s="158"/>
      <c r="J190" s="68"/>
      <c r="K190" s="66"/>
      <c r="L190" s="158"/>
      <c r="M190" s="66"/>
      <c r="N190" s="66" t="s">
        <v>106</v>
      </c>
      <c r="O190" s="117"/>
      <c r="P190" s="58"/>
      <c r="Q190" s="67" t="str">
        <f t="shared" si="10"/>
        <v/>
      </c>
      <c r="R190" s="50" t="str">
        <f t="shared" si="11"/>
        <v/>
      </c>
      <c r="S190" s="50" t="str">
        <f t="shared" si="12"/>
        <v/>
      </c>
    </row>
    <row r="191" spans="1:19">
      <c r="A191" s="57">
        <f t="shared" si="13"/>
        <v>178</v>
      </c>
      <c r="B191" s="69"/>
      <c r="C191" s="69"/>
      <c r="D191" s="69"/>
      <c r="E191" s="69"/>
      <c r="F191" s="69"/>
      <c r="G191" s="69"/>
      <c r="H191" s="69"/>
      <c r="I191" s="158"/>
      <c r="J191" s="68"/>
      <c r="K191" s="66"/>
      <c r="L191" s="158"/>
      <c r="M191" s="66"/>
      <c r="N191" s="66" t="s">
        <v>106</v>
      </c>
      <c r="O191" s="117"/>
      <c r="P191" s="58"/>
      <c r="Q191" s="67" t="str">
        <f t="shared" si="10"/>
        <v/>
      </c>
      <c r="R191" s="50" t="str">
        <f t="shared" si="11"/>
        <v/>
      </c>
      <c r="S191" s="50" t="str">
        <f t="shared" si="12"/>
        <v/>
      </c>
    </row>
    <row r="192" spans="1:19">
      <c r="A192" s="57">
        <f t="shared" si="13"/>
        <v>179</v>
      </c>
      <c r="B192" s="69"/>
      <c r="C192" s="69"/>
      <c r="D192" s="69"/>
      <c r="E192" s="69"/>
      <c r="F192" s="69"/>
      <c r="G192" s="69"/>
      <c r="H192" s="69"/>
      <c r="I192" s="158"/>
      <c r="J192" s="68"/>
      <c r="K192" s="66"/>
      <c r="L192" s="158"/>
      <c r="M192" s="66"/>
      <c r="N192" s="66" t="s">
        <v>106</v>
      </c>
      <c r="O192" s="117"/>
      <c r="P192" s="58"/>
      <c r="Q192" s="67" t="str">
        <f t="shared" si="10"/>
        <v/>
      </c>
      <c r="R192" s="50" t="str">
        <f t="shared" si="11"/>
        <v/>
      </c>
      <c r="S192" s="50" t="str">
        <f t="shared" si="12"/>
        <v/>
      </c>
    </row>
    <row r="193" spans="1:19">
      <c r="A193" s="57">
        <f t="shared" si="13"/>
        <v>180</v>
      </c>
      <c r="B193" s="69"/>
      <c r="C193" s="69"/>
      <c r="D193" s="69"/>
      <c r="E193" s="69"/>
      <c r="F193" s="69"/>
      <c r="G193" s="69"/>
      <c r="H193" s="69"/>
      <c r="I193" s="158"/>
      <c r="J193" s="68"/>
      <c r="K193" s="66"/>
      <c r="L193" s="158"/>
      <c r="M193" s="66"/>
      <c r="N193" s="66" t="s">
        <v>106</v>
      </c>
      <c r="O193" s="117"/>
      <c r="P193" s="58"/>
      <c r="Q193" s="67" t="str">
        <f t="shared" si="10"/>
        <v/>
      </c>
      <c r="R193" s="50" t="str">
        <f t="shared" si="11"/>
        <v/>
      </c>
      <c r="S193" s="50" t="str">
        <f t="shared" si="12"/>
        <v/>
      </c>
    </row>
    <row r="194" spans="1:19">
      <c r="A194" s="57">
        <f t="shared" si="13"/>
        <v>181</v>
      </c>
      <c r="B194" s="69"/>
      <c r="C194" s="69"/>
      <c r="D194" s="69"/>
      <c r="E194" s="69"/>
      <c r="F194" s="69"/>
      <c r="G194" s="69"/>
      <c r="H194" s="69"/>
      <c r="I194" s="158"/>
      <c r="J194" s="68"/>
      <c r="K194" s="66"/>
      <c r="L194" s="158"/>
      <c r="M194" s="66"/>
      <c r="N194" s="66" t="s">
        <v>106</v>
      </c>
      <c r="O194" s="117"/>
      <c r="P194" s="58"/>
      <c r="Q194" s="67" t="str">
        <f t="shared" si="10"/>
        <v/>
      </c>
      <c r="R194" s="50" t="str">
        <f t="shared" si="11"/>
        <v/>
      </c>
      <c r="S194" s="50" t="str">
        <f t="shared" si="12"/>
        <v/>
      </c>
    </row>
    <row r="195" spans="1:19">
      <c r="A195" s="57">
        <f t="shared" si="13"/>
        <v>182</v>
      </c>
      <c r="B195" s="69"/>
      <c r="C195" s="69"/>
      <c r="D195" s="69"/>
      <c r="E195" s="69"/>
      <c r="F195" s="69"/>
      <c r="G195" s="69"/>
      <c r="H195" s="69"/>
      <c r="I195" s="158"/>
      <c r="J195" s="68"/>
      <c r="K195" s="66"/>
      <c r="L195" s="158"/>
      <c r="M195" s="66"/>
      <c r="N195" s="66" t="s">
        <v>106</v>
      </c>
      <c r="O195" s="117"/>
      <c r="P195" s="58"/>
      <c r="Q195" s="67" t="str">
        <f t="shared" si="10"/>
        <v/>
      </c>
      <c r="R195" s="50" t="str">
        <f t="shared" si="11"/>
        <v/>
      </c>
      <c r="S195" s="50" t="str">
        <f t="shared" si="12"/>
        <v/>
      </c>
    </row>
    <row r="196" spans="1:19">
      <c r="A196" s="57">
        <f t="shared" si="13"/>
        <v>183</v>
      </c>
      <c r="B196" s="69"/>
      <c r="C196" s="69"/>
      <c r="D196" s="69"/>
      <c r="E196" s="69"/>
      <c r="F196" s="69"/>
      <c r="G196" s="69"/>
      <c r="H196" s="69"/>
      <c r="I196" s="158"/>
      <c r="J196" s="68"/>
      <c r="K196" s="66"/>
      <c r="L196" s="158"/>
      <c r="M196" s="66"/>
      <c r="N196" s="66" t="s">
        <v>106</v>
      </c>
      <c r="O196" s="117"/>
      <c r="P196" s="58"/>
      <c r="Q196" s="67" t="str">
        <f t="shared" si="10"/>
        <v/>
      </c>
      <c r="R196" s="50" t="str">
        <f t="shared" si="11"/>
        <v/>
      </c>
      <c r="S196" s="50" t="str">
        <f t="shared" si="12"/>
        <v/>
      </c>
    </row>
    <row r="197" spans="1:19">
      <c r="A197" s="57">
        <f t="shared" si="13"/>
        <v>184</v>
      </c>
      <c r="B197" s="69"/>
      <c r="C197" s="69"/>
      <c r="D197" s="69"/>
      <c r="E197" s="69"/>
      <c r="F197" s="69"/>
      <c r="G197" s="69"/>
      <c r="H197" s="69"/>
      <c r="I197" s="158"/>
      <c r="J197" s="68"/>
      <c r="K197" s="66"/>
      <c r="L197" s="158"/>
      <c r="M197" s="66"/>
      <c r="N197" s="66" t="s">
        <v>106</v>
      </c>
      <c r="O197" s="117"/>
      <c r="P197" s="58"/>
      <c r="Q197" s="67" t="str">
        <f t="shared" si="10"/>
        <v/>
      </c>
      <c r="R197" s="50" t="str">
        <f t="shared" si="11"/>
        <v/>
      </c>
      <c r="S197" s="50" t="str">
        <f t="shared" si="12"/>
        <v/>
      </c>
    </row>
    <row r="198" spans="1:19">
      <c r="A198" s="57">
        <f t="shared" si="13"/>
        <v>185</v>
      </c>
      <c r="B198" s="69"/>
      <c r="C198" s="69"/>
      <c r="D198" s="69"/>
      <c r="E198" s="69"/>
      <c r="F198" s="69"/>
      <c r="G198" s="69"/>
      <c r="H198" s="69"/>
      <c r="I198" s="158"/>
      <c r="J198" s="68"/>
      <c r="K198" s="66"/>
      <c r="L198" s="158"/>
      <c r="M198" s="66"/>
      <c r="N198" s="66" t="s">
        <v>106</v>
      </c>
      <c r="O198" s="117"/>
      <c r="P198" s="58"/>
      <c r="Q198" s="67" t="str">
        <f t="shared" si="10"/>
        <v/>
      </c>
      <c r="R198" s="50" t="str">
        <f t="shared" si="11"/>
        <v/>
      </c>
      <c r="S198" s="50" t="str">
        <f t="shared" si="12"/>
        <v/>
      </c>
    </row>
    <row r="199" spans="1:19">
      <c r="A199" s="57">
        <f t="shared" si="13"/>
        <v>186</v>
      </c>
      <c r="B199" s="69"/>
      <c r="C199" s="69"/>
      <c r="D199" s="69"/>
      <c r="E199" s="69"/>
      <c r="F199" s="69"/>
      <c r="G199" s="69"/>
      <c r="H199" s="69"/>
      <c r="I199" s="158"/>
      <c r="J199" s="68"/>
      <c r="K199" s="66"/>
      <c r="L199" s="158"/>
      <c r="M199" s="66"/>
      <c r="N199" s="66" t="s">
        <v>106</v>
      </c>
      <c r="O199" s="117"/>
      <c r="P199" s="58"/>
      <c r="Q199" s="67" t="str">
        <f t="shared" si="10"/>
        <v/>
      </c>
      <c r="R199" s="50" t="str">
        <f t="shared" si="11"/>
        <v/>
      </c>
      <c r="S199" s="50" t="str">
        <f t="shared" si="12"/>
        <v/>
      </c>
    </row>
    <row r="200" spans="1:19">
      <c r="A200" s="57">
        <f t="shared" si="13"/>
        <v>187</v>
      </c>
      <c r="B200" s="69"/>
      <c r="C200" s="69"/>
      <c r="D200" s="69"/>
      <c r="E200" s="69"/>
      <c r="F200" s="69"/>
      <c r="G200" s="69"/>
      <c r="H200" s="69"/>
      <c r="I200" s="158"/>
      <c r="J200" s="68"/>
      <c r="K200" s="66"/>
      <c r="L200" s="158"/>
      <c r="M200" s="66"/>
      <c r="N200" s="66" t="s">
        <v>106</v>
      </c>
      <c r="O200" s="117"/>
      <c r="P200" s="58"/>
      <c r="Q200" s="67" t="str">
        <f t="shared" si="10"/>
        <v/>
      </c>
      <c r="R200" s="50" t="str">
        <f t="shared" si="11"/>
        <v/>
      </c>
      <c r="S200" s="50" t="str">
        <f t="shared" si="12"/>
        <v/>
      </c>
    </row>
    <row r="201" spans="1:19">
      <c r="A201" s="57">
        <f t="shared" si="13"/>
        <v>188</v>
      </c>
      <c r="B201" s="69"/>
      <c r="C201" s="69"/>
      <c r="D201" s="69"/>
      <c r="E201" s="69"/>
      <c r="F201" s="69"/>
      <c r="G201" s="69"/>
      <c r="H201" s="69"/>
      <c r="I201" s="158"/>
      <c r="J201" s="68"/>
      <c r="K201" s="66"/>
      <c r="L201" s="158"/>
      <c r="M201" s="66"/>
      <c r="N201" s="66" t="s">
        <v>106</v>
      </c>
      <c r="O201" s="117"/>
      <c r="P201" s="58"/>
      <c r="Q201" s="67" t="str">
        <f t="shared" si="10"/>
        <v/>
      </c>
      <c r="R201" s="50" t="str">
        <f t="shared" si="11"/>
        <v/>
      </c>
      <c r="S201" s="50" t="str">
        <f t="shared" si="12"/>
        <v/>
      </c>
    </row>
    <row r="202" spans="1:19">
      <c r="A202" s="57">
        <f t="shared" si="13"/>
        <v>189</v>
      </c>
      <c r="B202" s="69"/>
      <c r="C202" s="69"/>
      <c r="D202" s="69"/>
      <c r="E202" s="69"/>
      <c r="F202" s="69"/>
      <c r="G202" s="69"/>
      <c r="H202" s="69"/>
      <c r="I202" s="158"/>
      <c r="J202" s="68"/>
      <c r="K202" s="66"/>
      <c r="L202" s="158"/>
      <c r="M202" s="66"/>
      <c r="N202" s="66" t="s">
        <v>106</v>
      </c>
      <c r="O202" s="117"/>
      <c r="P202" s="58"/>
      <c r="Q202" s="67" t="str">
        <f t="shared" si="10"/>
        <v/>
      </c>
      <c r="R202" s="50" t="str">
        <f t="shared" si="11"/>
        <v/>
      </c>
      <c r="S202" s="50" t="str">
        <f t="shared" si="12"/>
        <v/>
      </c>
    </row>
    <row r="203" spans="1:19">
      <c r="A203" s="57">
        <f t="shared" si="13"/>
        <v>190</v>
      </c>
      <c r="B203" s="69"/>
      <c r="C203" s="69"/>
      <c r="D203" s="69"/>
      <c r="E203" s="69"/>
      <c r="F203" s="69"/>
      <c r="G203" s="69"/>
      <c r="H203" s="69"/>
      <c r="I203" s="158"/>
      <c r="J203" s="68"/>
      <c r="K203" s="66"/>
      <c r="L203" s="158"/>
      <c r="M203" s="66"/>
      <c r="N203" s="66" t="s">
        <v>106</v>
      </c>
      <c r="O203" s="117"/>
      <c r="P203" s="58"/>
      <c r="Q203" s="67" t="str">
        <f t="shared" si="10"/>
        <v/>
      </c>
      <c r="R203" s="50" t="str">
        <f t="shared" si="11"/>
        <v/>
      </c>
      <c r="S203" s="50" t="str">
        <f t="shared" si="12"/>
        <v/>
      </c>
    </row>
    <row r="204" spans="1:19">
      <c r="A204" s="57">
        <f t="shared" si="13"/>
        <v>191</v>
      </c>
      <c r="B204" s="69"/>
      <c r="C204" s="69"/>
      <c r="D204" s="69"/>
      <c r="E204" s="69"/>
      <c r="F204" s="69"/>
      <c r="G204" s="69"/>
      <c r="H204" s="69"/>
      <c r="I204" s="158"/>
      <c r="J204" s="68"/>
      <c r="K204" s="66"/>
      <c r="L204" s="158"/>
      <c r="M204" s="66"/>
      <c r="N204" s="66" t="s">
        <v>106</v>
      </c>
      <c r="O204" s="117"/>
      <c r="P204" s="58"/>
      <c r="Q204" s="67" t="str">
        <f t="shared" si="10"/>
        <v/>
      </c>
      <c r="R204" s="50" t="str">
        <f t="shared" si="11"/>
        <v/>
      </c>
      <c r="S204" s="50" t="str">
        <f t="shared" si="12"/>
        <v/>
      </c>
    </row>
    <row r="205" spans="1:19">
      <c r="A205" s="57">
        <f t="shared" si="13"/>
        <v>192</v>
      </c>
      <c r="B205" s="69"/>
      <c r="C205" s="69"/>
      <c r="D205" s="69"/>
      <c r="E205" s="69"/>
      <c r="F205" s="69"/>
      <c r="G205" s="69"/>
      <c r="H205" s="69"/>
      <c r="I205" s="158"/>
      <c r="J205" s="68"/>
      <c r="K205" s="66"/>
      <c r="L205" s="158"/>
      <c r="M205" s="66"/>
      <c r="N205" s="66" t="s">
        <v>106</v>
      </c>
      <c r="O205" s="117"/>
      <c r="P205" s="58"/>
      <c r="Q205" s="67" t="str">
        <f t="shared" si="10"/>
        <v/>
      </c>
      <c r="R205" s="50" t="str">
        <f t="shared" si="11"/>
        <v/>
      </c>
      <c r="S205" s="50" t="str">
        <f t="shared" si="12"/>
        <v/>
      </c>
    </row>
    <row r="206" spans="1:19">
      <c r="A206" s="57">
        <f t="shared" si="13"/>
        <v>193</v>
      </c>
      <c r="B206" s="69"/>
      <c r="C206" s="69"/>
      <c r="D206" s="69"/>
      <c r="E206" s="69"/>
      <c r="F206" s="69"/>
      <c r="G206" s="69"/>
      <c r="H206" s="69"/>
      <c r="I206" s="158"/>
      <c r="J206" s="68"/>
      <c r="K206" s="66"/>
      <c r="L206" s="158"/>
      <c r="M206" s="66"/>
      <c r="N206" s="66" t="s">
        <v>106</v>
      </c>
      <c r="O206" s="117"/>
      <c r="P206" s="58"/>
      <c r="Q206" s="67" t="str">
        <f t="shared" ref="Q206:Q238" si="14">IF(OR(AND(CodeFileListUsed="Yes",D206="",COUNTA(B206:C206,E206:I206)&lt;&gt;0),AND(COUNTA(B206:C206,E206:I206)&lt;&gt;0, COUNTA(B206:C206,E206:I206)&lt;&gt;COUNTA(B$13:C$13,E$13:I$13))),CheckErr,CheckOK)</f>
        <v/>
      </c>
      <c r="R206" s="50" t="str">
        <f t="shared" ref="R206:R238" si="15">IF(OR(ISBLANK(I206), AND(NOT(ISBLANK(K206)),OR(AND(M206="Accepted",OR(N206="Y",N206="y")),M206="Noted",M206="Duplicate",AND(M206="Rejected",NOT(ISBLANK(L206)))))),CheckOK,CheckErr)</f>
        <v/>
      </c>
      <c r="S206" s="50" t="str">
        <f t="shared" ref="S206:S238" si="16">IF(OR(ISBLANK(I206),NOT(ISBLANK(O206))),CheckOK,CheckErr)</f>
        <v/>
      </c>
    </row>
    <row r="207" spans="1:19">
      <c r="A207" s="57">
        <f t="shared" ref="A207:A238" si="17">A206+1</f>
        <v>194</v>
      </c>
      <c r="B207" s="69"/>
      <c r="C207" s="69"/>
      <c r="D207" s="69"/>
      <c r="E207" s="69"/>
      <c r="F207" s="69"/>
      <c r="G207" s="69"/>
      <c r="H207" s="69"/>
      <c r="I207" s="158"/>
      <c r="J207" s="68"/>
      <c r="K207" s="66"/>
      <c r="L207" s="158"/>
      <c r="M207" s="66"/>
      <c r="N207" s="66" t="s">
        <v>106</v>
      </c>
      <c r="O207" s="117"/>
      <c r="P207" s="58"/>
      <c r="Q207" s="67" t="str">
        <f t="shared" si="14"/>
        <v/>
      </c>
      <c r="R207" s="50" t="str">
        <f t="shared" si="15"/>
        <v/>
      </c>
      <c r="S207" s="50" t="str">
        <f t="shared" si="16"/>
        <v/>
      </c>
    </row>
    <row r="208" spans="1:19">
      <c r="A208" s="57">
        <f t="shared" si="17"/>
        <v>195</v>
      </c>
      <c r="B208" s="69"/>
      <c r="C208" s="69"/>
      <c r="D208" s="69"/>
      <c r="E208" s="69"/>
      <c r="F208" s="69"/>
      <c r="G208" s="69"/>
      <c r="H208" s="69"/>
      <c r="I208" s="158"/>
      <c r="J208" s="68"/>
      <c r="K208" s="66"/>
      <c r="L208" s="158"/>
      <c r="M208" s="66"/>
      <c r="N208" s="66" t="s">
        <v>106</v>
      </c>
      <c r="O208" s="117"/>
      <c r="P208" s="58"/>
      <c r="Q208" s="67" t="str">
        <f t="shared" si="14"/>
        <v/>
      </c>
      <c r="R208" s="50" t="str">
        <f t="shared" si="15"/>
        <v/>
      </c>
      <c r="S208" s="50" t="str">
        <f t="shared" si="16"/>
        <v/>
      </c>
    </row>
    <row r="209" spans="1:19">
      <c r="A209" s="57">
        <f t="shared" si="17"/>
        <v>196</v>
      </c>
      <c r="B209" s="69"/>
      <c r="C209" s="69"/>
      <c r="D209" s="69"/>
      <c r="E209" s="69"/>
      <c r="F209" s="69"/>
      <c r="G209" s="69"/>
      <c r="H209" s="69"/>
      <c r="I209" s="158"/>
      <c r="J209" s="68"/>
      <c r="K209" s="66"/>
      <c r="L209" s="158"/>
      <c r="M209" s="66"/>
      <c r="N209" s="66" t="s">
        <v>106</v>
      </c>
      <c r="O209" s="117"/>
      <c r="P209" s="58"/>
      <c r="Q209" s="67" t="str">
        <f t="shared" si="14"/>
        <v/>
      </c>
      <c r="R209" s="50" t="str">
        <f t="shared" si="15"/>
        <v/>
      </c>
      <c r="S209" s="50" t="str">
        <f t="shared" si="16"/>
        <v/>
      </c>
    </row>
    <row r="210" spans="1:19">
      <c r="A210" s="57">
        <f t="shared" si="17"/>
        <v>197</v>
      </c>
      <c r="B210" s="69"/>
      <c r="C210" s="69"/>
      <c r="D210" s="69"/>
      <c r="E210" s="69"/>
      <c r="F210" s="69"/>
      <c r="G210" s="69"/>
      <c r="H210" s="69"/>
      <c r="I210" s="158"/>
      <c r="J210" s="68"/>
      <c r="K210" s="66"/>
      <c r="L210" s="158"/>
      <c r="M210" s="66"/>
      <c r="N210" s="66" t="s">
        <v>106</v>
      </c>
      <c r="O210" s="117"/>
      <c r="P210" s="58"/>
      <c r="Q210" s="67" t="str">
        <f t="shared" si="14"/>
        <v/>
      </c>
      <c r="R210" s="50" t="str">
        <f t="shared" si="15"/>
        <v/>
      </c>
      <c r="S210" s="50" t="str">
        <f t="shared" si="16"/>
        <v/>
      </c>
    </row>
    <row r="211" spans="1:19">
      <c r="A211" s="57">
        <f t="shared" si="17"/>
        <v>198</v>
      </c>
      <c r="B211" s="69"/>
      <c r="C211" s="69"/>
      <c r="D211" s="69"/>
      <c r="E211" s="69"/>
      <c r="F211" s="69"/>
      <c r="G211" s="69"/>
      <c r="H211" s="69"/>
      <c r="I211" s="158"/>
      <c r="J211" s="68"/>
      <c r="K211" s="66"/>
      <c r="L211" s="158"/>
      <c r="M211" s="66"/>
      <c r="N211" s="66" t="s">
        <v>106</v>
      </c>
      <c r="O211" s="117"/>
      <c r="P211" s="58"/>
      <c r="Q211" s="67" t="str">
        <f t="shared" si="14"/>
        <v/>
      </c>
      <c r="R211" s="50" t="str">
        <f t="shared" si="15"/>
        <v/>
      </c>
      <c r="S211" s="50" t="str">
        <f t="shared" si="16"/>
        <v/>
      </c>
    </row>
    <row r="212" spans="1:19">
      <c r="A212" s="57">
        <f t="shared" si="17"/>
        <v>199</v>
      </c>
      <c r="B212" s="69"/>
      <c r="C212" s="69"/>
      <c r="D212" s="69"/>
      <c r="E212" s="69"/>
      <c r="F212" s="69"/>
      <c r="G212" s="69"/>
      <c r="H212" s="69"/>
      <c r="I212" s="158"/>
      <c r="J212" s="68"/>
      <c r="K212" s="66"/>
      <c r="L212" s="158"/>
      <c r="M212" s="66"/>
      <c r="N212" s="66" t="s">
        <v>106</v>
      </c>
      <c r="O212" s="117"/>
      <c r="P212" s="58"/>
      <c r="Q212" s="67" t="str">
        <f t="shared" si="14"/>
        <v/>
      </c>
      <c r="R212" s="50" t="str">
        <f t="shared" si="15"/>
        <v/>
      </c>
      <c r="S212" s="50" t="str">
        <f t="shared" si="16"/>
        <v/>
      </c>
    </row>
    <row r="213" spans="1:19">
      <c r="A213" s="57">
        <f t="shared" si="17"/>
        <v>200</v>
      </c>
      <c r="B213" s="69"/>
      <c r="C213" s="69"/>
      <c r="D213" s="69"/>
      <c r="E213" s="69"/>
      <c r="F213" s="69"/>
      <c r="G213" s="69"/>
      <c r="H213" s="69"/>
      <c r="I213" s="158"/>
      <c r="J213" s="68"/>
      <c r="K213" s="66"/>
      <c r="L213" s="158"/>
      <c r="M213" s="66"/>
      <c r="N213" s="66" t="s">
        <v>106</v>
      </c>
      <c r="O213" s="117"/>
      <c r="P213" s="58"/>
      <c r="Q213" s="67" t="str">
        <f t="shared" si="14"/>
        <v/>
      </c>
      <c r="R213" s="50" t="str">
        <f t="shared" si="15"/>
        <v/>
      </c>
      <c r="S213" s="50" t="str">
        <f t="shared" si="16"/>
        <v/>
      </c>
    </row>
    <row r="214" spans="1:19">
      <c r="A214" s="57">
        <f t="shared" si="17"/>
        <v>201</v>
      </c>
      <c r="B214" s="69"/>
      <c r="C214" s="69"/>
      <c r="D214" s="69"/>
      <c r="E214" s="69"/>
      <c r="F214" s="69"/>
      <c r="G214" s="69"/>
      <c r="H214" s="69"/>
      <c r="I214" s="158"/>
      <c r="J214" s="68"/>
      <c r="K214" s="66"/>
      <c r="L214" s="158"/>
      <c r="M214" s="66"/>
      <c r="N214" s="66" t="s">
        <v>106</v>
      </c>
      <c r="O214" s="117"/>
      <c r="P214" s="58"/>
      <c r="Q214" s="67" t="str">
        <f t="shared" si="14"/>
        <v/>
      </c>
      <c r="R214" s="50" t="str">
        <f t="shared" si="15"/>
        <v/>
      </c>
      <c r="S214" s="50" t="str">
        <f t="shared" si="16"/>
        <v/>
      </c>
    </row>
    <row r="215" spans="1:19">
      <c r="A215" s="57">
        <f t="shared" si="17"/>
        <v>202</v>
      </c>
      <c r="B215" s="69"/>
      <c r="C215" s="69"/>
      <c r="D215" s="69"/>
      <c r="E215" s="69"/>
      <c r="F215" s="69"/>
      <c r="G215" s="69"/>
      <c r="H215" s="69"/>
      <c r="I215" s="158"/>
      <c r="J215" s="68"/>
      <c r="K215" s="66"/>
      <c r="L215" s="158"/>
      <c r="M215" s="66"/>
      <c r="N215" s="66" t="s">
        <v>106</v>
      </c>
      <c r="O215" s="117"/>
      <c r="P215" s="58"/>
      <c r="Q215" s="67" t="str">
        <f t="shared" si="14"/>
        <v/>
      </c>
      <c r="R215" s="50" t="str">
        <f t="shared" si="15"/>
        <v/>
      </c>
      <c r="S215" s="50" t="str">
        <f t="shared" si="16"/>
        <v/>
      </c>
    </row>
    <row r="216" spans="1:19">
      <c r="A216" s="57">
        <f t="shared" si="17"/>
        <v>203</v>
      </c>
      <c r="B216" s="69"/>
      <c r="C216" s="69"/>
      <c r="D216" s="69"/>
      <c r="E216" s="69"/>
      <c r="F216" s="69"/>
      <c r="G216" s="69"/>
      <c r="H216" s="69"/>
      <c r="I216" s="158"/>
      <c r="J216" s="68"/>
      <c r="K216" s="66"/>
      <c r="L216" s="158"/>
      <c r="M216" s="66"/>
      <c r="N216" s="66" t="s">
        <v>106</v>
      </c>
      <c r="O216" s="117"/>
      <c r="P216" s="58"/>
      <c r="Q216" s="67" t="str">
        <f t="shared" si="14"/>
        <v/>
      </c>
      <c r="R216" s="50" t="str">
        <f t="shared" si="15"/>
        <v/>
      </c>
      <c r="S216" s="50" t="str">
        <f t="shared" si="16"/>
        <v/>
      </c>
    </row>
    <row r="217" spans="1:19">
      <c r="A217" s="57">
        <f t="shared" si="17"/>
        <v>204</v>
      </c>
      <c r="B217" s="69"/>
      <c r="C217" s="69"/>
      <c r="D217" s="69"/>
      <c r="E217" s="69"/>
      <c r="F217" s="69"/>
      <c r="G217" s="69"/>
      <c r="H217" s="69"/>
      <c r="I217" s="158"/>
      <c r="J217" s="68"/>
      <c r="K217" s="66"/>
      <c r="L217" s="158"/>
      <c r="M217" s="66"/>
      <c r="N217" s="66" t="s">
        <v>106</v>
      </c>
      <c r="O217" s="117"/>
      <c r="P217" s="58"/>
      <c r="Q217" s="67" t="str">
        <f t="shared" si="14"/>
        <v/>
      </c>
      <c r="R217" s="50" t="str">
        <f t="shared" si="15"/>
        <v/>
      </c>
      <c r="S217" s="50" t="str">
        <f t="shared" si="16"/>
        <v/>
      </c>
    </row>
    <row r="218" spans="1:19">
      <c r="A218" s="57">
        <f t="shared" si="17"/>
        <v>205</v>
      </c>
      <c r="B218" s="69"/>
      <c r="C218" s="69"/>
      <c r="D218" s="69"/>
      <c r="E218" s="69"/>
      <c r="F218" s="69"/>
      <c r="G218" s="69"/>
      <c r="H218" s="69"/>
      <c r="I218" s="158"/>
      <c r="J218" s="68"/>
      <c r="K218" s="66"/>
      <c r="L218" s="158"/>
      <c r="M218" s="66"/>
      <c r="N218" s="66" t="s">
        <v>106</v>
      </c>
      <c r="O218" s="117"/>
      <c r="P218" s="58"/>
      <c r="Q218" s="67" t="str">
        <f t="shared" si="14"/>
        <v/>
      </c>
      <c r="R218" s="50" t="str">
        <f t="shared" si="15"/>
        <v/>
      </c>
      <c r="S218" s="50" t="str">
        <f t="shared" si="16"/>
        <v/>
      </c>
    </row>
    <row r="219" spans="1:19">
      <c r="A219" s="57">
        <f t="shared" si="17"/>
        <v>206</v>
      </c>
      <c r="B219" s="69"/>
      <c r="C219" s="69"/>
      <c r="D219" s="69"/>
      <c r="E219" s="69"/>
      <c r="F219" s="69"/>
      <c r="G219" s="69"/>
      <c r="H219" s="69"/>
      <c r="I219" s="158"/>
      <c r="J219" s="68"/>
      <c r="K219" s="66"/>
      <c r="L219" s="158"/>
      <c r="M219" s="66"/>
      <c r="N219" s="66" t="s">
        <v>106</v>
      </c>
      <c r="O219" s="117"/>
      <c r="P219" s="58"/>
      <c r="Q219" s="67" t="str">
        <f t="shared" si="14"/>
        <v/>
      </c>
      <c r="R219" s="50" t="str">
        <f t="shared" si="15"/>
        <v/>
      </c>
      <c r="S219" s="50" t="str">
        <f t="shared" si="16"/>
        <v/>
      </c>
    </row>
    <row r="220" spans="1:19">
      <c r="A220" s="57">
        <f t="shared" si="17"/>
        <v>207</v>
      </c>
      <c r="B220" s="69"/>
      <c r="C220" s="69"/>
      <c r="D220" s="69"/>
      <c r="E220" s="69"/>
      <c r="F220" s="69"/>
      <c r="G220" s="69"/>
      <c r="H220" s="69"/>
      <c r="I220" s="158"/>
      <c r="J220" s="68"/>
      <c r="K220" s="66"/>
      <c r="L220" s="158"/>
      <c r="M220" s="66"/>
      <c r="N220" s="66" t="s">
        <v>106</v>
      </c>
      <c r="O220" s="117"/>
      <c r="P220" s="58"/>
      <c r="Q220" s="67" t="str">
        <f t="shared" si="14"/>
        <v/>
      </c>
      <c r="R220" s="50" t="str">
        <f t="shared" si="15"/>
        <v/>
      </c>
      <c r="S220" s="50" t="str">
        <f t="shared" si="16"/>
        <v/>
      </c>
    </row>
    <row r="221" spans="1:19">
      <c r="A221" s="57">
        <f t="shared" si="17"/>
        <v>208</v>
      </c>
      <c r="B221" s="69"/>
      <c r="C221" s="69"/>
      <c r="D221" s="69"/>
      <c r="E221" s="69"/>
      <c r="F221" s="69"/>
      <c r="G221" s="69"/>
      <c r="H221" s="69"/>
      <c r="I221" s="158"/>
      <c r="J221" s="68"/>
      <c r="K221" s="66"/>
      <c r="L221" s="158"/>
      <c r="M221" s="66"/>
      <c r="N221" s="66" t="s">
        <v>106</v>
      </c>
      <c r="O221" s="117"/>
      <c r="P221" s="58"/>
      <c r="Q221" s="67" t="str">
        <f t="shared" si="14"/>
        <v/>
      </c>
      <c r="R221" s="50" t="str">
        <f t="shared" si="15"/>
        <v/>
      </c>
      <c r="S221" s="50" t="str">
        <f t="shared" si="16"/>
        <v/>
      </c>
    </row>
    <row r="222" spans="1:19">
      <c r="A222" s="57">
        <f t="shared" si="17"/>
        <v>209</v>
      </c>
      <c r="B222" s="69"/>
      <c r="C222" s="69"/>
      <c r="D222" s="69"/>
      <c r="E222" s="69"/>
      <c r="F222" s="69"/>
      <c r="G222" s="69"/>
      <c r="H222" s="69"/>
      <c r="I222" s="158"/>
      <c r="J222" s="68"/>
      <c r="K222" s="66"/>
      <c r="L222" s="158"/>
      <c r="M222" s="66"/>
      <c r="N222" s="66" t="s">
        <v>106</v>
      </c>
      <c r="O222" s="117"/>
      <c r="P222" s="58"/>
      <c r="Q222" s="67" t="str">
        <f t="shared" si="14"/>
        <v/>
      </c>
      <c r="R222" s="50" t="str">
        <f t="shared" si="15"/>
        <v/>
      </c>
      <c r="S222" s="50" t="str">
        <f t="shared" si="16"/>
        <v/>
      </c>
    </row>
    <row r="223" spans="1:19">
      <c r="A223" s="57">
        <f t="shared" si="17"/>
        <v>210</v>
      </c>
      <c r="B223" s="69"/>
      <c r="C223" s="69"/>
      <c r="D223" s="69"/>
      <c r="E223" s="69"/>
      <c r="F223" s="69"/>
      <c r="G223" s="69"/>
      <c r="H223" s="69"/>
      <c r="I223" s="158"/>
      <c r="J223" s="68"/>
      <c r="K223" s="66"/>
      <c r="L223" s="158"/>
      <c r="M223" s="66"/>
      <c r="N223" s="66" t="s">
        <v>106</v>
      </c>
      <c r="O223" s="117"/>
      <c r="P223" s="58"/>
      <c r="Q223" s="67" t="str">
        <f t="shared" si="14"/>
        <v/>
      </c>
      <c r="R223" s="50" t="str">
        <f t="shared" si="15"/>
        <v/>
      </c>
      <c r="S223" s="50" t="str">
        <f t="shared" si="16"/>
        <v/>
      </c>
    </row>
    <row r="224" spans="1:19">
      <c r="A224" s="57">
        <f t="shared" si="17"/>
        <v>211</v>
      </c>
      <c r="B224" s="69"/>
      <c r="C224" s="69"/>
      <c r="D224" s="69"/>
      <c r="E224" s="69"/>
      <c r="F224" s="69"/>
      <c r="G224" s="69"/>
      <c r="H224" s="69"/>
      <c r="I224" s="158"/>
      <c r="J224" s="68"/>
      <c r="K224" s="66"/>
      <c r="L224" s="158"/>
      <c r="M224" s="66"/>
      <c r="N224" s="66" t="s">
        <v>106</v>
      </c>
      <c r="O224" s="117"/>
      <c r="P224" s="58"/>
      <c r="Q224" s="67" t="str">
        <f t="shared" si="14"/>
        <v/>
      </c>
      <c r="R224" s="50" t="str">
        <f t="shared" si="15"/>
        <v/>
      </c>
      <c r="S224" s="50" t="str">
        <f t="shared" si="16"/>
        <v/>
      </c>
    </row>
    <row r="225" spans="1:19">
      <c r="A225" s="57">
        <f t="shared" si="17"/>
        <v>212</v>
      </c>
      <c r="B225" s="69"/>
      <c r="C225" s="69"/>
      <c r="D225" s="69"/>
      <c r="E225" s="69"/>
      <c r="F225" s="69"/>
      <c r="G225" s="69"/>
      <c r="H225" s="69"/>
      <c r="I225" s="158"/>
      <c r="J225" s="68"/>
      <c r="K225" s="66"/>
      <c r="L225" s="158"/>
      <c r="M225" s="66"/>
      <c r="N225" s="66" t="s">
        <v>106</v>
      </c>
      <c r="O225" s="117"/>
      <c r="P225" s="58"/>
      <c r="Q225" s="67" t="str">
        <f t="shared" si="14"/>
        <v/>
      </c>
      <c r="R225" s="50" t="str">
        <f t="shared" si="15"/>
        <v/>
      </c>
      <c r="S225" s="50" t="str">
        <f t="shared" si="16"/>
        <v/>
      </c>
    </row>
    <row r="226" spans="1:19">
      <c r="A226" s="57">
        <f t="shared" si="17"/>
        <v>213</v>
      </c>
      <c r="B226" s="69"/>
      <c r="C226" s="69"/>
      <c r="D226" s="69"/>
      <c r="E226" s="69"/>
      <c r="F226" s="69"/>
      <c r="G226" s="69"/>
      <c r="H226" s="69"/>
      <c r="I226" s="158"/>
      <c r="J226" s="68"/>
      <c r="K226" s="66"/>
      <c r="L226" s="158"/>
      <c r="M226" s="66"/>
      <c r="N226" s="66" t="s">
        <v>106</v>
      </c>
      <c r="O226" s="117"/>
      <c r="P226" s="58"/>
      <c r="Q226" s="67" t="str">
        <f t="shared" si="14"/>
        <v/>
      </c>
      <c r="R226" s="50" t="str">
        <f t="shared" si="15"/>
        <v/>
      </c>
      <c r="S226" s="50" t="str">
        <f t="shared" si="16"/>
        <v/>
      </c>
    </row>
    <row r="227" spans="1:19">
      <c r="A227" s="57">
        <f t="shared" si="17"/>
        <v>214</v>
      </c>
      <c r="B227" s="69"/>
      <c r="C227" s="69"/>
      <c r="D227" s="69"/>
      <c r="E227" s="69"/>
      <c r="F227" s="69"/>
      <c r="G227" s="69"/>
      <c r="H227" s="69"/>
      <c r="I227" s="158"/>
      <c r="J227" s="68"/>
      <c r="K227" s="66"/>
      <c r="L227" s="158"/>
      <c r="M227" s="66"/>
      <c r="N227" s="66" t="s">
        <v>106</v>
      </c>
      <c r="O227" s="117"/>
      <c r="P227" s="58"/>
      <c r="Q227" s="67" t="str">
        <f t="shared" si="14"/>
        <v/>
      </c>
      <c r="R227" s="50" t="str">
        <f t="shared" si="15"/>
        <v/>
      </c>
      <c r="S227" s="50" t="str">
        <f t="shared" si="16"/>
        <v/>
      </c>
    </row>
    <row r="228" spans="1:19">
      <c r="A228" s="57">
        <f t="shared" si="17"/>
        <v>215</v>
      </c>
      <c r="B228" s="69"/>
      <c r="C228" s="69"/>
      <c r="D228" s="69"/>
      <c r="E228" s="69"/>
      <c r="F228" s="69"/>
      <c r="G228" s="69"/>
      <c r="H228" s="69"/>
      <c r="I228" s="158"/>
      <c r="J228" s="68"/>
      <c r="K228" s="66"/>
      <c r="L228" s="158"/>
      <c r="M228" s="66"/>
      <c r="N228" s="66" t="s">
        <v>106</v>
      </c>
      <c r="O228" s="117"/>
      <c r="P228" s="58"/>
      <c r="Q228" s="67" t="str">
        <f t="shared" si="14"/>
        <v/>
      </c>
      <c r="R228" s="50" t="str">
        <f t="shared" si="15"/>
        <v/>
      </c>
      <c r="S228" s="50" t="str">
        <f t="shared" si="16"/>
        <v/>
      </c>
    </row>
    <row r="229" spans="1:19">
      <c r="A229" s="57">
        <f t="shared" si="17"/>
        <v>216</v>
      </c>
      <c r="B229" s="69"/>
      <c r="C229" s="69"/>
      <c r="D229" s="69"/>
      <c r="E229" s="69"/>
      <c r="F229" s="69"/>
      <c r="G229" s="69"/>
      <c r="H229" s="69"/>
      <c r="I229" s="158"/>
      <c r="J229" s="68"/>
      <c r="K229" s="66"/>
      <c r="L229" s="158"/>
      <c r="M229" s="66"/>
      <c r="N229" s="66"/>
      <c r="O229" s="117"/>
      <c r="P229" s="58"/>
      <c r="Q229" s="67" t="str">
        <f t="shared" si="14"/>
        <v/>
      </c>
      <c r="R229" s="50" t="str">
        <f t="shared" si="15"/>
        <v/>
      </c>
      <c r="S229" s="50" t="str">
        <f t="shared" si="16"/>
        <v/>
      </c>
    </row>
    <row r="230" spans="1:19">
      <c r="A230" s="57">
        <f t="shared" si="17"/>
        <v>217</v>
      </c>
      <c r="B230" s="69"/>
      <c r="C230" s="69"/>
      <c r="D230" s="69"/>
      <c r="E230" s="69"/>
      <c r="F230" s="69"/>
      <c r="G230" s="69"/>
      <c r="H230" s="69"/>
      <c r="I230" s="158"/>
      <c r="J230" s="68"/>
      <c r="K230" s="66"/>
      <c r="L230" s="158"/>
      <c r="M230" s="66"/>
      <c r="N230" s="66" t="s">
        <v>106</v>
      </c>
      <c r="O230" s="117"/>
      <c r="P230" s="58"/>
      <c r="Q230" s="67" t="str">
        <f t="shared" si="14"/>
        <v/>
      </c>
      <c r="R230" s="50" t="str">
        <f t="shared" si="15"/>
        <v/>
      </c>
      <c r="S230" s="50" t="str">
        <f t="shared" si="16"/>
        <v/>
      </c>
    </row>
    <row r="231" spans="1:19">
      <c r="A231" s="57">
        <f t="shared" si="17"/>
        <v>218</v>
      </c>
      <c r="B231" s="69"/>
      <c r="C231" s="69"/>
      <c r="D231" s="69"/>
      <c r="E231" s="69"/>
      <c r="F231" s="69"/>
      <c r="G231" s="69"/>
      <c r="H231" s="69"/>
      <c r="I231" s="158"/>
      <c r="J231" s="68"/>
      <c r="K231" s="66"/>
      <c r="L231" s="158"/>
      <c r="M231" s="66"/>
      <c r="N231" s="66" t="s">
        <v>106</v>
      </c>
      <c r="O231" s="117"/>
      <c r="P231" s="58"/>
      <c r="Q231" s="67" t="str">
        <f t="shared" si="14"/>
        <v/>
      </c>
      <c r="R231" s="50" t="str">
        <f t="shared" si="15"/>
        <v/>
      </c>
      <c r="S231" s="50" t="str">
        <f t="shared" si="16"/>
        <v/>
      </c>
    </row>
    <row r="232" spans="1:19">
      <c r="A232" s="57">
        <f t="shared" si="17"/>
        <v>219</v>
      </c>
      <c r="B232" s="69"/>
      <c r="C232" s="69"/>
      <c r="D232" s="69"/>
      <c r="E232" s="69"/>
      <c r="F232" s="69"/>
      <c r="G232" s="69"/>
      <c r="H232" s="69"/>
      <c r="I232" s="158"/>
      <c r="J232" s="68"/>
      <c r="K232" s="66"/>
      <c r="L232" s="158"/>
      <c r="M232" s="66"/>
      <c r="N232" s="66" t="s">
        <v>106</v>
      </c>
      <c r="O232" s="117"/>
      <c r="P232" s="58"/>
      <c r="Q232" s="67" t="str">
        <f t="shared" si="14"/>
        <v/>
      </c>
      <c r="R232" s="50" t="str">
        <f t="shared" si="15"/>
        <v/>
      </c>
      <c r="S232" s="50" t="str">
        <f t="shared" si="16"/>
        <v/>
      </c>
    </row>
    <row r="233" spans="1:19">
      <c r="A233" s="57">
        <f t="shared" si="17"/>
        <v>220</v>
      </c>
      <c r="B233" s="69"/>
      <c r="C233" s="69"/>
      <c r="D233" s="69"/>
      <c r="E233" s="69"/>
      <c r="F233" s="69"/>
      <c r="G233" s="69"/>
      <c r="H233" s="69"/>
      <c r="I233" s="158"/>
      <c r="J233" s="68"/>
      <c r="K233" s="66"/>
      <c r="L233" s="158"/>
      <c r="M233" s="66"/>
      <c r="N233" s="66" t="s">
        <v>106</v>
      </c>
      <c r="O233" s="117"/>
      <c r="P233" s="58"/>
      <c r="Q233" s="67" t="str">
        <f t="shared" si="14"/>
        <v/>
      </c>
      <c r="R233" s="50" t="str">
        <f t="shared" si="15"/>
        <v/>
      </c>
      <c r="S233" s="50" t="str">
        <f t="shared" si="16"/>
        <v/>
      </c>
    </row>
    <row r="234" spans="1:19">
      <c r="A234" s="57">
        <f t="shared" si="17"/>
        <v>221</v>
      </c>
      <c r="B234" s="69"/>
      <c r="C234" s="69"/>
      <c r="D234" s="69"/>
      <c r="E234" s="69"/>
      <c r="F234" s="69"/>
      <c r="G234" s="69"/>
      <c r="H234" s="69"/>
      <c r="I234" s="158"/>
      <c r="J234" s="68"/>
      <c r="K234" s="66"/>
      <c r="L234" s="158"/>
      <c r="M234" s="66"/>
      <c r="N234" s="66" t="s">
        <v>106</v>
      </c>
      <c r="O234" s="117"/>
      <c r="P234" s="58"/>
      <c r="Q234" s="67" t="str">
        <f t="shared" si="14"/>
        <v/>
      </c>
      <c r="R234" s="50" t="str">
        <f t="shared" si="15"/>
        <v/>
      </c>
      <c r="S234" s="50" t="str">
        <f t="shared" si="16"/>
        <v/>
      </c>
    </row>
    <row r="235" spans="1:19">
      <c r="A235" s="57">
        <f t="shared" si="17"/>
        <v>222</v>
      </c>
      <c r="B235" s="69"/>
      <c r="C235" s="69"/>
      <c r="D235" s="69"/>
      <c r="E235" s="69"/>
      <c r="F235" s="69"/>
      <c r="G235" s="69"/>
      <c r="H235" s="69"/>
      <c r="I235" s="158"/>
      <c r="J235" s="68"/>
      <c r="K235" s="66"/>
      <c r="L235" s="158"/>
      <c r="M235" s="66"/>
      <c r="N235" s="66" t="s">
        <v>106</v>
      </c>
      <c r="O235" s="117"/>
      <c r="P235" s="58"/>
      <c r="Q235" s="67" t="str">
        <f t="shared" si="14"/>
        <v/>
      </c>
      <c r="R235" s="50" t="str">
        <f t="shared" si="15"/>
        <v/>
      </c>
      <c r="S235" s="50" t="str">
        <f t="shared" si="16"/>
        <v/>
      </c>
    </row>
    <row r="236" spans="1:19">
      <c r="A236" s="57">
        <f t="shared" si="17"/>
        <v>223</v>
      </c>
      <c r="B236" s="69"/>
      <c r="C236" s="69"/>
      <c r="D236" s="69"/>
      <c r="E236" s="69"/>
      <c r="F236" s="69"/>
      <c r="G236" s="69"/>
      <c r="H236" s="69"/>
      <c r="I236" s="158"/>
      <c r="J236" s="68"/>
      <c r="K236" s="66"/>
      <c r="L236" s="158"/>
      <c r="M236" s="66"/>
      <c r="N236" s="66" t="s">
        <v>106</v>
      </c>
      <c r="O236" s="117"/>
      <c r="P236" s="58"/>
      <c r="Q236" s="67" t="str">
        <f t="shared" si="14"/>
        <v/>
      </c>
      <c r="R236" s="50" t="str">
        <f t="shared" si="15"/>
        <v/>
      </c>
      <c r="S236" s="50" t="str">
        <f t="shared" si="16"/>
        <v/>
      </c>
    </row>
    <row r="237" spans="1:19">
      <c r="A237" s="57">
        <f t="shared" si="17"/>
        <v>224</v>
      </c>
      <c r="B237" s="69"/>
      <c r="C237" s="69"/>
      <c r="D237" s="69"/>
      <c r="E237" s="69"/>
      <c r="F237" s="69"/>
      <c r="G237" s="69"/>
      <c r="H237" s="69"/>
      <c r="I237" s="158"/>
      <c r="J237" s="68"/>
      <c r="K237" s="66"/>
      <c r="L237" s="158"/>
      <c r="M237" s="66"/>
      <c r="N237" s="66" t="s">
        <v>106</v>
      </c>
      <c r="O237" s="117"/>
      <c r="P237" s="58"/>
      <c r="Q237" s="67" t="str">
        <f t="shared" si="14"/>
        <v/>
      </c>
      <c r="R237" s="50" t="str">
        <f t="shared" si="15"/>
        <v/>
      </c>
      <c r="S237" s="50" t="str">
        <f t="shared" si="16"/>
        <v/>
      </c>
    </row>
    <row r="238" spans="1:19">
      <c r="A238" s="57">
        <f t="shared" si="17"/>
        <v>225</v>
      </c>
      <c r="B238" s="69"/>
      <c r="C238" s="69"/>
      <c r="D238" s="69"/>
      <c r="E238" s="69"/>
      <c r="F238" s="69"/>
      <c r="G238" s="69"/>
      <c r="H238" s="69"/>
      <c r="I238" s="158"/>
      <c r="J238" s="68"/>
      <c r="K238" s="66"/>
      <c r="L238" s="158"/>
      <c r="M238" s="66"/>
      <c r="N238" s="66" t="s">
        <v>106</v>
      </c>
      <c r="O238" s="117"/>
      <c r="P238" s="58"/>
      <c r="Q238" s="67" t="str">
        <f t="shared" si="14"/>
        <v/>
      </c>
      <c r="R238" s="50" t="str">
        <f t="shared" si="15"/>
        <v/>
      </c>
      <c r="S238" s="50" t="str">
        <f t="shared" si="16"/>
        <v/>
      </c>
    </row>
    <row r="239" spans="1:19">
      <c r="A239" s="194" t="s">
        <v>105</v>
      </c>
      <c r="B239" s="195"/>
      <c r="C239" s="195"/>
      <c r="D239" s="195"/>
      <c r="E239" s="195"/>
      <c r="F239" s="195"/>
      <c r="G239" s="195"/>
      <c r="H239" s="195"/>
      <c r="I239" s="195"/>
      <c r="J239" s="195"/>
      <c r="K239" s="195"/>
      <c r="L239" s="195"/>
      <c r="M239" s="195"/>
      <c r="N239" s="195"/>
      <c r="O239" s="195"/>
      <c r="P239" s="195"/>
      <c r="Q239" s="195"/>
      <c r="R239" s="195"/>
      <c r="S239" s="195"/>
    </row>
  </sheetData>
  <sheetProtection insertRows="0"/>
  <mergeCells count="17">
    <mergeCell ref="A4:D4"/>
    <mergeCell ref="A5:D5"/>
    <mergeCell ref="E4:I4"/>
    <mergeCell ref="A7:D7"/>
    <mergeCell ref="E7:I7"/>
    <mergeCell ref="A8:D8"/>
    <mergeCell ref="E8:I8"/>
    <mergeCell ref="E3:M3"/>
    <mergeCell ref="E10:M10"/>
    <mergeCell ref="A239:S239"/>
    <mergeCell ref="A9:F9"/>
    <mergeCell ref="E5:I5"/>
    <mergeCell ref="E6:I6"/>
    <mergeCell ref="A6:D6"/>
    <mergeCell ref="E11:H11"/>
    <mergeCell ref="K11:M11"/>
    <mergeCell ref="A3:D3"/>
  </mergeCells>
  <conditionalFormatting sqref="Q4:Q5 R1:S238 Q14:Q238 Q240:S65536">
    <cfRule type="cellIs" dxfId="3" priority="11" stopIfTrue="1" operator="equal">
      <formula>CheckErr</formula>
    </cfRule>
  </conditionalFormatting>
  <conditionalFormatting sqref="O14:O238">
    <cfRule type="expression" dxfId="2" priority="2" stopIfTrue="1">
      <formula>$S14=CheckErr</formula>
    </cfRule>
  </conditionalFormatting>
  <conditionalFormatting sqref="B14:I238 E4:I5">
    <cfRule type="expression" dxfId="1" priority="14" stopIfTrue="1">
      <formula>$Q4=CheckErr</formula>
    </cfRule>
  </conditionalFormatting>
  <conditionalFormatting sqref="K14:N238">
    <cfRule type="expression" dxfId="0" priority="18" stopIfTrue="1">
      <formula>$R14=CheckErr</formula>
    </cfRule>
  </conditionalFormatting>
  <dataValidations count="9">
    <dataValidation allowBlank="1" showErrorMessage="1" promptTitle="Reviewer Name" prompt="The reviewer should enter their name here when performing a review. When producing a consolidated RRR, the author should set this to 'N/A' (the reviewer names can be found on the 'Metrics' sheet)." sqref="R7 S8 Q4:Q6"/>
    <dataValidation type="textLength" allowBlank="1" showInputMessage="1" showErrorMessage="1" sqref="O14:O238">
      <formula1>2</formula1>
      <formula2>4</formula2>
    </dataValidation>
    <dataValidation type="list" allowBlank="1" showInputMessage="1" showErrorMessage="1" sqref="M14:M238">
      <formula1>"Accepted,Rejected,Duplicate,Noted"</formula1>
    </dataValidation>
    <dataValidation type="list" showInputMessage="1" showErrorMessage="1" sqref="N14:N238">
      <formula1>"Y,y,-"</formula1>
    </dataValidation>
    <dataValidation type="list" allowBlank="1" showInputMessage="1" showErrorMessage="1" sqref="H14:H238">
      <formula1>"01 - Mandatory (Op),02 - Mandatory (Non-Op),03 - Desirable,04 - Observation,05 - Typo,06 - No comment"</formula1>
    </dataValidation>
    <dataValidation operator="greaterThan" allowBlank="1" showInputMessage="1" showErrorMessage="1" sqref="E14:G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I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I5"/>
    <dataValidation allowBlank="1" showInputMessage="1" showErrorMessage="1" promptTitle="Time Spent" prompt="This data is entered in the &quot;Metrics&quot; sheet." sqref="E6:I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92" bestFit="1" customWidth="1"/>
    <col min="2" max="2" width="17.25" style="92" bestFit="1" customWidth="1"/>
    <col min="3" max="3" width="52.25" style="92" bestFit="1" customWidth="1"/>
    <col min="4" max="4" width="17.25" style="92" bestFit="1" customWidth="1"/>
    <col min="5" max="5" width="53" style="92" customWidth="1"/>
    <col min="6" max="6" width="17.25" style="92" customWidth="1"/>
    <col min="7" max="7" width="62.375" style="92" customWidth="1"/>
    <col min="8" max="8" width="16.5" style="92" bestFit="1" customWidth="1"/>
    <col min="9" max="9" width="62.375" style="92" customWidth="1"/>
    <col min="10" max="10" width="18" style="92" customWidth="1"/>
    <col min="11" max="11" width="25.875" style="92" customWidth="1"/>
    <col min="12" max="12" width="11.5" style="92" bestFit="1" customWidth="1"/>
    <col min="13" max="13" width="62.375" style="92" customWidth="1"/>
    <col min="14" max="14" width="11.5" style="92" bestFit="1" customWidth="1"/>
    <col min="15" max="15" width="62.375" style="92" customWidth="1"/>
    <col min="16" max="16" width="11.5" style="92" bestFit="1" customWidth="1"/>
    <col min="17" max="18" width="62.375" style="92" customWidth="1"/>
    <col min="19" max="19" width="9" style="92"/>
    <col min="20" max="16384" width="9" style="168"/>
  </cols>
  <sheetData>
    <row r="1" spans="1:19" ht="13.5" customHeight="1">
      <c r="A1" s="166" t="s">
        <v>144</v>
      </c>
      <c r="B1" s="213" t="s">
        <v>524</v>
      </c>
      <c r="C1" s="215"/>
      <c r="D1" s="213" t="s">
        <v>330</v>
      </c>
      <c r="E1" s="214"/>
      <c r="F1" s="213" t="s">
        <v>413</v>
      </c>
      <c r="G1" s="214"/>
      <c r="H1" s="213" t="s">
        <v>451</v>
      </c>
      <c r="I1" s="214"/>
      <c r="J1" s="213" t="s">
        <v>559</v>
      </c>
      <c r="K1" s="214"/>
      <c r="L1" s="213" t="s">
        <v>530</v>
      </c>
      <c r="M1" s="214"/>
      <c r="N1" s="213" t="s">
        <v>485</v>
      </c>
      <c r="O1" s="214"/>
      <c r="P1" s="213" t="s">
        <v>148</v>
      </c>
      <c r="Q1" s="214"/>
      <c r="R1" s="216" t="s">
        <v>199</v>
      </c>
      <c r="S1" s="167" t="s">
        <v>395</v>
      </c>
    </row>
    <row r="2" spans="1:19" ht="13.5" customHeight="1">
      <c r="A2" s="166" t="s">
        <v>145</v>
      </c>
      <c r="B2" s="213" t="s">
        <v>556</v>
      </c>
      <c r="C2" s="215"/>
      <c r="D2" s="213" t="s">
        <v>331</v>
      </c>
      <c r="E2" s="214"/>
      <c r="F2" s="213" t="s">
        <v>412</v>
      </c>
      <c r="G2" s="214"/>
      <c r="H2" s="213" t="s">
        <v>558</v>
      </c>
      <c r="I2" s="214"/>
      <c r="J2" s="213" t="s">
        <v>558</v>
      </c>
      <c r="K2" s="214"/>
      <c r="L2" s="213" t="s">
        <v>558</v>
      </c>
      <c r="M2" s="214"/>
      <c r="N2" s="213" t="s">
        <v>558</v>
      </c>
      <c r="O2" s="214"/>
      <c r="P2" s="213" t="s">
        <v>407</v>
      </c>
      <c r="Q2" s="214"/>
      <c r="R2" s="217"/>
      <c r="S2" s="167"/>
    </row>
    <row r="3" spans="1:19" ht="13.5" customHeight="1">
      <c r="A3" s="166" t="s">
        <v>146</v>
      </c>
      <c r="B3" s="213" t="s">
        <v>557</v>
      </c>
      <c r="C3" s="215"/>
      <c r="D3" s="213" t="s">
        <v>332</v>
      </c>
      <c r="E3" s="214"/>
      <c r="F3" s="213" t="s">
        <v>149</v>
      </c>
      <c r="G3" s="214"/>
      <c r="H3" s="213" t="s">
        <v>149</v>
      </c>
      <c r="I3" s="214"/>
      <c r="J3" s="213" t="s">
        <v>149</v>
      </c>
      <c r="K3" s="214"/>
      <c r="L3" s="213" t="s">
        <v>149</v>
      </c>
      <c r="M3" s="214"/>
      <c r="N3" s="213" t="s">
        <v>560</v>
      </c>
      <c r="O3" s="214"/>
      <c r="P3" s="213" t="s">
        <v>149</v>
      </c>
      <c r="Q3" s="214"/>
      <c r="R3" s="218"/>
      <c r="S3" s="167"/>
    </row>
    <row r="4" spans="1:19" ht="14.25" customHeight="1" thickBot="1">
      <c r="A4" s="166" t="s">
        <v>370</v>
      </c>
      <c r="B4" s="213" t="s">
        <v>380</v>
      </c>
      <c r="C4" s="215"/>
      <c r="D4" s="213" t="s">
        <v>396</v>
      </c>
      <c r="E4" s="214"/>
      <c r="F4" s="213" t="s">
        <v>446</v>
      </c>
      <c r="G4" s="214"/>
      <c r="H4" s="213" t="s">
        <v>446</v>
      </c>
      <c r="I4" s="214"/>
      <c r="J4" s="213" t="s">
        <v>555</v>
      </c>
      <c r="K4" s="214"/>
      <c r="L4" s="213" t="s">
        <v>446</v>
      </c>
      <c r="M4" s="214"/>
      <c r="N4" s="213" t="s">
        <v>486</v>
      </c>
      <c r="O4" s="214"/>
      <c r="P4" s="213" t="s">
        <v>396</v>
      </c>
      <c r="Q4" s="214"/>
      <c r="R4" s="167" t="s">
        <v>396</v>
      </c>
      <c r="S4" s="167"/>
    </row>
    <row r="5" spans="1:19" ht="19.5">
      <c r="B5" s="92" t="s">
        <v>371</v>
      </c>
      <c r="C5" s="169" t="s">
        <v>372</v>
      </c>
      <c r="D5" s="92" t="s">
        <v>371</v>
      </c>
      <c r="E5" s="169" t="s">
        <v>333</v>
      </c>
      <c r="F5" s="154" t="s">
        <v>371</v>
      </c>
      <c r="G5" s="169" t="s">
        <v>414</v>
      </c>
      <c r="H5" s="92" t="s">
        <v>371</v>
      </c>
      <c r="I5" s="169" t="s">
        <v>452</v>
      </c>
      <c r="J5" s="176" t="s">
        <v>371</v>
      </c>
      <c r="K5" s="177" t="s">
        <v>547</v>
      </c>
      <c r="L5" s="92" t="s">
        <v>371</v>
      </c>
      <c r="M5" s="169" t="s">
        <v>531</v>
      </c>
      <c r="N5" s="92" t="s">
        <v>371</v>
      </c>
      <c r="O5" s="169" t="s">
        <v>493</v>
      </c>
      <c r="P5" s="92" t="s">
        <v>371</v>
      </c>
      <c r="Q5" s="169" t="s">
        <v>147</v>
      </c>
    </row>
    <row r="6" spans="1:19" ht="40.5">
      <c r="B6" s="92" t="s">
        <v>373</v>
      </c>
      <c r="C6" s="92" t="s">
        <v>141</v>
      </c>
      <c r="D6" s="92" t="s">
        <v>373</v>
      </c>
      <c r="E6" s="92" t="s">
        <v>334</v>
      </c>
      <c r="F6" s="92" t="s">
        <v>373</v>
      </c>
      <c r="G6" s="92" t="s">
        <v>415</v>
      </c>
      <c r="H6" s="92" t="s">
        <v>409</v>
      </c>
      <c r="I6" s="92" t="s">
        <v>453</v>
      </c>
      <c r="J6" s="92" t="s">
        <v>373</v>
      </c>
      <c r="K6" s="92" t="s">
        <v>548</v>
      </c>
      <c r="L6" s="92" t="s">
        <v>409</v>
      </c>
      <c r="M6" s="92" t="s">
        <v>532</v>
      </c>
      <c r="N6" s="92" t="s">
        <v>482</v>
      </c>
      <c r="O6" s="92" t="s">
        <v>529</v>
      </c>
      <c r="P6" s="92" t="s">
        <v>381</v>
      </c>
      <c r="Q6" s="92" t="s">
        <v>211</v>
      </c>
    </row>
    <row r="7" spans="1:19" ht="42">
      <c r="B7" s="92" t="s">
        <v>373</v>
      </c>
      <c r="C7" s="92" t="s">
        <v>160</v>
      </c>
      <c r="D7" s="92" t="s">
        <v>373</v>
      </c>
      <c r="E7" s="92" t="s">
        <v>335</v>
      </c>
      <c r="F7" s="92" t="s">
        <v>373</v>
      </c>
      <c r="G7" s="92" t="s">
        <v>416</v>
      </c>
      <c r="H7" s="92" t="s">
        <v>371</v>
      </c>
      <c r="I7" s="169" t="s">
        <v>454</v>
      </c>
      <c r="J7" s="92" t="s">
        <v>546</v>
      </c>
      <c r="K7" s="92" t="s">
        <v>549</v>
      </c>
      <c r="L7" s="92" t="s">
        <v>409</v>
      </c>
      <c r="M7" s="92" t="s">
        <v>533</v>
      </c>
      <c r="N7" s="92" t="s">
        <v>482</v>
      </c>
      <c r="O7" s="92" t="s">
        <v>487</v>
      </c>
      <c r="P7" s="92" t="s">
        <v>381</v>
      </c>
      <c r="Q7" s="92" t="s">
        <v>212</v>
      </c>
    </row>
    <row r="8" spans="1:19" ht="40.5">
      <c r="B8" s="92" t="s">
        <v>373</v>
      </c>
      <c r="C8" s="92" t="s">
        <v>142</v>
      </c>
      <c r="D8" s="92" t="s">
        <v>373</v>
      </c>
      <c r="E8" s="92" t="s">
        <v>336</v>
      </c>
      <c r="F8" s="92" t="s">
        <v>373</v>
      </c>
      <c r="G8" s="92" t="s">
        <v>447</v>
      </c>
      <c r="H8" s="92" t="s">
        <v>409</v>
      </c>
      <c r="I8" s="92" t="s">
        <v>455</v>
      </c>
      <c r="J8" s="92" t="s">
        <v>546</v>
      </c>
      <c r="K8" s="92" t="s">
        <v>550</v>
      </c>
      <c r="L8" s="92" t="s">
        <v>409</v>
      </c>
      <c r="M8" s="92" t="s">
        <v>534</v>
      </c>
      <c r="N8" s="92" t="s">
        <v>381</v>
      </c>
      <c r="O8" s="92" t="s">
        <v>488</v>
      </c>
      <c r="P8" s="92" t="s">
        <v>381</v>
      </c>
      <c r="Q8" s="92" t="s">
        <v>213</v>
      </c>
    </row>
    <row r="9" spans="1:19" ht="40.5">
      <c r="B9" s="92" t="s">
        <v>373</v>
      </c>
      <c r="C9" s="92" t="s">
        <v>143</v>
      </c>
      <c r="D9" s="92" t="s">
        <v>373</v>
      </c>
      <c r="E9" s="92" t="s">
        <v>337</v>
      </c>
      <c r="F9" s="92" t="s">
        <v>373</v>
      </c>
      <c r="G9" s="92" t="s">
        <v>417</v>
      </c>
      <c r="H9" s="92" t="s">
        <v>381</v>
      </c>
      <c r="I9" s="92" t="s">
        <v>456</v>
      </c>
      <c r="J9" s="92" t="s">
        <v>546</v>
      </c>
      <c r="K9" s="92" t="s">
        <v>551</v>
      </c>
      <c r="L9" s="92" t="s">
        <v>409</v>
      </c>
      <c r="M9" s="92" t="s">
        <v>535</v>
      </c>
      <c r="N9" s="92" t="s">
        <v>409</v>
      </c>
      <c r="O9" s="92" t="s">
        <v>489</v>
      </c>
      <c r="P9" s="92" t="s">
        <v>381</v>
      </c>
      <c r="Q9" s="92" t="s">
        <v>214</v>
      </c>
    </row>
    <row r="10" spans="1:19" ht="27">
      <c r="B10" s="92" t="s">
        <v>373</v>
      </c>
      <c r="C10" s="92" t="s">
        <v>374</v>
      </c>
      <c r="D10" s="92" t="s">
        <v>373</v>
      </c>
      <c r="E10" s="92" t="s">
        <v>338</v>
      </c>
      <c r="F10" s="92" t="s">
        <v>373</v>
      </c>
      <c r="G10" s="92" t="s">
        <v>418</v>
      </c>
      <c r="H10" s="92" t="s">
        <v>381</v>
      </c>
      <c r="I10" s="92" t="s">
        <v>457</v>
      </c>
      <c r="J10" s="92" t="s">
        <v>373</v>
      </c>
      <c r="K10" s="92" t="s">
        <v>552</v>
      </c>
      <c r="L10" s="92" t="s">
        <v>381</v>
      </c>
      <c r="M10" s="92" t="s">
        <v>536</v>
      </c>
      <c r="N10" s="92" t="s">
        <v>482</v>
      </c>
      <c r="O10" s="92" t="s">
        <v>490</v>
      </c>
      <c r="P10" s="92" t="s">
        <v>381</v>
      </c>
      <c r="Q10" s="92" t="s">
        <v>215</v>
      </c>
    </row>
    <row r="11" spans="1:19" ht="28.5">
      <c r="B11" s="92" t="s">
        <v>373</v>
      </c>
      <c r="C11" s="92" t="s">
        <v>375</v>
      </c>
      <c r="D11" s="92" t="s">
        <v>371</v>
      </c>
      <c r="E11" s="169" t="s">
        <v>339</v>
      </c>
      <c r="F11" s="92" t="s">
        <v>373</v>
      </c>
      <c r="G11" s="92" t="s">
        <v>419</v>
      </c>
      <c r="H11" s="92" t="s">
        <v>381</v>
      </c>
      <c r="I11" s="92" t="s">
        <v>458</v>
      </c>
      <c r="J11" s="92" t="s">
        <v>373</v>
      </c>
      <c r="K11" s="92" t="s">
        <v>553</v>
      </c>
      <c r="L11" s="92" t="s">
        <v>381</v>
      </c>
      <c r="M11" s="92" t="s">
        <v>537</v>
      </c>
      <c r="N11" s="92" t="s">
        <v>409</v>
      </c>
      <c r="O11" s="92" t="s">
        <v>491</v>
      </c>
      <c r="P11" s="92" t="s">
        <v>381</v>
      </c>
      <c r="Q11" s="92" t="s">
        <v>216</v>
      </c>
    </row>
    <row r="12" spans="1:19" ht="42">
      <c r="B12" s="92" t="s">
        <v>373</v>
      </c>
      <c r="C12" s="92" t="s">
        <v>545</v>
      </c>
      <c r="D12" s="92" t="s">
        <v>381</v>
      </c>
      <c r="E12" s="92" t="s">
        <v>340</v>
      </c>
      <c r="F12" s="92" t="s">
        <v>373</v>
      </c>
      <c r="G12" s="92" t="s">
        <v>420</v>
      </c>
      <c r="H12" s="92" t="s">
        <v>371</v>
      </c>
      <c r="I12" s="169" t="s">
        <v>459</v>
      </c>
      <c r="J12" s="92" t="s">
        <v>381</v>
      </c>
      <c r="K12" s="92" t="s">
        <v>554</v>
      </c>
      <c r="L12" s="92" t="s">
        <v>381</v>
      </c>
      <c r="M12" s="92" t="s">
        <v>538</v>
      </c>
      <c r="N12" s="92" t="s">
        <v>409</v>
      </c>
      <c r="O12" s="92" t="s">
        <v>492</v>
      </c>
      <c r="P12" s="92" t="s">
        <v>381</v>
      </c>
      <c r="Q12" s="92" t="s">
        <v>217</v>
      </c>
    </row>
    <row r="13" spans="1:19" ht="42">
      <c r="B13" s="92" t="s">
        <v>373</v>
      </c>
      <c r="C13" s="92" t="s">
        <v>376</v>
      </c>
      <c r="D13" s="92" t="s">
        <v>381</v>
      </c>
      <c r="E13" s="92" t="s">
        <v>341</v>
      </c>
      <c r="F13" s="92" t="s">
        <v>373</v>
      </c>
      <c r="G13" s="92" t="s">
        <v>421</v>
      </c>
      <c r="H13" s="92" t="s">
        <v>409</v>
      </c>
      <c r="I13" s="92" t="s">
        <v>460</v>
      </c>
      <c r="L13" s="92" t="s">
        <v>482</v>
      </c>
      <c r="M13" s="92" t="s">
        <v>539</v>
      </c>
      <c r="N13" s="92" t="s">
        <v>371</v>
      </c>
      <c r="O13" s="169" t="s">
        <v>494</v>
      </c>
      <c r="P13" s="92" t="s">
        <v>381</v>
      </c>
      <c r="Q13" s="92" t="s">
        <v>218</v>
      </c>
    </row>
    <row r="14" spans="1:19" ht="54">
      <c r="B14" s="92" t="s">
        <v>373</v>
      </c>
      <c r="C14" s="92" t="s">
        <v>377</v>
      </c>
      <c r="D14" s="92" t="s">
        <v>381</v>
      </c>
      <c r="E14" s="92" t="s">
        <v>342</v>
      </c>
      <c r="F14" s="92" t="s">
        <v>373</v>
      </c>
      <c r="G14" s="92" t="s">
        <v>422</v>
      </c>
      <c r="H14" s="92" t="s">
        <v>381</v>
      </c>
      <c r="I14" s="92" t="s">
        <v>525</v>
      </c>
      <c r="L14" s="92" t="s">
        <v>482</v>
      </c>
      <c r="M14" s="92" t="s">
        <v>540</v>
      </c>
      <c r="N14" s="92" t="s">
        <v>409</v>
      </c>
      <c r="O14" s="92" t="s">
        <v>495</v>
      </c>
      <c r="P14" s="92" t="s">
        <v>381</v>
      </c>
      <c r="Q14" s="92" t="s">
        <v>219</v>
      </c>
    </row>
    <row r="15" spans="1:19" ht="27">
      <c r="B15" s="92" t="s">
        <v>373</v>
      </c>
      <c r="C15" s="92" t="s">
        <v>378</v>
      </c>
      <c r="D15" s="92" t="s">
        <v>381</v>
      </c>
      <c r="E15" s="92" t="s">
        <v>343</v>
      </c>
      <c r="F15" s="92" t="s">
        <v>373</v>
      </c>
      <c r="G15" s="92" t="s">
        <v>423</v>
      </c>
      <c r="H15" s="92" t="s">
        <v>409</v>
      </c>
      <c r="I15" s="92" t="s">
        <v>461</v>
      </c>
      <c r="L15" s="92" t="s">
        <v>482</v>
      </c>
      <c r="M15" s="92" t="s">
        <v>541</v>
      </c>
      <c r="N15" s="92" t="s">
        <v>409</v>
      </c>
      <c r="O15" s="92" t="s">
        <v>496</v>
      </c>
      <c r="P15" s="92" t="s">
        <v>381</v>
      </c>
      <c r="Q15" s="92" t="s">
        <v>220</v>
      </c>
    </row>
    <row r="16" spans="1:19" ht="40.5">
      <c r="B16" s="92" t="s">
        <v>373</v>
      </c>
      <c r="C16" s="92" t="s">
        <v>379</v>
      </c>
      <c r="D16" s="92" t="s">
        <v>381</v>
      </c>
      <c r="E16" s="92" t="s">
        <v>344</v>
      </c>
      <c r="F16" s="92" t="s">
        <v>373</v>
      </c>
      <c r="G16" s="92" t="s">
        <v>424</v>
      </c>
      <c r="H16" s="92" t="s">
        <v>409</v>
      </c>
      <c r="I16" s="92" t="s">
        <v>462</v>
      </c>
      <c r="L16" s="92" t="s">
        <v>482</v>
      </c>
      <c r="M16" s="92" t="s">
        <v>542</v>
      </c>
      <c r="N16" s="92" t="s">
        <v>482</v>
      </c>
      <c r="O16" s="92" t="s">
        <v>497</v>
      </c>
      <c r="P16" s="92" t="s">
        <v>381</v>
      </c>
      <c r="Q16" s="92" t="s">
        <v>221</v>
      </c>
    </row>
    <row r="17" spans="4:17" ht="28.5">
      <c r="D17" s="92" t="s">
        <v>381</v>
      </c>
      <c r="E17" s="92" t="s">
        <v>345</v>
      </c>
      <c r="F17" s="92" t="s">
        <v>373</v>
      </c>
      <c r="G17" s="92" t="s">
        <v>425</v>
      </c>
      <c r="H17" s="92" t="s">
        <v>371</v>
      </c>
      <c r="I17" s="169" t="s">
        <v>484</v>
      </c>
      <c r="J17" s="169"/>
      <c r="K17" s="169"/>
      <c r="N17" s="92" t="s">
        <v>409</v>
      </c>
      <c r="O17" s="92" t="s">
        <v>498</v>
      </c>
      <c r="P17" s="92" t="s">
        <v>381</v>
      </c>
      <c r="Q17" s="92" t="s">
        <v>222</v>
      </c>
    </row>
    <row r="18" spans="4:17" ht="27">
      <c r="D18" s="92" t="s">
        <v>381</v>
      </c>
      <c r="E18" s="92" t="s">
        <v>346</v>
      </c>
      <c r="F18" s="92" t="s">
        <v>373</v>
      </c>
      <c r="G18" s="92" t="s">
        <v>426</v>
      </c>
      <c r="H18" s="92" t="s">
        <v>381</v>
      </c>
      <c r="I18" s="92" t="s">
        <v>463</v>
      </c>
      <c r="N18" s="92" t="s">
        <v>381</v>
      </c>
      <c r="O18" s="92" t="s">
        <v>499</v>
      </c>
      <c r="P18" s="92" t="s">
        <v>381</v>
      </c>
      <c r="Q18" s="92" t="s">
        <v>223</v>
      </c>
    </row>
    <row r="19" spans="4:17" ht="40.5">
      <c r="D19" s="92" t="s">
        <v>381</v>
      </c>
      <c r="E19" s="92" t="s">
        <v>347</v>
      </c>
      <c r="F19" s="92" t="s">
        <v>373</v>
      </c>
      <c r="G19" s="92" t="s">
        <v>427</v>
      </c>
      <c r="H19" s="92" t="s">
        <v>381</v>
      </c>
      <c r="I19" s="92" t="s">
        <v>464</v>
      </c>
      <c r="N19" s="92" t="s">
        <v>482</v>
      </c>
      <c r="O19" s="92" t="s">
        <v>500</v>
      </c>
      <c r="P19" s="92" t="s">
        <v>381</v>
      </c>
      <c r="Q19" s="92" t="s">
        <v>224</v>
      </c>
    </row>
    <row r="20" spans="4:17" ht="39">
      <c r="D20" s="92" t="s">
        <v>381</v>
      </c>
      <c r="E20" s="92" t="s">
        <v>348</v>
      </c>
      <c r="F20" s="92" t="s">
        <v>373</v>
      </c>
      <c r="G20" s="92" t="s">
        <v>428</v>
      </c>
      <c r="H20" s="92" t="s">
        <v>381</v>
      </c>
      <c r="I20" s="92" t="s">
        <v>465</v>
      </c>
      <c r="M20" s="169"/>
      <c r="N20" s="92" t="s">
        <v>482</v>
      </c>
      <c r="O20" s="92" t="s">
        <v>501</v>
      </c>
      <c r="P20" s="92" t="s">
        <v>371</v>
      </c>
      <c r="Q20" s="169" t="s">
        <v>150</v>
      </c>
    </row>
    <row r="21" spans="4:17" ht="40.5">
      <c r="D21" s="92" t="s">
        <v>381</v>
      </c>
      <c r="E21" s="92" t="s">
        <v>349</v>
      </c>
      <c r="F21" s="92" t="s">
        <v>373</v>
      </c>
      <c r="G21" s="92" t="s">
        <v>429</v>
      </c>
      <c r="H21" s="92" t="s">
        <v>409</v>
      </c>
      <c r="I21" s="92" t="s">
        <v>466</v>
      </c>
      <c r="N21" s="92" t="s">
        <v>409</v>
      </c>
      <c r="O21" s="92" t="s">
        <v>502</v>
      </c>
      <c r="P21" s="92" t="s">
        <v>381</v>
      </c>
      <c r="Q21" s="92" t="s">
        <v>225</v>
      </c>
    </row>
    <row r="22" spans="4:17" ht="42">
      <c r="D22" s="92" t="s">
        <v>381</v>
      </c>
      <c r="E22" s="92" t="s">
        <v>350</v>
      </c>
      <c r="F22" s="92" t="s">
        <v>373</v>
      </c>
      <c r="G22" s="92" t="s">
        <v>430</v>
      </c>
      <c r="H22" s="92" t="s">
        <v>371</v>
      </c>
      <c r="I22" s="92" t="s">
        <v>467</v>
      </c>
      <c r="N22" s="92" t="s">
        <v>371</v>
      </c>
      <c r="O22" s="169" t="s">
        <v>503</v>
      </c>
      <c r="P22" s="92" t="s">
        <v>381</v>
      </c>
      <c r="Q22" s="92" t="s">
        <v>226</v>
      </c>
    </row>
    <row r="23" spans="4:17" ht="40.5">
      <c r="D23" s="92" t="s">
        <v>381</v>
      </c>
      <c r="E23" s="92" t="s">
        <v>351</v>
      </c>
      <c r="F23" s="92" t="s">
        <v>373</v>
      </c>
      <c r="G23" s="92" t="s">
        <v>431</v>
      </c>
      <c r="H23" s="92" t="s">
        <v>381</v>
      </c>
      <c r="I23" s="92" t="s">
        <v>526</v>
      </c>
      <c r="N23" s="92" t="s">
        <v>482</v>
      </c>
      <c r="O23" s="92" t="s">
        <v>504</v>
      </c>
      <c r="P23" s="92" t="s">
        <v>381</v>
      </c>
      <c r="Q23" s="92" t="s">
        <v>227</v>
      </c>
    </row>
    <row r="24" spans="4:17" ht="28.5">
      <c r="D24" s="92" t="s">
        <v>371</v>
      </c>
      <c r="E24" s="169" t="s">
        <v>352</v>
      </c>
      <c r="F24" s="92" t="s">
        <v>373</v>
      </c>
      <c r="G24" s="92" t="s">
        <v>432</v>
      </c>
      <c r="H24" s="92" t="s">
        <v>381</v>
      </c>
      <c r="I24" s="92" t="s">
        <v>468</v>
      </c>
      <c r="N24" s="92" t="s">
        <v>409</v>
      </c>
      <c r="O24" s="92" t="s">
        <v>505</v>
      </c>
      <c r="P24" s="92" t="s">
        <v>381</v>
      </c>
      <c r="Q24" s="92" t="s">
        <v>228</v>
      </c>
    </row>
    <row r="25" spans="4:17" ht="28.5">
      <c r="D25" s="92" t="s">
        <v>373</v>
      </c>
      <c r="E25" s="92" t="s">
        <v>361</v>
      </c>
      <c r="F25" s="92" t="s">
        <v>373</v>
      </c>
      <c r="G25" s="92" t="s">
        <v>433</v>
      </c>
      <c r="H25" s="92" t="s">
        <v>371</v>
      </c>
      <c r="I25" s="169" t="s">
        <v>469</v>
      </c>
      <c r="J25" s="169"/>
      <c r="K25" s="169"/>
      <c r="N25" s="92" t="s">
        <v>409</v>
      </c>
      <c r="O25" s="92" t="s">
        <v>506</v>
      </c>
      <c r="P25" s="92" t="s">
        <v>381</v>
      </c>
      <c r="Q25" s="92" t="s">
        <v>229</v>
      </c>
    </row>
    <row r="26" spans="4:17" ht="40.5">
      <c r="D26" s="92" t="s">
        <v>381</v>
      </c>
      <c r="E26" s="92" t="s">
        <v>362</v>
      </c>
      <c r="F26" s="92" t="s">
        <v>373</v>
      </c>
      <c r="G26" s="92" t="s">
        <v>434</v>
      </c>
      <c r="H26" s="92" t="s">
        <v>381</v>
      </c>
      <c r="I26" s="92" t="s">
        <v>470</v>
      </c>
      <c r="N26" s="92" t="s">
        <v>409</v>
      </c>
      <c r="O26" s="92" t="s">
        <v>507</v>
      </c>
      <c r="P26" s="92" t="s">
        <v>381</v>
      </c>
      <c r="Q26" s="92" t="s">
        <v>230</v>
      </c>
    </row>
    <row r="27" spans="4:17" ht="40.5">
      <c r="D27" s="92" t="s">
        <v>373</v>
      </c>
      <c r="E27" s="92" t="s">
        <v>353</v>
      </c>
      <c r="F27" s="92" t="s">
        <v>373</v>
      </c>
      <c r="G27" s="92" t="s">
        <v>435</v>
      </c>
      <c r="H27" s="92" t="s">
        <v>381</v>
      </c>
      <c r="I27" s="92" t="s">
        <v>471</v>
      </c>
      <c r="N27" s="92" t="s">
        <v>409</v>
      </c>
      <c r="O27" s="92" t="s">
        <v>508</v>
      </c>
      <c r="P27" s="92" t="s">
        <v>381</v>
      </c>
      <c r="Q27" s="92" t="s">
        <v>231</v>
      </c>
    </row>
    <row r="28" spans="4:17" ht="27">
      <c r="D28" s="92" t="s">
        <v>373</v>
      </c>
      <c r="E28" s="92" t="s">
        <v>354</v>
      </c>
      <c r="F28" s="92" t="s">
        <v>373</v>
      </c>
      <c r="G28" s="92" t="s">
        <v>436</v>
      </c>
      <c r="H28" s="92" t="s">
        <v>381</v>
      </c>
      <c r="I28" s="92" t="s">
        <v>527</v>
      </c>
      <c r="N28" s="92" t="s">
        <v>409</v>
      </c>
      <c r="O28" s="92" t="s">
        <v>509</v>
      </c>
      <c r="P28" s="92" t="s">
        <v>381</v>
      </c>
      <c r="Q28" s="92" t="s">
        <v>232</v>
      </c>
    </row>
    <row r="29" spans="4:17" ht="27">
      <c r="D29" s="92" t="s">
        <v>373</v>
      </c>
      <c r="E29" s="92" t="s">
        <v>355</v>
      </c>
      <c r="F29" s="92" t="s">
        <v>373</v>
      </c>
      <c r="G29" s="92" t="s">
        <v>437</v>
      </c>
      <c r="H29" s="92" t="s">
        <v>381</v>
      </c>
      <c r="I29" s="92" t="s">
        <v>472</v>
      </c>
      <c r="N29" s="92" t="s">
        <v>409</v>
      </c>
      <c r="O29" s="92" t="s">
        <v>510</v>
      </c>
      <c r="P29" s="92" t="s">
        <v>381</v>
      </c>
      <c r="Q29" s="92" t="s">
        <v>233</v>
      </c>
    </row>
    <row r="30" spans="4:17" ht="40.5">
      <c r="D30" s="92" t="s">
        <v>373</v>
      </c>
      <c r="E30" s="92" t="s">
        <v>356</v>
      </c>
      <c r="F30" s="92" t="s">
        <v>373</v>
      </c>
      <c r="G30" s="92" t="s">
        <v>438</v>
      </c>
      <c r="H30" s="92" t="s">
        <v>381</v>
      </c>
      <c r="I30" s="92" t="s">
        <v>473</v>
      </c>
      <c r="N30" s="92" t="s">
        <v>409</v>
      </c>
      <c r="O30" s="92" t="s">
        <v>511</v>
      </c>
      <c r="P30" s="92" t="s">
        <v>381</v>
      </c>
      <c r="Q30" s="92" t="s">
        <v>234</v>
      </c>
    </row>
    <row r="31" spans="4:17" ht="27">
      <c r="D31" s="92" t="s">
        <v>373</v>
      </c>
      <c r="E31" s="92" t="s">
        <v>357</v>
      </c>
      <c r="F31" s="92" t="s">
        <v>373</v>
      </c>
      <c r="G31" s="92" t="s">
        <v>439</v>
      </c>
      <c r="H31" s="92" t="s">
        <v>381</v>
      </c>
      <c r="I31" s="92" t="s">
        <v>474</v>
      </c>
      <c r="N31" s="92" t="s">
        <v>482</v>
      </c>
      <c r="O31" s="92" t="s">
        <v>512</v>
      </c>
      <c r="P31" s="92" t="s">
        <v>381</v>
      </c>
      <c r="Q31" s="92" t="s">
        <v>235</v>
      </c>
    </row>
    <row r="32" spans="4:17" ht="27">
      <c r="D32" s="92" t="s">
        <v>373</v>
      </c>
      <c r="E32" s="92" t="s">
        <v>358</v>
      </c>
      <c r="F32" s="92" t="s">
        <v>373</v>
      </c>
      <c r="G32" s="92" t="s">
        <v>440</v>
      </c>
      <c r="H32" s="92" t="s">
        <v>381</v>
      </c>
      <c r="I32" s="92" t="s">
        <v>475</v>
      </c>
      <c r="N32" s="92" t="s">
        <v>381</v>
      </c>
      <c r="O32" s="92" t="s">
        <v>513</v>
      </c>
      <c r="P32" s="92" t="s">
        <v>381</v>
      </c>
      <c r="Q32" s="92" t="s">
        <v>236</v>
      </c>
    </row>
    <row r="33" spans="4:17" ht="27">
      <c r="D33" s="92" t="s">
        <v>373</v>
      </c>
      <c r="E33" s="92" t="s">
        <v>359</v>
      </c>
      <c r="F33" s="92" t="s">
        <v>373</v>
      </c>
      <c r="G33" s="92" t="s">
        <v>441</v>
      </c>
      <c r="H33" s="92" t="s">
        <v>381</v>
      </c>
      <c r="I33" s="92" t="s">
        <v>476</v>
      </c>
      <c r="N33" s="92" t="s">
        <v>409</v>
      </c>
      <c r="O33" s="92" t="s">
        <v>514</v>
      </c>
      <c r="P33" s="92" t="s">
        <v>381</v>
      </c>
      <c r="Q33" s="92" t="s">
        <v>237</v>
      </c>
    </row>
    <row r="34" spans="4:17" ht="54">
      <c r="D34" s="92" t="s">
        <v>373</v>
      </c>
      <c r="E34" s="92" t="s">
        <v>360</v>
      </c>
      <c r="F34" s="92" t="s">
        <v>373</v>
      </c>
      <c r="G34" s="92" t="s">
        <v>442</v>
      </c>
      <c r="H34" s="92" t="s">
        <v>381</v>
      </c>
      <c r="I34" s="92" t="s">
        <v>528</v>
      </c>
      <c r="N34" s="92" t="s">
        <v>381</v>
      </c>
      <c r="O34" s="92" t="s">
        <v>515</v>
      </c>
      <c r="P34" s="92" t="s">
        <v>381</v>
      </c>
      <c r="Q34" s="92" t="s">
        <v>238</v>
      </c>
    </row>
    <row r="35" spans="4:17" ht="39">
      <c r="F35" s="92" t="s">
        <v>373</v>
      </c>
      <c r="G35" s="92" t="s">
        <v>443</v>
      </c>
      <c r="H35" s="92" t="s">
        <v>381</v>
      </c>
      <c r="I35" s="92" t="s">
        <v>477</v>
      </c>
      <c r="M35" s="169"/>
      <c r="N35" s="92" t="s">
        <v>409</v>
      </c>
      <c r="O35" s="92" t="s">
        <v>516</v>
      </c>
      <c r="P35" s="92" t="s">
        <v>371</v>
      </c>
      <c r="Q35" s="169" t="s">
        <v>151</v>
      </c>
    </row>
    <row r="36" spans="4:17" ht="27">
      <c r="F36" s="92" t="s">
        <v>373</v>
      </c>
      <c r="G36" s="92" t="s">
        <v>444</v>
      </c>
      <c r="H36" s="92" t="s">
        <v>381</v>
      </c>
      <c r="I36" s="92" t="s">
        <v>478</v>
      </c>
      <c r="N36" s="92" t="s">
        <v>409</v>
      </c>
      <c r="O36" s="92" t="s">
        <v>517</v>
      </c>
      <c r="P36" s="92" t="s">
        <v>381</v>
      </c>
      <c r="Q36" s="92" t="s">
        <v>239</v>
      </c>
    </row>
    <row r="37" spans="4:17" ht="27">
      <c r="F37" s="92" t="s">
        <v>373</v>
      </c>
      <c r="G37" s="92" t="s">
        <v>445</v>
      </c>
      <c r="H37" s="92" t="s">
        <v>381</v>
      </c>
      <c r="I37" s="92" t="s">
        <v>479</v>
      </c>
      <c r="N37" s="92" t="s">
        <v>409</v>
      </c>
      <c r="O37" s="92" t="s">
        <v>518</v>
      </c>
      <c r="P37" s="92" t="s">
        <v>381</v>
      </c>
      <c r="Q37" s="92" t="s">
        <v>240</v>
      </c>
    </row>
    <row r="38" spans="4:17" ht="28.5">
      <c r="H38" s="92" t="s">
        <v>381</v>
      </c>
      <c r="I38" s="92" t="s">
        <v>480</v>
      </c>
      <c r="N38" s="92" t="s">
        <v>371</v>
      </c>
      <c r="O38" s="169" t="s">
        <v>519</v>
      </c>
      <c r="P38" s="92" t="s">
        <v>381</v>
      </c>
      <c r="Q38" s="92" t="s">
        <v>241</v>
      </c>
    </row>
    <row r="39" spans="4:17" ht="28.5">
      <c r="H39" s="92" t="s">
        <v>371</v>
      </c>
      <c r="I39" s="169" t="s">
        <v>481</v>
      </c>
      <c r="J39" s="169"/>
      <c r="K39" s="169"/>
      <c r="N39" s="92" t="s">
        <v>482</v>
      </c>
      <c r="O39" s="92" t="s">
        <v>520</v>
      </c>
      <c r="P39" s="92" t="s">
        <v>381</v>
      </c>
      <c r="Q39" s="92" t="s">
        <v>242</v>
      </c>
    </row>
    <row r="40" spans="4:17" ht="27">
      <c r="H40" s="92" t="s">
        <v>482</v>
      </c>
      <c r="I40" s="92" t="s">
        <v>483</v>
      </c>
      <c r="N40" s="92" t="s">
        <v>482</v>
      </c>
      <c r="O40" s="92" t="s">
        <v>521</v>
      </c>
      <c r="P40" s="92" t="s">
        <v>381</v>
      </c>
      <c r="Q40" s="92" t="s">
        <v>243</v>
      </c>
    </row>
    <row r="41" spans="4:17" ht="27">
      <c r="N41" s="92" t="s">
        <v>408</v>
      </c>
      <c r="O41" s="92" t="s">
        <v>522</v>
      </c>
      <c r="P41" s="92" t="s">
        <v>381</v>
      </c>
      <c r="Q41" s="92" t="s">
        <v>244</v>
      </c>
    </row>
    <row r="42" spans="4:17" ht="27">
      <c r="N42" s="92" t="s">
        <v>409</v>
      </c>
      <c r="O42" s="92" t="s">
        <v>523</v>
      </c>
      <c r="P42" s="92" t="s">
        <v>381</v>
      </c>
      <c r="Q42" s="92" t="s">
        <v>245</v>
      </c>
    </row>
    <row r="43" spans="4:17" ht="19.5">
      <c r="I43" s="169"/>
      <c r="J43" s="169"/>
      <c r="K43" s="169"/>
      <c r="P43" s="92" t="s">
        <v>381</v>
      </c>
      <c r="Q43" s="92" t="s">
        <v>246</v>
      </c>
    </row>
    <row r="44" spans="4:17" ht="27">
      <c r="P44" s="92" t="s">
        <v>381</v>
      </c>
      <c r="Q44" s="92" t="s">
        <v>247</v>
      </c>
    </row>
    <row r="45" spans="4:17">
      <c r="F45" s="91"/>
      <c r="G45" s="91"/>
      <c r="P45" s="92" t="s">
        <v>381</v>
      </c>
      <c r="Q45" s="92" t="s">
        <v>248</v>
      </c>
    </row>
    <row r="46" spans="4:17">
      <c r="F46" s="91"/>
      <c r="G46" s="91"/>
      <c r="P46" s="92" t="s">
        <v>381</v>
      </c>
      <c r="Q46" s="92" t="s">
        <v>249</v>
      </c>
    </row>
    <row r="47" spans="4:17">
      <c r="P47" s="92" t="s">
        <v>381</v>
      </c>
      <c r="Q47" s="92" t="s">
        <v>250</v>
      </c>
    </row>
    <row r="48" spans="4:17" ht="40.5">
      <c r="P48" s="92" t="s">
        <v>381</v>
      </c>
      <c r="Q48" s="92" t="s">
        <v>251</v>
      </c>
    </row>
    <row r="49" spans="7:17" ht="27">
      <c r="P49" s="92" t="s">
        <v>381</v>
      </c>
      <c r="Q49" s="92" t="s">
        <v>252</v>
      </c>
    </row>
    <row r="50" spans="7:17">
      <c r="P50" s="92" t="s">
        <v>381</v>
      </c>
      <c r="Q50" s="92" t="s">
        <v>253</v>
      </c>
    </row>
    <row r="51" spans="7:17" ht="27">
      <c r="P51" s="92" t="s">
        <v>381</v>
      </c>
      <c r="Q51" s="92" t="s">
        <v>254</v>
      </c>
    </row>
    <row r="52" spans="7:17">
      <c r="P52" s="92" t="s">
        <v>381</v>
      </c>
      <c r="Q52" s="92" t="s">
        <v>255</v>
      </c>
    </row>
    <row r="53" spans="7:17">
      <c r="P53" s="92" t="s">
        <v>381</v>
      </c>
      <c r="Q53" s="92" t="s">
        <v>256</v>
      </c>
    </row>
    <row r="54" spans="7:17">
      <c r="P54" s="92" t="s">
        <v>381</v>
      </c>
      <c r="Q54" s="92" t="s">
        <v>257</v>
      </c>
    </row>
    <row r="55" spans="7:17">
      <c r="P55" s="92" t="s">
        <v>381</v>
      </c>
      <c r="Q55" s="92" t="s">
        <v>258</v>
      </c>
    </row>
    <row r="56" spans="7:17">
      <c r="P56" s="92" t="s">
        <v>381</v>
      </c>
      <c r="Q56" s="92" t="s">
        <v>259</v>
      </c>
    </row>
    <row r="57" spans="7:17" ht="19.5">
      <c r="G57" s="169"/>
      <c r="M57" s="169"/>
      <c r="O57" s="169"/>
      <c r="P57" s="92" t="s">
        <v>371</v>
      </c>
      <c r="Q57" s="169" t="s">
        <v>153</v>
      </c>
    </row>
    <row r="58" spans="7:17" ht="78">
      <c r="G58" s="169"/>
      <c r="M58" s="169"/>
      <c r="O58" s="169"/>
      <c r="P58" s="92" t="s">
        <v>371</v>
      </c>
      <c r="Q58" s="169" t="s">
        <v>152</v>
      </c>
    </row>
    <row r="59" spans="7:17">
      <c r="P59" s="92" t="s">
        <v>381</v>
      </c>
      <c r="Q59" s="92" t="s">
        <v>260</v>
      </c>
    </row>
    <row r="60" spans="7:17" ht="27">
      <c r="P60" s="92" t="s">
        <v>381</v>
      </c>
      <c r="Q60" s="92" t="s">
        <v>261</v>
      </c>
    </row>
    <row r="61" spans="7:17">
      <c r="P61" s="92" t="s">
        <v>381</v>
      </c>
      <c r="Q61" s="92" t="s">
        <v>262</v>
      </c>
    </row>
    <row r="62" spans="7:17">
      <c r="P62" s="92" t="s">
        <v>381</v>
      </c>
      <c r="Q62" s="92" t="s">
        <v>263</v>
      </c>
    </row>
    <row r="63" spans="7:17">
      <c r="P63" s="92" t="s">
        <v>381</v>
      </c>
      <c r="Q63" s="92" t="s">
        <v>264</v>
      </c>
    </row>
    <row r="64" spans="7:17">
      <c r="P64" s="92" t="s">
        <v>381</v>
      </c>
      <c r="Q64" s="92" t="s">
        <v>265</v>
      </c>
    </row>
    <row r="65" spans="7:17">
      <c r="P65" s="92" t="s">
        <v>381</v>
      </c>
      <c r="Q65" s="92" t="s">
        <v>266</v>
      </c>
    </row>
    <row r="66" spans="7:17" ht="27">
      <c r="P66" s="92" t="s">
        <v>381</v>
      </c>
      <c r="Q66" s="92" t="s">
        <v>267</v>
      </c>
    </row>
    <row r="67" spans="7:17">
      <c r="P67" s="92" t="s">
        <v>381</v>
      </c>
      <c r="Q67" s="92" t="s">
        <v>268</v>
      </c>
    </row>
    <row r="68" spans="7:17">
      <c r="P68" s="92" t="s">
        <v>381</v>
      </c>
      <c r="Q68" s="92" t="s">
        <v>269</v>
      </c>
    </row>
    <row r="69" spans="7:17">
      <c r="P69" s="92" t="s">
        <v>381</v>
      </c>
      <c r="Q69" s="92" t="s">
        <v>270</v>
      </c>
    </row>
    <row r="70" spans="7:17">
      <c r="P70" s="92" t="s">
        <v>381</v>
      </c>
      <c r="Q70" s="92" t="s">
        <v>271</v>
      </c>
    </row>
    <row r="71" spans="7:17">
      <c r="P71" s="92" t="s">
        <v>381</v>
      </c>
      <c r="Q71" s="92" t="s">
        <v>272</v>
      </c>
    </row>
    <row r="72" spans="7:17">
      <c r="P72" s="92" t="s">
        <v>381</v>
      </c>
      <c r="Q72" s="92" t="s">
        <v>273</v>
      </c>
    </row>
    <row r="73" spans="7:17">
      <c r="P73" s="92" t="s">
        <v>381</v>
      </c>
      <c r="Q73" s="92" t="s">
        <v>274</v>
      </c>
    </row>
    <row r="74" spans="7:17">
      <c r="P74" s="92" t="s">
        <v>381</v>
      </c>
      <c r="Q74" s="92" t="s">
        <v>275</v>
      </c>
    </row>
    <row r="75" spans="7:17">
      <c r="P75" s="92" t="s">
        <v>381</v>
      </c>
      <c r="Q75" s="92" t="s">
        <v>276</v>
      </c>
    </row>
    <row r="76" spans="7:17" ht="27">
      <c r="P76" s="92" t="s">
        <v>381</v>
      </c>
      <c r="Q76" s="92" t="s">
        <v>277</v>
      </c>
    </row>
    <row r="77" spans="7:17" ht="19.5">
      <c r="G77" s="169"/>
      <c r="M77" s="169"/>
      <c r="O77" s="169"/>
      <c r="P77" s="92" t="s">
        <v>371</v>
      </c>
      <c r="Q77" s="169" t="s">
        <v>157</v>
      </c>
    </row>
    <row r="78" spans="7:17" ht="39">
      <c r="G78" s="169"/>
      <c r="M78" s="169"/>
      <c r="O78" s="169"/>
      <c r="P78" s="92" t="s">
        <v>371</v>
      </c>
      <c r="Q78" s="169" t="s">
        <v>154</v>
      </c>
    </row>
    <row r="79" spans="7:17" ht="27">
      <c r="P79" s="92" t="s">
        <v>381</v>
      </c>
      <c r="Q79" s="92" t="s">
        <v>278</v>
      </c>
    </row>
    <row r="80" spans="7:17" ht="27">
      <c r="P80" s="92" t="s">
        <v>381</v>
      </c>
      <c r="Q80" s="92" t="s">
        <v>279</v>
      </c>
    </row>
    <row r="81" spans="16:17" ht="27">
      <c r="P81" s="92" t="s">
        <v>381</v>
      </c>
      <c r="Q81" s="92" t="s">
        <v>280</v>
      </c>
    </row>
    <row r="82" spans="16:17" ht="27">
      <c r="P82" s="92" t="s">
        <v>381</v>
      </c>
      <c r="Q82" s="92" t="s">
        <v>281</v>
      </c>
    </row>
    <row r="83" spans="16:17" ht="40.5">
      <c r="P83" s="92" t="s">
        <v>381</v>
      </c>
      <c r="Q83" s="92" t="s">
        <v>282</v>
      </c>
    </row>
    <row r="84" spans="16:17" ht="27">
      <c r="P84" s="92" t="s">
        <v>381</v>
      </c>
      <c r="Q84" s="92" t="s">
        <v>283</v>
      </c>
    </row>
    <row r="85" spans="16:17">
      <c r="P85" s="92" t="s">
        <v>381</v>
      </c>
      <c r="Q85" s="92" t="s">
        <v>155</v>
      </c>
    </row>
    <row r="86" spans="16:17" ht="27">
      <c r="P86" s="92" t="s">
        <v>381</v>
      </c>
      <c r="Q86" s="92" t="s">
        <v>284</v>
      </c>
    </row>
    <row r="87" spans="16:17" ht="40.5">
      <c r="P87" s="92" t="s">
        <v>381</v>
      </c>
      <c r="Q87" s="92" t="s">
        <v>285</v>
      </c>
    </row>
    <row r="88" spans="16:17" ht="40.5">
      <c r="P88" s="92" t="s">
        <v>381</v>
      </c>
      <c r="Q88" s="92" t="s">
        <v>286</v>
      </c>
    </row>
    <row r="89" spans="16:17">
      <c r="P89" s="92" t="s">
        <v>381</v>
      </c>
      <c r="Q89" s="92" t="s">
        <v>287</v>
      </c>
    </row>
    <row r="90" spans="16:17">
      <c r="P90" s="92" t="s">
        <v>381</v>
      </c>
      <c r="Q90" s="92" t="s">
        <v>288</v>
      </c>
    </row>
    <row r="91" spans="16:17" ht="27">
      <c r="P91" s="92" t="s">
        <v>381</v>
      </c>
      <c r="Q91" s="92" t="s">
        <v>289</v>
      </c>
    </row>
    <row r="92" spans="16:17">
      <c r="P92" s="92" t="s">
        <v>381</v>
      </c>
      <c r="Q92" s="92" t="s">
        <v>290</v>
      </c>
    </row>
    <row r="93" spans="16:17">
      <c r="P93" s="92" t="s">
        <v>381</v>
      </c>
      <c r="Q93" s="92" t="s">
        <v>291</v>
      </c>
    </row>
    <row r="94" spans="16:17">
      <c r="P94" s="92" t="s">
        <v>381</v>
      </c>
      <c r="Q94" s="92" t="s">
        <v>292</v>
      </c>
    </row>
    <row r="95" spans="16:17">
      <c r="P95" s="92" t="s">
        <v>381</v>
      </c>
      <c r="Q95" s="92" t="s">
        <v>293</v>
      </c>
    </row>
    <row r="96" spans="16:17" ht="40.5">
      <c r="P96" s="92" t="s">
        <v>381</v>
      </c>
      <c r="Q96" s="92" t="s">
        <v>294</v>
      </c>
    </row>
    <row r="97" spans="7:17" ht="19.5">
      <c r="G97" s="169"/>
      <c r="M97" s="169"/>
      <c r="O97" s="169"/>
      <c r="P97" s="92" t="s">
        <v>371</v>
      </c>
      <c r="Q97" s="169" t="s">
        <v>158</v>
      </c>
    </row>
    <row r="98" spans="7:17" ht="19.5">
      <c r="G98" s="169"/>
      <c r="M98" s="169"/>
      <c r="O98" s="169"/>
      <c r="P98" s="92" t="s">
        <v>371</v>
      </c>
      <c r="Q98" s="169" t="s">
        <v>410</v>
      </c>
    </row>
    <row r="99" spans="7:17">
      <c r="P99" s="92" t="s">
        <v>381</v>
      </c>
      <c r="Q99" s="92" t="s">
        <v>295</v>
      </c>
    </row>
    <row r="100" spans="7:17" ht="27">
      <c r="P100" s="92" t="s">
        <v>381</v>
      </c>
      <c r="Q100" s="92" t="s">
        <v>296</v>
      </c>
    </row>
    <row r="101" spans="7:17" ht="27">
      <c r="P101" s="92" t="s">
        <v>381</v>
      </c>
      <c r="Q101" s="92" t="s">
        <v>297</v>
      </c>
    </row>
    <row r="102" spans="7:17" ht="27">
      <c r="P102" s="92" t="s">
        <v>381</v>
      </c>
      <c r="Q102" s="92" t="s">
        <v>298</v>
      </c>
    </row>
    <row r="103" spans="7:17" ht="27">
      <c r="P103" s="92" t="s">
        <v>381</v>
      </c>
      <c r="Q103" s="92" t="s">
        <v>299</v>
      </c>
    </row>
    <row r="104" spans="7:17">
      <c r="P104" s="92" t="s">
        <v>381</v>
      </c>
      <c r="Q104" s="92" t="s">
        <v>300</v>
      </c>
    </row>
    <row r="105" spans="7:17" ht="27">
      <c r="P105" s="92" t="s">
        <v>381</v>
      </c>
      <c r="Q105" s="92" t="s">
        <v>301</v>
      </c>
    </row>
    <row r="106" spans="7:17">
      <c r="P106" s="92" t="s">
        <v>381</v>
      </c>
      <c r="Q106" s="92" t="s">
        <v>302</v>
      </c>
    </row>
    <row r="107" spans="7:17" ht="27">
      <c r="P107" s="92" t="s">
        <v>381</v>
      </c>
      <c r="Q107" s="92" t="s">
        <v>303</v>
      </c>
    </row>
    <row r="108" spans="7:17">
      <c r="P108" s="92" t="s">
        <v>381</v>
      </c>
      <c r="Q108" s="92" t="s">
        <v>304</v>
      </c>
    </row>
    <row r="109" spans="7:17" ht="27">
      <c r="P109" s="92" t="s">
        <v>381</v>
      </c>
      <c r="Q109" s="92" t="s">
        <v>305</v>
      </c>
    </row>
    <row r="110" spans="7:17" ht="27">
      <c r="P110" s="92" t="s">
        <v>381</v>
      </c>
      <c r="Q110" s="92" t="s">
        <v>306</v>
      </c>
    </row>
    <row r="111" spans="7:17">
      <c r="P111" s="92" t="s">
        <v>381</v>
      </c>
      <c r="Q111" s="92" t="s">
        <v>307</v>
      </c>
    </row>
    <row r="112" spans="7:17">
      <c r="P112" s="92" t="s">
        <v>381</v>
      </c>
      <c r="Q112" s="92" t="s">
        <v>308</v>
      </c>
    </row>
    <row r="113" spans="7:17">
      <c r="P113" s="92" t="s">
        <v>381</v>
      </c>
      <c r="Q113" s="92" t="s">
        <v>309</v>
      </c>
    </row>
    <row r="114" spans="7:17">
      <c r="P114" s="92" t="s">
        <v>381</v>
      </c>
      <c r="Q114" s="92" t="s">
        <v>310</v>
      </c>
    </row>
    <row r="115" spans="7:17" ht="19.5">
      <c r="G115" s="169"/>
      <c r="M115" s="169"/>
      <c r="O115" s="169"/>
      <c r="P115" s="92" t="s">
        <v>371</v>
      </c>
      <c r="Q115" s="169" t="s">
        <v>159</v>
      </c>
    </row>
    <row r="116" spans="7:17" ht="19.5">
      <c r="G116" s="169"/>
      <c r="M116" s="169"/>
      <c r="O116" s="169"/>
      <c r="P116" s="92" t="s">
        <v>371</v>
      </c>
      <c r="Q116" s="169" t="s">
        <v>156</v>
      </c>
    </row>
    <row r="117" spans="7:17" ht="19.5">
      <c r="G117" s="169"/>
      <c r="M117" s="169"/>
      <c r="O117" s="169"/>
      <c r="P117" s="92" t="s">
        <v>371</v>
      </c>
      <c r="Q117" s="169" t="s">
        <v>411</v>
      </c>
    </row>
    <row r="118" spans="7:17">
      <c r="P118" s="92" t="s">
        <v>381</v>
      </c>
      <c r="Q118" s="92" t="s">
        <v>311</v>
      </c>
    </row>
    <row r="119" spans="7:17">
      <c r="P119" s="92" t="s">
        <v>381</v>
      </c>
      <c r="Q119" s="92" t="s">
        <v>219</v>
      </c>
    </row>
    <row r="120" spans="7:17">
      <c r="P120" s="92" t="s">
        <v>381</v>
      </c>
      <c r="Q120" s="92" t="s">
        <v>312</v>
      </c>
    </row>
    <row r="121" spans="7:17">
      <c r="P121" s="92" t="s">
        <v>381</v>
      </c>
      <c r="Q121" s="92" t="s">
        <v>313</v>
      </c>
    </row>
    <row r="122" spans="7:17">
      <c r="P122" s="92" t="s">
        <v>381</v>
      </c>
      <c r="Q122" s="92" t="s">
        <v>314</v>
      </c>
    </row>
    <row r="123" spans="7:17">
      <c r="P123" s="92" t="s">
        <v>381</v>
      </c>
      <c r="Q123" s="92" t="s">
        <v>315</v>
      </c>
    </row>
    <row r="124" spans="7:17">
      <c r="P124" s="92" t="s">
        <v>381</v>
      </c>
      <c r="Q124" s="92" t="s">
        <v>316</v>
      </c>
    </row>
    <row r="125" spans="7:17">
      <c r="P125" s="92" t="s">
        <v>381</v>
      </c>
      <c r="Q125" s="92" t="s">
        <v>317</v>
      </c>
    </row>
    <row r="126" spans="7:17">
      <c r="P126" s="92" t="s">
        <v>381</v>
      </c>
      <c r="Q126" s="92" t="s">
        <v>318</v>
      </c>
    </row>
    <row r="127" spans="7:17">
      <c r="P127" s="92" t="s">
        <v>381</v>
      </c>
      <c r="Q127" s="92" t="s">
        <v>319</v>
      </c>
    </row>
    <row r="128" spans="7:17">
      <c r="P128" s="92" t="s">
        <v>381</v>
      </c>
      <c r="Q128" s="92" t="s">
        <v>320</v>
      </c>
    </row>
    <row r="129" spans="16:17">
      <c r="P129" s="92" t="s">
        <v>381</v>
      </c>
      <c r="Q129" s="92" t="s">
        <v>321</v>
      </c>
    </row>
    <row r="130" spans="16:17">
      <c r="P130" s="92" t="s">
        <v>381</v>
      </c>
      <c r="Q130" s="92" t="s">
        <v>322</v>
      </c>
    </row>
  </sheetData>
  <mergeCells count="33">
    <mergeCell ref="P1:Q1"/>
    <mergeCell ref="R1:R3"/>
    <mergeCell ref="B2:C2"/>
    <mergeCell ref="D2:E2"/>
    <mergeCell ref="P2:Q2"/>
    <mergeCell ref="B3:C3"/>
    <mergeCell ref="H3:I3"/>
    <mergeCell ref="L1:M1"/>
    <mergeCell ref="L2:M2"/>
    <mergeCell ref="L3:M3"/>
    <mergeCell ref="L4:M4"/>
    <mergeCell ref="F1:G1"/>
    <mergeCell ref="B1:C1"/>
    <mergeCell ref="D1:E1"/>
    <mergeCell ref="D3:E3"/>
    <mergeCell ref="J2:K2"/>
    <mergeCell ref="J3:K3"/>
    <mergeCell ref="J4:K4"/>
    <mergeCell ref="H4:I4"/>
    <mergeCell ref="P3:Q3"/>
    <mergeCell ref="B4:C4"/>
    <mergeCell ref="D4:E4"/>
    <mergeCell ref="P4:Q4"/>
    <mergeCell ref="N1:O1"/>
    <mergeCell ref="N2:O2"/>
    <mergeCell ref="N3:O3"/>
    <mergeCell ref="N4:O4"/>
    <mergeCell ref="F2:G2"/>
    <mergeCell ref="F3:G3"/>
    <mergeCell ref="F4:G4"/>
    <mergeCell ref="H1:I1"/>
    <mergeCell ref="H2:I2"/>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20" customWidth="1"/>
    <col min="5" max="5" width="14.125" style="121" customWidth="1"/>
    <col min="6" max="6" width="9.875" style="120" customWidth="1"/>
    <col min="7" max="7" width="10.125" style="120" customWidth="1"/>
    <col min="8" max="8" width="10" style="120" customWidth="1"/>
    <col min="9" max="10" width="9.875" style="120" customWidth="1"/>
    <col min="11" max="11" width="5" style="120" customWidth="1"/>
    <col min="12" max="16384" width="9" style="32"/>
  </cols>
  <sheetData>
    <row r="1" spans="1:11" ht="21">
      <c r="A1" s="119" t="s">
        <v>166</v>
      </c>
    </row>
    <row r="2" spans="1:11">
      <c r="A2" s="32" t="str">
        <f>'Calling Notice'!A9</f>
        <v>Item Size (Added)</v>
      </c>
      <c r="B2" s="225" t="str">
        <f>'Calling Notice'!B9</f>
        <v>&lt;Item Size&gt;</v>
      </c>
      <c r="C2" s="225"/>
    </row>
    <row r="3" spans="1:11" ht="24">
      <c r="A3" s="32" t="str">
        <f>'Calling Notice'!A10</f>
        <v>Item Size (Modified)</v>
      </c>
      <c r="B3" s="225" t="str">
        <f>'Calling Notice'!B10</f>
        <v>&lt;Item Size&gt;</v>
      </c>
      <c r="C3" s="225"/>
      <c r="E3" s="122" t="str">
        <f>IF(CaptureEffortData,"","THERE IS NO NEED TO FILL IN THIS SHEET")</f>
        <v/>
      </c>
    </row>
    <row r="4" spans="1:11">
      <c r="A4" s="32" t="str">
        <f>'Calling Notice'!A11</f>
        <v>Item Size (Deleted)</v>
      </c>
      <c r="B4" s="225" t="str">
        <f>'Calling Notice'!B11</f>
        <v>&lt;Item Size&gt;</v>
      </c>
      <c r="C4" s="225"/>
    </row>
    <row r="5" spans="1:11">
      <c r="A5" s="32" t="str">
        <f>'Calling Notice'!A12</f>
        <v>Item Size Units</v>
      </c>
      <c r="B5" s="225" t="str">
        <f>'Calling Notice'!B12</f>
        <v>&lt;Item Size Units&gt;</v>
      </c>
      <c r="C5" s="225"/>
    </row>
    <row r="6" spans="1:11">
      <c r="A6" s="123" t="s">
        <v>167</v>
      </c>
      <c r="B6" s="225" t="str">
        <f>IF(SUM(B2:B4)=0,"&lt;Item Size&gt;",SUM(B2:B4))</f>
        <v>&lt;Item Size&gt;</v>
      </c>
      <c r="C6" s="225"/>
    </row>
    <row r="8" spans="1:11" ht="21">
      <c r="A8" s="119" t="s">
        <v>104</v>
      </c>
      <c r="B8" s="119"/>
    </row>
    <row r="9" spans="1:11">
      <c r="A9" s="124"/>
      <c r="B9" s="125"/>
    </row>
    <row r="10" spans="1:11" ht="24" customHeight="1">
      <c r="A10" s="219" t="s">
        <v>103</v>
      </c>
      <c r="B10" s="220"/>
      <c r="C10" s="37">
        <f>SUM(C14:C23)</f>
        <v>0</v>
      </c>
      <c r="D10" s="49"/>
      <c r="E10" s="126"/>
    </row>
    <row r="11" spans="1:11">
      <c r="A11" s="221" t="s">
        <v>102</v>
      </c>
      <c r="B11" s="222"/>
      <c r="C11" s="48" t="str">
        <f>CONCATENATE(INT(C10/60)," hour(s) and ", MOD(C10,60), " minutes")</f>
        <v>0 hour(s) and 0 minutes</v>
      </c>
      <c r="D11" s="47"/>
      <c r="E11" s="126"/>
    </row>
    <row r="12" spans="1:11">
      <c r="D12" s="127"/>
      <c r="G12" s="128" t="s">
        <v>87</v>
      </c>
      <c r="H12" s="128" t="s">
        <v>86</v>
      </c>
      <c r="I12" s="128" t="s">
        <v>136</v>
      </c>
      <c r="J12" s="128" t="s">
        <v>85</v>
      </c>
      <c r="K12" s="128"/>
    </row>
    <row r="13" spans="1:11" ht="45.75" customHeight="1" outlineLevel="1">
      <c r="A13" s="129" t="s">
        <v>101</v>
      </c>
      <c r="B13" s="130" t="s">
        <v>100</v>
      </c>
      <c r="C13" s="131" t="s">
        <v>99</v>
      </c>
      <c r="D13" s="132" t="s">
        <v>93</v>
      </c>
      <c r="E13" s="133" t="s">
        <v>98</v>
      </c>
      <c r="F13" s="134" t="s">
        <v>97</v>
      </c>
      <c r="G13" s="134" t="s">
        <v>96</v>
      </c>
      <c r="H13" s="134" t="s">
        <v>95</v>
      </c>
      <c r="I13" s="134" t="s">
        <v>135</v>
      </c>
      <c r="J13" s="134" t="s">
        <v>94</v>
      </c>
      <c r="K13" s="135" t="s">
        <v>93</v>
      </c>
    </row>
    <row r="14" spans="1:11" outlineLevel="1">
      <c r="A14" s="150"/>
      <c r="B14" s="150"/>
      <c r="C14" s="150"/>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50"/>
      <c r="B15" s="150"/>
      <c r="C15" s="150"/>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50"/>
      <c r="B16" s="150"/>
      <c r="C16" s="150"/>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50"/>
      <c r="B17" s="150"/>
      <c r="C17" s="150"/>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50"/>
      <c r="B18" s="150"/>
      <c r="C18" s="150"/>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50"/>
      <c r="B19" s="150"/>
      <c r="C19" s="150"/>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50"/>
      <c r="B20" s="150"/>
      <c r="C20" s="150"/>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50"/>
      <c r="B21" s="150"/>
      <c r="C21" s="150"/>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50"/>
      <c r="B22" s="150"/>
      <c r="C22" s="150"/>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50"/>
      <c r="B23" s="150"/>
      <c r="C23" s="150"/>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24" t="s">
        <v>92</v>
      </c>
      <c r="B24" s="224"/>
      <c r="C24" s="137">
        <f>TotalTimeSpentReviewing</f>
        <v>0</v>
      </c>
      <c r="D24" s="138"/>
      <c r="E24" s="44" t="str">
        <f>IF(NOT(ISNUMBER(ItemSize)),"Enter Item Size",IF(C24&gt;0,ItemSize/C24,"-"))</f>
        <v>Enter Item Size</v>
      </c>
      <c r="F24" s="139">
        <f>SUM(F14:F23)</f>
        <v>0</v>
      </c>
      <c r="G24" s="139">
        <f>SUM(G14:G23)</f>
        <v>0</v>
      </c>
      <c r="H24" s="139">
        <f>SUM(H14:H23)</f>
        <v>0</v>
      </c>
      <c r="I24" s="139">
        <f>SUM(I14:I23)</f>
        <v>0</v>
      </c>
      <c r="J24" s="139">
        <f>SUM(J14:J23)</f>
        <v>0</v>
      </c>
      <c r="K24" s="43" t="str">
        <f>IF(F24=G24+H24+I24+J24,CheckOK,CheckErr)</f>
        <v/>
      </c>
    </row>
    <row r="25" spans="1:11" s="143" customFormat="1" ht="27" customHeight="1" outlineLevel="1">
      <c r="A25" s="223" t="s">
        <v>91</v>
      </c>
      <c r="B25" s="223"/>
      <c r="C25" s="136"/>
      <c r="D25" s="140"/>
      <c r="E25" s="141"/>
      <c r="F25" s="142">
        <f>COUNTA(DevCommentInitials)</f>
        <v>0</v>
      </c>
      <c r="G25" s="142">
        <f>COUNTIF(DevCommentStatuses,G$12)</f>
        <v>0</v>
      </c>
      <c r="H25" s="142">
        <f>COUNTIF(DevCommentStatuses,H$12)</f>
        <v>0</v>
      </c>
      <c r="I25" s="142">
        <f>COUNTIF(DevCommentStatuses,I$12)</f>
        <v>0</v>
      </c>
      <c r="J25" s="142">
        <f>COUNTIF(DevCommentStatuses,J$12)</f>
        <v>0</v>
      </c>
      <c r="K25" s="43" t="str">
        <f>IF(AND(F25=G25+H25+I25+J25,F24=F25,G24=G25,H24=H25,I24=I25,J24=J25),CheckOK,CheckErr)</f>
        <v/>
      </c>
    </row>
    <row r="27" spans="1:11" ht="21">
      <c r="A27" s="119" t="s">
        <v>168</v>
      </c>
    </row>
    <row r="28" spans="1:11">
      <c r="A28" s="219" t="str">
        <f>A27</f>
        <v>Time Spent Reworking</v>
      </c>
      <c r="B28" s="220"/>
      <c r="C28" s="37">
        <f>SUM(C32:C36)</f>
        <v>0</v>
      </c>
    </row>
    <row r="29" spans="1:11">
      <c r="A29" s="221" t="s">
        <v>102</v>
      </c>
      <c r="B29" s="222"/>
      <c r="C29" s="48" t="str">
        <f>CONCATENATE(INT(C28/60)," hour(s) and ", MOD(C28,60), " minutes")</f>
        <v>0 hour(s) and 0 minutes</v>
      </c>
    </row>
    <row r="30" spans="1:11">
      <c r="G30" s="128" t="s">
        <v>87</v>
      </c>
      <c r="H30" s="128" t="s">
        <v>86</v>
      </c>
      <c r="I30" s="128" t="s">
        <v>136</v>
      </c>
      <c r="J30" s="128" t="s">
        <v>85</v>
      </c>
    </row>
    <row r="31" spans="1:11" ht="38.25" customHeight="1" outlineLevel="2">
      <c r="A31" s="144" t="s">
        <v>170</v>
      </c>
      <c r="B31" s="145" t="s">
        <v>171</v>
      </c>
      <c r="C31" s="146" t="s">
        <v>132</v>
      </c>
      <c r="D31" s="132" t="s">
        <v>93</v>
      </c>
      <c r="E31" s="133" t="s">
        <v>172</v>
      </c>
      <c r="F31" s="134" t="s">
        <v>175</v>
      </c>
      <c r="G31" s="134" t="s">
        <v>96</v>
      </c>
      <c r="H31" s="134" t="s">
        <v>95</v>
      </c>
      <c r="I31" s="134" t="s">
        <v>135</v>
      </c>
      <c r="J31" s="134" t="s">
        <v>94</v>
      </c>
      <c r="K31" s="135" t="s">
        <v>93</v>
      </c>
    </row>
    <row r="32" spans="1:11" outlineLevel="2">
      <c r="A32" s="150"/>
      <c r="B32" s="150"/>
      <c r="C32" s="150"/>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50"/>
      <c r="B33" s="150"/>
      <c r="C33" s="150"/>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50"/>
      <c r="B34" s="150"/>
      <c r="C34" s="150"/>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50"/>
      <c r="B35" s="150"/>
      <c r="C35" s="150"/>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50"/>
      <c r="B36" s="150"/>
      <c r="C36" s="150"/>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24" t="s">
        <v>92</v>
      </c>
      <c r="B37" s="224"/>
      <c r="C37" s="137">
        <f>TotalEffortToFix</f>
        <v>0</v>
      </c>
      <c r="D37" s="138"/>
      <c r="E37" s="44" t="str">
        <f>IF(NOT(ISNUMBER(ItemSize)),"Enter Item Size",IF(C37&gt;0,ItemSize/C37,"-"))</f>
        <v>Enter Item Size</v>
      </c>
      <c r="F37" s="139">
        <f>SUM(F32:F36)</f>
        <v>0</v>
      </c>
      <c r="G37" s="139">
        <f>SUM(G32:G36)</f>
        <v>0</v>
      </c>
      <c r="H37" s="139">
        <f>SUM(H32:H36)</f>
        <v>0</v>
      </c>
      <c r="I37" s="139">
        <f>SUM(I32:I36)</f>
        <v>0</v>
      </c>
      <c r="J37" s="139">
        <f>SUM(J32:J36)</f>
        <v>0</v>
      </c>
      <c r="K37" s="43" t="str">
        <f>IF(F37=G37+H37+I37+J37,CheckOK,CheckErr)</f>
        <v/>
      </c>
    </row>
    <row r="38" spans="1:11" outlineLevel="2">
      <c r="A38" s="223" t="s">
        <v>91</v>
      </c>
      <c r="B38" s="223"/>
      <c r="C38" s="136"/>
      <c r="D38" s="140"/>
      <c r="E38" s="141"/>
      <c r="F38" s="142">
        <f>COUNTA(DevCommentInitials)</f>
        <v>0</v>
      </c>
      <c r="G38" s="142">
        <f>COUNTIF(DevCommentStatuses,G$12)</f>
        <v>0</v>
      </c>
      <c r="H38" s="142">
        <f>COUNTIF(DevCommentStatuses,H$12)</f>
        <v>0</v>
      </c>
      <c r="I38" s="142">
        <f>COUNTIF(DevCommentStatuses,I$12)</f>
        <v>0</v>
      </c>
      <c r="J38" s="142">
        <f>COUNTIF(DevCommentStatuses,J$12)</f>
        <v>0</v>
      </c>
      <c r="K38" s="43" t="str">
        <f>IF(AND(F38=G38+H38+I38+J38,F37=F38,G37=G38,H37=H38,I37=I38,J37=J38),CheckOK,CheckErr)</f>
        <v/>
      </c>
    </row>
    <row r="40" spans="1:11" ht="21">
      <c r="A40" s="119" t="s">
        <v>169</v>
      </c>
    </row>
    <row r="42" spans="1:11">
      <c r="A42" s="219" t="str">
        <f>A40</f>
        <v>Time Spent Moderating</v>
      </c>
      <c r="B42" s="220"/>
      <c r="C42" s="37">
        <f>SUM(C46:C50)</f>
        <v>0</v>
      </c>
    </row>
    <row r="43" spans="1:11">
      <c r="A43" s="221" t="s">
        <v>102</v>
      </c>
      <c r="B43" s="222"/>
      <c r="C43" s="48" t="str">
        <f>CONCATENATE(INT(C42/60)," hour(s) and ", MOD(C42,60), " minutes")</f>
        <v>0 hour(s) and 0 minutes</v>
      </c>
    </row>
    <row r="44" spans="1:11">
      <c r="G44" s="128" t="s">
        <v>87</v>
      </c>
      <c r="H44" s="128" t="s">
        <v>86</v>
      </c>
      <c r="I44" s="128" t="s">
        <v>136</v>
      </c>
      <c r="J44" s="128" t="s">
        <v>85</v>
      </c>
    </row>
    <row r="45" spans="1:11" ht="45" customHeight="1" outlineLevel="2">
      <c r="A45" s="147" t="s">
        <v>177</v>
      </c>
      <c r="B45" s="148" t="s">
        <v>176</v>
      </c>
      <c r="C45" s="149" t="s">
        <v>133</v>
      </c>
      <c r="D45" s="132" t="s">
        <v>93</v>
      </c>
      <c r="E45" s="133" t="s">
        <v>173</v>
      </c>
      <c r="F45" s="134" t="s">
        <v>174</v>
      </c>
      <c r="G45" s="134" t="s">
        <v>96</v>
      </c>
      <c r="H45" s="134" t="s">
        <v>95</v>
      </c>
      <c r="I45" s="134" t="s">
        <v>135</v>
      </c>
      <c r="J45" s="134" t="s">
        <v>94</v>
      </c>
      <c r="K45" s="135" t="s">
        <v>93</v>
      </c>
    </row>
    <row r="46" spans="1:11" outlineLevel="2">
      <c r="A46" s="150"/>
      <c r="B46" s="150"/>
      <c r="C46" s="150"/>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50"/>
      <c r="B47" s="150"/>
      <c r="C47" s="150"/>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50"/>
      <c r="B48" s="150"/>
      <c r="C48" s="150"/>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50"/>
      <c r="B49" s="150"/>
      <c r="C49" s="150"/>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50"/>
      <c r="B50" s="150"/>
      <c r="C50" s="150"/>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24" t="s">
        <v>92</v>
      </c>
      <c r="B51" s="224"/>
      <c r="C51" s="137">
        <f>TotalTimeModerating</f>
        <v>0</v>
      </c>
      <c r="D51" s="138"/>
      <c r="E51" s="44" t="str">
        <f>IF(NOT(ISNUMBER(ItemSize)),"Enter Item Size",IF(C51&gt;0,ItemSize/C51,"-"))</f>
        <v>Enter Item Size</v>
      </c>
      <c r="F51" s="139">
        <f>SUM(F46:F50)</f>
        <v>0</v>
      </c>
      <c r="G51" s="139">
        <f>SUM(G46:G50)</f>
        <v>0</v>
      </c>
      <c r="H51" s="139">
        <f>SUM(H46:H50)</f>
        <v>0</v>
      </c>
      <c r="I51" s="139">
        <f>SUM(I46:I50)</f>
        <v>0</v>
      </c>
      <c r="J51" s="139">
        <f>SUM(J46:J50)</f>
        <v>0</v>
      </c>
      <c r="K51" s="43" t="str">
        <f>IF(F51=G51+H51+I51+J51,CheckOK,CheckErr)</f>
        <v/>
      </c>
    </row>
    <row r="52" spans="1:11" outlineLevel="2">
      <c r="A52" s="223" t="s">
        <v>91</v>
      </c>
      <c r="B52" s="223"/>
      <c r="C52" s="136"/>
      <c r="D52" s="140"/>
      <c r="E52" s="141"/>
      <c r="F52" s="142">
        <f>COUNTA(DevCommentInitials)</f>
        <v>0</v>
      </c>
      <c r="G52" s="142">
        <f>COUNTIF(DevCommentStatuses,G$12)</f>
        <v>0</v>
      </c>
      <c r="H52" s="142">
        <f>COUNTIF(DevCommentStatuses,H$12)</f>
        <v>0</v>
      </c>
      <c r="I52" s="142">
        <f>COUNTIF(DevCommentStatuses,I$12)</f>
        <v>0</v>
      </c>
      <c r="J52" s="142">
        <f>COUNTIF(DevCommentStatuses,J$12)</f>
        <v>0</v>
      </c>
      <c r="K52" s="43" t="str">
        <f>IF(AND(F52=G52+H52+I52+J52,F51=F52,G51=G52,H51=H52,I51=I52,J51=J52),CheckOK,CheckErr)</f>
        <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4" priority="46" stopIfTrue="1" operator="equal">
      <formula>CheckErr</formula>
    </cfRule>
  </conditionalFormatting>
  <conditionalFormatting sqref="K1:K1048576">
    <cfRule type="expression" dxfId="13" priority="45" stopIfTrue="1">
      <formula>K1=CheckErr</formula>
    </cfRule>
  </conditionalFormatting>
  <conditionalFormatting sqref="A14:C23">
    <cfRule type="expression" dxfId="12" priority="6" stopIfTrue="1">
      <formula>$D14=CheckErr</formula>
    </cfRule>
  </conditionalFormatting>
  <conditionalFormatting sqref="C24:C25">
    <cfRule type="expression" dxfId="11" priority="5" stopIfTrue="1">
      <formula>$D24=CheckErr</formula>
    </cfRule>
  </conditionalFormatting>
  <conditionalFormatting sqref="A32:C36">
    <cfRule type="expression" dxfId="10" priority="4" stopIfTrue="1">
      <formula>$D32=CheckErr</formula>
    </cfRule>
  </conditionalFormatting>
  <conditionalFormatting sqref="C37:C38">
    <cfRule type="expression" dxfId="9" priority="3" stopIfTrue="1">
      <formula>$D37=CheckErr</formula>
    </cfRule>
  </conditionalFormatting>
  <conditionalFormatting sqref="A46:C50">
    <cfRule type="expression" dxfId="8" priority="2" stopIfTrue="1">
      <formula>$D46=CheckErr</formula>
    </cfRule>
  </conditionalFormatting>
  <conditionalFormatting sqref="C51:C52">
    <cfRule type="expression" dxfId="7"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77"/>
  <sheetViews>
    <sheetView topLeftCell="A36" workbookViewId="0">
      <selection activeCell="A61" sqref="A61"/>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9" t="str">
        <f>CONCATENATE('Calling Notice'!$B$3,", ",'Calling Notice'!$B$4,", ",'Calling Notice'!$B$5," ",'Calling Notice'!$B$6,", ",TEXT('Calling Notice'!$B$7,"dd MMMM yyyy"))</f>
        <v>&lt;Title&gt;, &lt;S.Pnnnn.nn.n&gt; or &lt;CM System path&gt;, &lt;Issue n.n&gt; or &lt;CM System revision number&gt; &lt;Status&gt;, dd MMMM yyyy</v>
      </c>
      <c r="C3" s="239"/>
      <c r="D3" s="239"/>
    </row>
    <row r="5" spans="1:5">
      <c r="A5" s="16" t="s">
        <v>88</v>
      </c>
      <c r="B5" s="41">
        <f>COUNTA(DevCommentInitials)</f>
        <v>0</v>
      </c>
      <c r="C5" s="40"/>
    </row>
    <row r="6" spans="1:5">
      <c r="A6" s="16" t="s">
        <v>404</v>
      </c>
      <c r="B6" s="37">
        <f>COUNTIFS(DevCommentStatuses,"Accepted",DevCommentCategory, "01 - Mandatory (Op)")</f>
        <v>0</v>
      </c>
      <c r="C6" s="39">
        <f>IF($B$5&lt;&gt;0,B6/$B$5,0)</f>
        <v>0</v>
      </c>
    </row>
    <row r="7" spans="1:5">
      <c r="A7" s="16" t="s">
        <v>405</v>
      </c>
      <c r="B7" s="37">
        <f>COUNTIF(DevCommentStatuses,"Accepted")-B6</f>
        <v>0</v>
      </c>
      <c r="C7" s="39">
        <f>IF($B$5&lt;&gt;0,B7/$B$5,0)</f>
        <v>0</v>
      </c>
    </row>
    <row r="8" spans="1:5">
      <c r="A8" s="16" t="s">
        <v>86</v>
      </c>
      <c r="B8" s="37">
        <f>COUNTIF(DevCommentStatuses,A8)</f>
        <v>0</v>
      </c>
      <c r="C8" s="39">
        <f>IF($B$5&lt;&gt;0,B8/$B$5,0)</f>
        <v>0</v>
      </c>
    </row>
    <row r="9" spans="1:5">
      <c r="A9" s="16" t="s">
        <v>136</v>
      </c>
      <c r="B9" s="37">
        <f>COUNTIF(DevCommentStatuses,A9)</f>
        <v>0</v>
      </c>
      <c r="C9" s="39">
        <f>IF($B$5&lt;&gt;0,B9/$B$5,0)</f>
        <v>0</v>
      </c>
    </row>
    <row r="10" spans="1:5" ht="14.25" thickBot="1">
      <c r="A10" s="38" t="s">
        <v>85</v>
      </c>
      <c r="B10" s="37">
        <f>COUNTIF(DevCommentStatuses,A10)</f>
        <v>0</v>
      </c>
      <c r="C10" s="36">
        <f>IF($B$5&lt;&gt;0,B10/$B$5,0)</f>
        <v>0</v>
      </c>
    </row>
    <row r="11" spans="1:5" ht="14.25" thickBot="1">
      <c r="A11" s="35" t="s">
        <v>84</v>
      </c>
      <c r="B11" s="34">
        <f>SUM(B6:B10)</f>
        <v>0</v>
      </c>
      <c r="C11" s="33">
        <f>SUM(C6:C10)</f>
        <v>0</v>
      </c>
      <c r="E11" s="9" t="str">
        <f>IF(C11&lt;&gt;1,CheckErr,CheckOK)</f>
        <v>!</v>
      </c>
    </row>
    <row r="12" spans="1:5">
      <c r="B12" s="32"/>
    </row>
    <row r="13" spans="1:5">
      <c r="A13" s="95"/>
      <c r="B13" s="93" t="s">
        <v>195</v>
      </c>
      <c r="C13" s="93" t="s">
        <v>393</v>
      </c>
      <c r="D13" s="93" t="s">
        <v>394</v>
      </c>
    </row>
    <row r="14" spans="1:5">
      <c r="A14" s="96" t="s">
        <v>194</v>
      </c>
      <c r="B14" s="93" t="e">
        <f>Checklist_Total</f>
        <v>#REF!</v>
      </c>
      <c r="C14" s="93" t="e">
        <f>B14-Checklist_ToGo</f>
        <v>#REF!</v>
      </c>
      <c r="D14" s="93" t="e">
        <f>B14-Checklist_ToSign</f>
        <v>#REF!</v>
      </c>
      <c r="E14" s="9" t="e">
        <f>IF(OR(B14=0,NOT(AND(C14=B14,C14=D14))),CheckErr,CheckOK)</f>
        <v>#REF!</v>
      </c>
    </row>
    <row r="15" spans="1:5">
      <c r="B15" s="32"/>
    </row>
    <row r="16" spans="1:5" hidden="1">
      <c r="A16" s="16" t="s">
        <v>83</v>
      </c>
      <c r="B16" s="242" t="str">
        <f>Metrics!C11</f>
        <v>0 hour(s) and 0 minutes</v>
      </c>
      <c r="C16" s="243"/>
    </row>
    <row r="17" spans="1:5" hidden="1">
      <c r="A17" s="16" t="s">
        <v>82</v>
      </c>
      <c r="B17" s="235" t="str">
        <f>Metrics!C29</f>
        <v>0 hour(s) and 0 minutes</v>
      </c>
      <c r="C17" s="236"/>
    </row>
    <row r="18" spans="1:5" hidden="1">
      <c r="A18" s="16" t="s">
        <v>82</v>
      </c>
      <c r="B18" s="235" t="str">
        <f>Metrics!C43</f>
        <v>0 hour(s) and 0 minutes</v>
      </c>
      <c r="C18" s="236"/>
    </row>
    <row r="19" spans="1:5" hidden="1"/>
    <row r="20" spans="1:5" hidden="1"/>
    <row r="21" spans="1:5" hidden="1"/>
    <row r="23" spans="1:5" ht="21">
      <c r="A23" s="10" t="s">
        <v>81</v>
      </c>
    </row>
    <row r="25" spans="1:5">
      <c r="A25" s="109" t="s">
        <v>80</v>
      </c>
      <c r="B25" s="240"/>
      <c r="C25" s="240"/>
      <c r="D25" s="240"/>
      <c r="E25" s="9" t="str">
        <f>IF(ISBLANK(B25),CheckErr,CheckOK)</f>
        <v>!</v>
      </c>
    </row>
    <row r="26" spans="1:5">
      <c r="A26" s="97" t="s">
        <v>79</v>
      </c>
      <c r="B26" s="237" t="s">
        <v>27</v>
      </c>
      <c r="C26" s="238"/>
      <c r="D26" s="238"/>
      <c r="E26" s="9" t="str">
        <f>IF(OR(LEFT(B26,1)="&lt;",COUNTIF(Blanks,B26)&gt;0),CheckErr,CheckOK)</f>
        <v>!</v>
      </c>
    </row>
    <row r="28" spans="1:5">
      <c r="A28" s="97" t="s">
        <v>197</v>
      </c>
      <c r="B28" s="244" t="s">
        <v>198</v>
      </c>
      <c r="C28" s="245"/>
      <c r="D28" s="212"/>
      <c r="E28" s="5" t="str">
        <f>IF(OR(LEFT(B28,1)="&lt;",COUNTIF(Blanks,B28)&gt;0),CheckErr,CheckOK)</f>
        <v>!</v>
      </c>
    </row>
    <row r="29" spans="1:5">
      <c r="A29" s="97" t="s">
        <v>78</v>
      </c>
      <c r="B29" s="241" t="s">
        <v>77</v>
      </c>
      <c r="C29" s="240"/>
      <c r="D29" s="240"/>
      <c r="E29" s="9" t="str">
        <f>IF(OR(LEFT(B29,1)="&lt;",COUNTIF(Blanks,B29)&gt;0),CheckErr,CheckOK)</f>
        <v>!</v>
      </c>
    </row>
    <row r="30" spans="1:5">
      <c r="A30" s="97" t="s">
        <v>76</v>
      </c>
      <c r="B30" s="237" t="s">
        <v>27</v>
      </c>
      <c r="C30" s="238"/>
      <c r="D30" s="238"/>
      <c r="E30" s="9" t="str">
        <f>IF(OR(LEFT(B30,1)="&lt;",COUNTIF(Blanks,B30)&gt;0),CheckErr,CheckOK)</f>
        <v>!</v>
      </c>
    </row>
    <row r="32" spans="1:5">
      <c r="A32" s="97" t="s">
        <v>389</v>
      </c>
      <c r="B32" s="241" t="s">
        <v>77</v>
      </c>
      <c r="C32" s="240"/>
      <c r="D32" s="240"/>
      <c r="E32" s="9" t="e">
        <f>IF(Checklist_FailSafety&gt;0,CheckErr,CheckOK)</f>
        <v>#REF!</v>
      </c>
    </row>
    <row r="33" spans="1:6">
      <c r="A33" s="97" t="s">
        <v>390</v>
      </c>
      <c r="B33" s="237" t="s">
        <v>27</v>
      </c>
      <c r="C33" s="238"/>
      <c r="D33" s="238"/>
      <c r="E33" s="9" t="e">
        <f>IF(Checklist_FailSafety&gt;0,CheckErr,CheckOK)</f>
        <v>#REF!</v>
      </c>
    </row>
    <row r="35" spans="1:6">
      <c r="A35" s="97" t="s">
        <v>391</v>
      </c>
      <c r="B35" s="241" t="s">
        <v>77</v>
      </c>
      <c r="C35" s="240"/>
      <c r="D35" s="240"/>
      <c r="E35" s="9" t="e">
        <f>IF(Checklist_FailTechnical,CheckErr,CheckOK)</f>
        <v>#REF!</v>
      </c>
    </row>
    <row r="36" spans="1:6">
      <c r="A36" s="97" t="s">
        <v>392</v>
      </c>
      <c r="B36" s="237" t="s">
        <v>27</v>
      </c>
      <c r="C36" s="238"/>
      <c r="D36" s="238"/>
      <c r="E36" s="9" t="e">
        <f>IF(Checklist_FailTechnical,CheckErr,CheckOK)</f>
        <v>#REF!</v>
      </c>
    </row>
    <row r="39" spans="1:6" ht="21">
      <c r="A39" s="31" t="s">
        <v>75</v>
      </c>
    </row>
    <row r="41" spans="1:6" ht="29.25" customHeight="1">
      <c r="A41" s="228" t="s">
        <v>140</v>
      </c>
      <c r="B41" s="228"/>
      <c r="C41" s="228"/>
      <c r="D41" s="228"/>
      <c r="E41" s="228"/>
      <c r="F41" s="228"/>
    </row>
    <row r="43" spans="1:6">
      <c r="A43" s="84" t="s">
        <v>74</v>
      </c>
      <c r="B43" s="84" t="s">
        <v>73</v>
      </c>
      <c r="C43" s="30" t="s">
        <v>72</v>
      </c>
      <c r="D43" s="84" t="s">
        <v>71</v>
      </c>
      <c r="E43" s="231" t="s">
        <v>70</v>
      </c>
      <c r="F43" s="231"/>
    </row>
    <row r="44" spans="1:6">
      <c r="A44" s="28" t="s">
        <v>69</v>
      </c>
      <c r="B44" s="28" t="s">
        <v>68</v>
      </c>
      <c r="C44" s="29" t="s">
        <v>67</v>
      </c>
      <c r="D44" s="28" t="str">
        <f t="shared" ref="D44:D54" ca="1" si="0">IF(COUNTIF(INDIRECT("'" &amp; B44 &amp; "'!$" &amp; C44 &amp; ":$" &amp; C44),CheckErr)=0,StatusConsistent,StatusInconsistent)</f>
        <v>Inconsistent</v>
      </c>
      <c r="E44" s="227"/>
      <c r="F44" s="227"/>
    </row>
    <row r="45" spans="1:6">
      <c r="A45" s="28" t="s">
        <v>66</v>
      </c>
      <c r="B45" s="28" t="s">
        <v>207</v>
      </c>
      <c r="C45" s="29" t="s">
        <v>65</v>
      </c>
      <c r="D45" s="28" t="str">
        <f ca="1">IF(COUNTIF(INDIRECT("'" &amp; B45 &amp; "'!$" &amp; C45 &amp; ":$" &amp; C45),CheckErr)=0,StatusConsistent,StatusInconsistent)</f>
        <v>Consistent</v>
      </c>
      <c r="E45" s="227"/>
      <c r="F45" s="227"/>
    </row>
    <row r="46" spans="1:6">
      <c r="A46" s="28" t="s">
        <v>66</v>
      </c>
      <c r="B46" s="28" t="s">
        <v>62</v>
      </c>
      <c r="C46" s="29" t="s">
        <v>448</v>
      </c>
      <c r="D46" s="28" t="str">
        <f t="shared" ca="1" si="0"/>
        <v>Consistent</v>
      </c>
      <c r="E46" s="227"/>
      <c r="F46" s="227"/>
    </row>
    <row r="47" spans="1:6">
      <c r="A47" s="28" t="s">
        <v>66</v>
      </c>
      <c r="B47" s="28" t="s">
        <v>165</v>
      </c>
      <c r="C47" s="29" t="s">
        <v>397</v>
      </c>
      <c r="D47" s="28" t="e">
        <f t="shared" ca="1" si="0"/>
        <v>#REF!</v>
      </c>
      <c r="E47" s="233"/>
      <c r="F47" s="234"/>
    </row>
    <row r="48" spans="1:6">
      <c r="A48" s="28" t="s">
        <v>64</v>
      </c>
      <c r="B48" s="28" t="s">
        <v>62</v>
      </c>
      <c r="C48" s="29" t="s">
        <v>449</v>
      </c>
      <c r="D48" s="28" t="str">
        <f t="shared" ca="1" si="0"/>
        <v>Inconsistent</v>
      </c>
      <c r="E48" s="227"/>
      <c r="F48" s="227"/>
    </row>
    <row r="49" spans="1:6" hidden="1">
      <c r="A49" s="28" t="s">
        <v>64</v>
      </c>
      <c r="B49" s="28" t="s">
        <v>63</v>
      </c>
      <c r="C49" s="29" t="s">
        <v>65</v>
      </c>
      <c r="D49" s="28" t="str">
        <f ca="1">IF(COUNTIF(INDIRECT("'" &amp; B49 &amp; "'!$" &amp; C49 &amp; ":$" &amp; C49),CheckErr)=0,StatusConsistent,IF(CaptureEffortData, StatusInconsistent,StatusConsistent))</f>
        <v>Consistent</v>
      </c>
      <c r="E49" s="227"/>
      <c r="F49" s="227"/>
    </row>
    <row r="50" spans="1:6" hidden="1">
      <c r="A50" s="28" t="s">
        <v>64</v>
      </c>
      <c r="B50" s="28" t="s">
        <v>63</v>
      </c>
      <c r="C50" s="29" t="s">
        <v>210</v>
      </c>
      <c r="D50" s="28" t="str">
        <f ca="1">IF(COUNTIF(INDIRECT("'" &amp; B50 &amp; "'!$" &amp; C50 &amp; ":$" &amp; C50),CheckErr)=0,StatusConsistent,IF(CaptureEffortData, StatusInconsistent,StatusConsistent))</f>
        <v>Consistent</v>
      </c>
      <c r="E50" s="227"/>
      <c r="F50" s="227"/>
    </row>
    <row r="51" spans="1:6">
      <c r="A51" s="28" t="s">
        <v>61</v>
      </c>
      <c r="B51" s="28" t="s">
        <v>207</v>
      </c>
      <c r="C51" s="29" t="s">
        <v>59</v>
      </c>
      <c r="D51" s="28" t="str">
        <f ca="1">IF(COUNTIF(INDIRECT("'" &amp; B51 &amp; "'!$" &amp; C51 &amp; ":$" &amp; C51),CheckErr)=0,StatusConsistent,StatusInconsistent)</f>
        <v>Consistent</v>
      </c>
      <c r="E51" s="233"/>
      <c r="F51" s="234"/>
    </row>
    <row r="52" spans="1:6">
      <c r="A52" s="28" t="s">
        <v>61</v>
      </c>
      <c r="B52" s="28" t="s">
        <v>62</v>
      </c>
      <c r="C52" s="29" t="s">
        <v>193</v>
      </c>
      <c r="D52" s="28" t="str">
        <f t="shared" ca="1" si="0"/>
        <v>Consistent</v>
      </c>
      <c r="E52" s="227"/>
      <c r="F52" s="227"/>
    </row>
    <row r="53" spans="1:6">
      <c r="A53" s="28" t="s">
        <v>61</v>
      </c>
      <c r="B53" s="28" t="s">
        <v>165</v>
      </c>
      <c r="C53" s="29" t="s">
        <v>450</v>
      </c>
      <c r="D53" s="28" t="e">
        <f ca="1">IF(COUNTIF(INDIRECT("'" &amp; B53 &amp; "'!$" &amp; C53 &amp; ":$" &amp; C53),CheckErr)=0,StatusConsistent,StatusInconsistent)</f>
        <v>#REF!</v>
      </c>
      <c r="E53" s="233"/>
      <c r="F53" s="234"/>
    </row>
    <row r="54" spans="1:6">
      <c r="A54" s="28" t="s">
        <v>61</v>
      </c>
      <c r="B54" s="28" t="s">
        <v>60</v>
      </c>
      <c r="C54" s="29" t="s">
        <v>59</v>
      </c>
      <c r="D54" s="28" t="str">
        <f t="shared" ca="1" si="0"/>
        <v>Inconsistent</v>
      </c>
      <c r="E54" s="227"/>
      <c r="F54" s="227"/>
    </row>
    <row r="56" spans="1:6">
      <c r="A56" s="9" t="s">
        <v>58</v>
      </c>
    </row>
    <row r="57" spans="1:6">
      <c r="B57" s="20" t="s">
        <v>57</v>
      </c>
      <c r="C57" s="228" t="s">
        <v>56</v>
      </c>
      <c r="D57" s="228"/>
      <c r="E57" s="228"/>
      <c r="F57" s="228"/>
    </row>
    <row r="58" spans="1:6">
      <c r="B58" s="27" t="s">
        <v>55</v>
      </c>
      <c r="C58" s="228" t="s">
        <v>54</v>
      </c>
      <c r="D58" s="228"/>
      <c r="E58" s="228"/>
      <c r="F58" s="228"/>
    </row>
    <row r="59" spans="1:6">
      <c r="A59" s="25"/>
      <c r="B59" s="25"/>
      <c r="C59" s="25"/>
      <c r="D59" s="25"/>
      <c r="E59" s="23"/>
      <c r="F59" s="23"/>
    </row>
    <row r="60" spans="1:6">
      <c r="A60" s="25"/>
      <c r="B60" s="25"/>
      <c r="C60" s="25"/>
      <c r="D60" s="25"/>
      <c r="E60" s="23"/>
      <c r="F60" s="23"/>
    </row>
    <row r="61" spans="1:6">
      <c r="A61" s="178" t="s">
        <v>563</v>
      </c>
      <c r="B61" s="179" t="s">
        <v>564</v>
      </c>
      <c r="C61" s="179"/>
      <c r="D61" s="179"/>
      <c r="E61" s="180"/>
      <c r="F61" s="181"/>
    </row>
    <row r="62" spans="1:6">
      <c r="A62" s="25"/>
      <c r="B62" s="25"/>
      <c r="C62" s="25"/>
      <c r="D62" s="25"/>
      <c r="E62" s="23"/>
      <c r="F62" s="23"/>
    </row>
    <row r="63" spans="1:6">
      <c r="A63" s="26" t="s">
        <v>53</v>
      </c>
      <c r="B63" s="25"/>
      <c r="C63" s="25"/>
      <c r="D63" s="25"/>
      <c r="E63" s="23"/>
      <c r="F63" s="24" t="str">
        <f>""</f>
        <v/>
      </c>
    </row>
    <row r="64" spans="1:6">
      <c r="E64" s="25"/>
    </row>
    <row r="65" spans="1:6">
      <c r="A65" s="229" t="s">
        <v>52</v>
      </c>
      <c r="B65" s="229"/>
      <c r="C65" s="229"/>
      <c r="D65" s="229"/>
      <c r="E65" s="116"/>
      <c r="F65" s="22" t="s">
        <v>51</v>
      </c>
    </row>
    <row r="67" spans="1:6">
      <c r="A67" s="9" t="s">
        <v>50</v>
      </c>
      <c r="E67" s="230"/>
      <c r="F67" s="230"/>
    </row>
    <row r="69" spans="1:6">
      <c r="A69" s="9" t="s">
        <v>49</v>
      </c>
    </row>
    <row r="71" spans="1:6">
      <c r="A71" s="84" t="s">
        <v>48</v>
      </c>
      <c r="B71" s="231" t="s">
        <v>47</v>
      </c>
      <c r="C71" s="231"/>
    </row>
    <row r="72" spans="1:6">
      <c r="A72" s="85" t="s">
        <v>46</v>
      </c>
      <c r="B72" s="232" t="s">
        <v>27</v>
      </c>
      <c r="C72" s="232"/>
    </row>
    <row r="73" spans="1:6">
      <c r="A73" s="85" t="s">
        <v>45</v>
      </c>
      <c r="B73" s="232" t="s">
        <v>209</v>
      </c>
      <c r="C73" s="232"/>
    </row>
    <row r="74" spans="1:6">
      <c r="A74" s="226" t="s">
        <v>44</v>
      </c>
      <c r="B74" s="226"/>
      <c r="C74" s="226"/>
    </row>
    <row r="76" spans="1:6">
      <c r="A76" s="9" t="s">
        <v>206</v>
      </c>
      <c r="B76" s="9" t="b">
        <v>1</v>
      </c>
    </row>
    <row r="77" spans="1:6">
      <c r="A77" s="9" t="s">
        <v>324</v>
      </c>
      <c r="B77" s="9" t="b">
        <v>1</v>
      </c>
    </row>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6" priority="7" stopIfTrue="1" operator="equal">
      <formula>CheckErr</formula>
    </cfRule>
  </conditionalFormatting>
  <conditionalFormatting sqref="D44:D54">
    <cfRule type="expression" dxfId="5" priority="4" stopIfTrue="1">
      <formula>D44=StatusInconsistent</formula>
    </cfRule>
  </conditionalFormatting>
  <conditionalFormatting sqref="B25:D38">
    <cfRule type="expression" dxfId="4"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10" t="e">
        <f>DocDate</f>
        <v>#REF!</v>
      </c>
    </row>
    <row r="7" spans="1:2">
      <c r="A7" s="1" t="s">
        <v>8</v>
      </c>
      <c r="B7" s="1" t="e">
        <f>DocAuthor</f>
        <v>#REF!</v>
      </c>
    </row>
    <row r="8" spans="1:2">
      <c r="A8" s="1" t="s">
        <v>7</v>
      </c>
      <c r="B8" t="e">
        <f>DocApprover</f>
        <v>#REF!</v>
      </c>
    </row>
    <row r="9" spans="1:2">
      <c r="A9" s="94" t="str">
        <f>SUBSTITUTE("RRR_"&amp;'Calling Notice'!A3," ","_")</f>
        <v>RRR_Item_Title</v>
      </c>
      <c r="B9" t="str">
        <f>'Calling Notice'!B3</f>
        <v>&lt;Title&gt;</v>
      </c>
    </row>
    <row r="10" spans="1:2">
      <c r="A10" s="94" t="str">
        <f>SUBSTITUTE("RRR_"&amp;'Calling Notice'!A4," ","_")</f>
        <v>RRR_Item_Reference</v>
      </c>
      <c r="B10" t="str">
        <f>'Calling Notice'!B4</f>
        <v>&lt;S.Pnnnn.nn.n&gt; or &lt;CM System path&gt;</v>
      </c>
    </row>
    <row r="11" spans="1:2">
      <c r="A11" s="94" t="str">
        <f>SUBSTITUTE("RRR_"&amp;'Calling Notice'!A5," ","_")</f>
        <v>RRR_Item_Issue/Revision</v>
      </c>
      <c r="B11" t="str">
        <f>'Calling Notice'!B5</f>
        <v>&lt;Issue n.n&gt; or &lt;CM System revision number&gt;</v>
      </c>
    </row>
    <row r="12" spans="1:2">
      <c r="A12" s="94" t="str">
        <f>SUBSTITUTE("RRR_"&amp;'Calling Notice'!A6," ","_")</f>
        <v>RRR_Item_Status</v>
      </c>
      <c r="B12" t="str">
        <f>'Calling Notice'!B6</f>
        <v>&lt;Status&gt;</v>
      </c>
    </row>
    <row r="13" spans="1:2">
      <c r="A13" s="94" t="str">
        <f>SUBSTITUTE("RRR_"&amp;'Calling Notice'!A7," ","_")</f>
        <v>RRR_Item_Date</v>
      </c>
      <c r="B13" t="str">
        <f>'Calling Notice'!B7</f>
        <v>dd MMMM yyyy</v>
      </c>
    </row>
    <row r="14" spans="1:2">
      <c r="A14" s="94" t="str">
        <f>SUBSTITUTE("RRR_"&amp;'Calling Notice'!A8," ","_")</f>
        <v>RRR_Item_Author</v>
      </c>
      <c r="B14" t="str">
        <f>'Calling Notice'!B8</f>
        <v>&lt;Author&gt;</v>
      </c>
    </row>
    <row r="15" spans="1:2">
      <c r="A15" s="94" t="str">
        <f>SUBSTITUTE("RRR_"&amp;'Calling Notice'!A9," ","_")</f>
        <v>RRR_Item_Size_(Added)</v>
      </c>
      <c r="B15" t="str">
        <f>'Calling Notice'!B9</f>
        <v>&lt;Item Size&gt;</v>
      </c>
    </row>
    <row r="16" spans="1:2">
      <c r="A16" s="94" t="str">
        <f>SUBSTITUTE("RRR_"&amp;'Calling Notice'!A10," ","_")</f>
        <v>RRR_Item_Size_(Modified)</v>
      </c>
      <c r="B16" t="str">
        <f>'Calling Notice'!B10</f>
        <v>&lt;Item Size&gt;</v>
      </c>
    </row>
    <row r="17" spans="1:2">
      <c r="A17" s="94" t="str">
        <f>SUBSTITUTE("RRR_"&amp;'Calling Notice'!A11," ","_")</f>
        <v>RRR_Item_Size_(Deleted)</v>
      </c>
      <c r="B17" t="str">
        <f>'Calling Notice'!B11</f>
        <v>&lt;Item Size&gt;</v>
      </c>
    </row>
    <row r="18" spans="1:2">
      <c r="A18" s="94" t="str">
        <f>SUBSTITUTE("RRR_"&amp;'Calling Notice'!A12," ","_")</f>
        <v>RRR_Item_Size_Units</v>
      </c>
      <c r="B18" t="str">
        <f>'Calling Notice'!B12</f>
        <v>&lt;Item Size Units&gt;</v>
      </c>
    </row>
    <row r="19" spans="1:2">
      <c r="A19" s="94" t="str">
        <f>SUBSTITUTE("RRR_"&amp;'Calling Notice'!A13," ","_")</f>
        <v>RRR_File_List_Used</v>
      </c>
      <c r="B19" t="str">
        <f>'Calling Notice'!B13</f>
        <v>NO</v>
      </c>
    </row>
    <row r="20" spans="1:2">
      <c r="A20" s="94" t="str">
        <f>SUBSTITUTE("RRR_"&amp;'Calling Notice'!A17," ","_")</f>
        <v>RRR_Date_Review_Issued</v>
      </c>
      <c r="B20" t="str">
        <f>'Calling Notice'!B17</f>
        <v>dd MMMM yyyy</v>
      </c>
    </row>
    <row r="21" spans="1:2">
      <c r="A21" s="94" t="str">
        <f>SUBSTITUTE("RRR_"&amp;'Calling Notice'!A18," ","_")</f>
        <v>RRR_Type_of_Review</v>
      </c>
      <c r="B21" t="str">
        <f>'Calling Notice'!B18</f>
        <v>Offline Review (by Individual Reviewers)</v>
      </c>
    </row>
    <row r="22" spans="1:2">
      <c r="A22" s="94" t="str">
        <f>SUBSTITUTE("RRR_"&amp;'Calling Notice'!A19," ","_")</f>
        <v>RRR_Comments_Required_By</v>
      </c>
      <c r="B22" t="str">
        <f>'Calling Notice'!B19</f>
        <v>dd MMMM yyyy hh:mm</v>
      </c>
    </row>
    <row r="23" spans="1:2">
      <c r="A23" s="94" t="str">
        <f>SUBSTITUTE("RRR_"&amp;'Calling Notice'!A22," ","_")</f>
        <v>RRR_Book_Review_Time_To_WBS</v>
      </c>
      <c r="B23" t="str">
        <f>'Calling Notice'!B22</f>
        <v>&lt;WBS e.g. TnnnnR&gt;</v>
      </c>
    </row>
    <row r="24" spans="1:2">
      <c r="A24" s="94" t="str">
        <f>SUBSTITUTE("RRR_"&amp;'Calling Notice'!A23," ","_")</f>
        <v>RRR_Moderator</v>
      </c>
      <c r="B24" t="str">
        <f>'Calling Notice'!B23</f>
        <v>&lt;Name of Moderator&gt;</v>
      </c>
    </row>
    <row r="25" spans="1:2">
      <c r="A25" s="94" t="s">
        <v>178</v>
      </c>
      <c r="B25" t="str">
        <f>'Calling Notice'!B24</f>
        <v>&lt;Item Approver(s) - should always be invited to review even if the Moderator role is delegated&gt;</v>
      </c>
    </row>
    <row r="26" spans="1:2">
      <c r="A26" s="94" t="s">
        <v>179</v>
      </c>
      <c r="B26" t="str">
        <f>'Calling Notice'!B25</f>
        <v>&lt;Name of Reviewer and Role&gt;</v>
      </c>
    </row>
    <row r="27" spans="1:2">
      <c r="A27" s="94" t="s">
        <v>180</v>
      </c>
      <c r="B27" t="str">
        <f>'Calling Notice'!B26</f>
        <v>&lt;Name of Reviewer and Role&gt;</v>
      </c>
    </row>
    <row r="28" spans="1:2">
      <c r="A28" s="94" t="s">
        <v>181</v>
      </c>
      <c r="B28" t="str">
        <f>'Calling Notice'!B27</f>
        <v>A.N.Other (Checklist)</v>
      </c>
    </row>
    <row r="29" spans="1:2">
      <c r="A29" s="94" t="s">
        <v>182</v>
      </c>
      <c r="B29" t="str">
        <f>'Calling Notice'!B28</f>
        <v>A.N.Other (Typos, grammar, spelling, formatting etc.)</v>
      </c>
    </row>
    <row r="30" spans="1:2">
      <c r="A30" s="94" t="s">
        <v>183</v>
      </c>
      <c r="B30">
        <f>'Calling Notice'!B29</f>
        <v>0</v>
      </c>
    </row>
    <row r="31" spans="1:2">
      <c r="A31" s="94" t="s">
        <v>184</v>
      </c>
      <c r="B31" t="str">
        <f>StandardNo1</f>
        <v>Document Review Entry Checks (Review Procedure)</v>
      </c>
    </row>
    <row r="32" spans="1:2">
      <c r="A32" s="94" t="s">
        <v>185</v>
      </c>
      <c r="B32">
        <f>StandardNo2</f>
        <v>0</v>
      </c>
    </row>
    <row r="33" spans="1:2">
      <c r="A33" s="94" t="s">
        <v>363</v>
      </c>
      <c r="B33">
        <f>StandardNo3</f>
        <v>0</v>
      </c>
    </row>
    <row r="34" spans="1:2">
      <c r="A34" s="94" t="s">
        <v>364</v>
      </c>
      <c r="B34">
        <f>StandardNo4</f>
        <v>0</v>
      </c>
    </row>
    <row r="35" spans="1:2">
      <c r="A35" s="94" t="s">
        <v>365</v>
      </c>
      <c r="B35">
        <f>StandardNo5</f>
        <v>0</v>
      </c>
    </row>
    <row r="36" spans="1:2">
      <c r="A36" s="94" t="s">
        <v>366</v>
      </c>
      <c r="B36">
        <f>StandardNo6</f>
        <v>0</v>
      </c>
    </row>
    <row r="37" spans="1:2">
      <c r="A37" s="94" t="s">
        <v>367</v>
      </c>
      <c r="B37">
        <f>StandardNo7</f>
        <v>0</v>
      </c>
    </row>
    <row r="38" spans="1:2">
      <c r="A38" s="94" t="s">
        <v>368</v>
      </c>
      <c r="B38">
        <f>StandardNo8</f>
        <v>0</v>
      </c>
    </row>
    <row r="39" spans="1:2">
      <c r="A39" s="94" t="s">
        <v>369</v>
      </c>
      <c r="B39">
        <f>StandardNo9</f>
        <v>0</v>
      </c>
    </row>
    <row r="40" spans="1:2">
      <c r="A40" s="94" t="s">
        <v>383</v>
      </c>
      <c r="B40" t="e">
        <f>Checklist_Total</f>
        <v>#REF!</v>
      </c>
    </row>
    <row r="41" spans="1:2">
      <c r="A41" s="94" t="s">
        <v>186</v>
      </c>
      <c r="B41" t="e">
        <f>Checklist_ToGo</f>
        <v>#REF!</v>
      </c>
    </row>
    <row r="42" spans="1:2">
      <c r="A42" s="94" t="s">
        <v>382</v>
      </c>
      <c r="B42" t="e">
        <f>Checklist_ToSign</f>
        <v>#REF!</v>
      </c>
    </row>
    <row r="43" spans="1:2">
      <c r="A43" s="94" t="s">
        <v>384</v>
      </c>
      <c r="B43" t="e">
        <f ca="1">INDIRECT(MID(A43,5,100))</f>
        <v>#REF!</v>
      </c>
    </row>
    <row r="44" spans="1:2">
      <c r="A44" s="94" t="s">
        <v>385</v>
      </c>
      <c r="B44" t="e">
        <f ca="1">INDIRECT(MID(A44,5,100))</f>
        <v>#REF!</v>
      </c>
    </row>
    <row r="45" spans="1:2">
      <c r="A45" s="94" t="s">
        <v>386</v>
      </c>
      <c r="B45" t="e">
        <f ca="1">INDIRECT(MID(A45,5,100))</f>
        <v>#REF!</v>
      </c>
    </row>
    <row r="46" spans="1:2">
      <c r="A46" s="94" t="s">
        <v>387</v>
      </c>
      <c r="B46" t="e">
        <f ca="1">INDIRECT(MID(A46,5,100))</f>
        <v>#REF!</v>
      </c>
    </row>
    <row r="47" spans="1:2">
      <c r="A47" s="94" t="s">
        <v>388</v>
      </c>
      <c r="B47" t="e">
        <f ca="1">INDIRECT(MID(A47,5,100))</f>
        <v>#REF!</v>
      </c>
    </row>
    <row r="48" spans="1:2">
      <c r="A48" s="94" t="s">
        <v>187</v>
      </c>
      <c r="B48">
        <f>TotalTimeSpentReviewing</f>
        <v>0</v>
      </c>
    </row>
    <row r="49" spans="1:2">
      <c r="A49" s="94" t="s">
        <v>188</v>
      </c>
      <c r="B49">
        <f>TotalEffortToFix</f>
        <v>0</v>
      </c>
    </row>
    <row r="50" spans="1:2">
      <c r="A50" s="94" t="s">
        <v>189</v>
      </c>
      <c r="B50">
        <f>TotalTimeModerating</f>
        <v>0</v>
      </c>
    </row>
    <row r="51" spans="1:2">
      <c r="A51" s="94" t="str">
        <f>"RRR_Total_"&amp;'Summary and Sign Off'!A6</f>
        <v>RRR_Total_Accepted  (Op)</v>
      </c>
      <c r="B51">
        <f>'Summary and Sign Off'!B6</f>
        <v>0</v>
      </c>
    </row>
    <row r="52" spans="1:2">
      <c r="A52" s="94" t="str">
        <f>"RRR_Total_"&amp;'Summary and Sign Off'!A8</f>
        <v>RRR_Total_Rejected</v>
      </c>
      <c r="B52">
        <f>'Summary and Sign Off'!B8</f>
        <v>0</v>
      </c>
    </row>
    <row r="53" spans="1:2">
      <c r="A53" s="94" t="str">
        <f>"RRR_Total_"&amp;'Summary and Sign Off'!A9</f>
        <v>RRR_Total_Duplicate</v>
      </c>
      <c r="B53">
        <f>'Summary and Sign Off'!B9</f>
        <v>0</v>
      </c>
    </row>
    <row r="54" spans="1:2">
      <c r="A54" s="94" t="str">
        <f>"RRR_Total_"&amp;'Summary and Sign Off'!A10</f>
        <v>RRR_Total_Noted</v>
      </c>
      <c r="B54">
        <f>'Summary and Sign Off'!B10</f>
        <v>0</v>
      </c>
    </row>
    <row r="55" spans="1:2">
      <c r="A55" s="94" t="s">
        <v>190</v>
      </c>
      <c r="B55">
        <f>'Summary and Sign Off'!B25:D25</f>
        <v>0</v>
      </c>
    </row>
    <row r="56" spans="1:2">
      <c r="A56" s="94" t="s">
        <v>191</v>
      </c>
      <c r="B56" t="str">
        <f>'Summary and Sign Off'!B29:D29</f>
        <v>&lt;Name of Approver&gt;</v>
      </c>
    </row>
    <row r="57" spans="1:2">
      <c r="A57" s="94" t="s">
        <v>192</v>
      </c>
      <c r="B57" t="str">
        <f>'Summary and Sign Off'!B30:D30</f>
        <v>dd MMMM yyyy</v>
      </c>
    </row>
    <row r="58" spans="1:2">
      <c r="A58" s="94" t="s">
        <v>398</v>
      </c>
      <c r="B58" t="str">
        <f>'Summary and Sign Off'!B32:D32</f>
        <v>&lt;Name of Approver&gt;</v>
      </c>
    </row>
    <row r="59" spans="1:2">
      <c r="A59" s="94" t="s">
        <v>399</v>
      </c>
      <c r="B59" t="str">
        <f>'Summary and Sign Off'!B33:D33</f>
        <v>dd MMMM yyyy</v>
      </c>
    </row>
    <row r="60" spans="1:2">
      <c r="A60" s="94" t="s">
        <v>400</v>
      </c>
      <c r="B60" t="str">
        <f>'Summary and Sign Off'!B35:D35</f>
        <v>&lt;Name of Approver&gt;</v>
      </c>
    </row>
    <row r="61" spans="1:2">
      <c r="A61" s="94" t="s">
        <v>401</v>
      </c>
      <c r="B61" t="str">
        <f>'Summary and Sign Off'!B36:D36</f>
        <v>dd MMMM yyyy</v>
      </c>
    </row>
    <row r="62" spans="1:2">
      <c r="A62" s="94" t="s">
        <v>402</v>
      </c>
      <c r="B62">
        <f ca="1">COUNTIF('Summary and Sign Off'!D44:D54,"Inconsistent")</f>
        <v>3</v>
      </c>
    </row>
    <row r="63" spans="1:2">
      <c r="A63" s="94" t="s">
        <v>403</v>
      </c>
      <c r="B63">
        <f>COUNTA('Summary and Sign Off'!E44:F54)</f>
        <v>0</v>
      </c>
    </row>
    <row r="64" spans="1:2">
      <c r="A64" s="94" t="s">
        <v>200</v>
      </c>
      <c r="B64">
        <f>CommentsRaised</f>
        <v>0</v>
      </c>
    </row>
    <row r="65" spans="1:3">
      <c r="A65" s="94" t="s">
        <v>201</v>
      </c>
      <c r="B65">
        <f>CommentsToAction</f>
        <v>0</v>
      </c>
    </row>
    <row r="66" spans="1:3">
      <c r="A66" s="94" t="s">
        <v>202</v>
      </c>
      <c r="B66">
        <f>CommentsToSignOff</f>
        <v>0</v>
      </c>
    </row>
    <row r="67" spans="1:3">
      <c r="A67" s="94" t="s">
        <v>208</v>
      </c>
      <c r="B67" t="str">
        <f>Final_Revision</f>
        <v>&lt;Issue n.n&gt; or &lt;CM System revision number&gt;</v>
      </c>
    </row>
    <row r="68" spans="1:3">
      <c r="A68" s="94" t="str">
        <f>"RRR_Total_"&amp;C68&amp;"_Op"</f>
        <v>RRR_Total_Accepted_Op</v>
      </c>
      <c r="B68">
        <f>COUNTIFS(DevCommentStatuses,C68,DevCommentCategory, "01 - Mandatory (Op)")</f>
        <v>0</v>
      </c>
      <c r="C68" t="s">
        <v>87</v>
      </c>
    </row>
    <row r="69" spans="1:3">
      <c r="A69" s="94" t="str">
        <f>"RRR_Total_"&amp;C69&amp;"_Op"</f>
        <v>RRR_Total_Rejected_Op</v>
      </c>
      <c r="B69">
        <f>COUNTIFS(DevCommentStatuses,C69,DevCommentCategory, "01 - Mandatory (Op)")</f>
        <v>0</v>
      </c>
      <c r="C69" t="s">
        <v>86</v>
      </c>
    </row>
    <row r="70" spans="1:3">
      <c r="A70" s="94" t="str">
        <f>"RRR_Total_"&amp;C70&amp;"_Op"</f>
        <v>RRR_Total_Duplicated_Op</v>
      </c>
      <c r="B70">
        <f>COUNTIFS(DevCommentStatuses,C70,DevCommentCategory, "01 - Mandatory (Op)")</f>
        <v>0</v>
      </c>
      <c r="C70" t="s">
        <v>325</v>
      </c>
    </row>
    <row r="71" spans="1:3">
      <c r="A71" s="94" t="str">
        <f>"RRR_Total_"&amp;C71&amp;"_Op"</f>
        <v>RRR_Total_Noted_Op</v>
      </c>
      <c r="B71">
        <f>COUNTIFS(DevCommentStatuses,C71,DevCommentCategory, "01 - Mandatory (Op)")</f>
        <v>0</v>
      </c>
      <c r="C71" t="s">
        <v>85</v>
      </c>
    </row>
    <row r="72" spans="1:3">
      <c r="A72" s="94"/>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41</vt:i4>
      </vt:variant>
    </vt:vector>
  </HeadingPairs>
  <TitlesOfParts>
    <vt:vector size="49"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2012-08-23T13:56:10Z</cp:lastPrinted>
  <dcterms:created xsi:type="dcterms:W3CDTF">2006-01-10T12:16:43Z</dcterms:created>
  <dcterms:modified xsi:type="dcterms:W3CDTF">2013-02-18T09:22:00Z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0</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5</vt:lpwstr>
  </property>
  <property fmtid="{D5CDD505-2E9C-101B-9397-08002B2CF9AE}" pid="84" name="RRR_InconsistenciesJustified">
    <vt:lpwstr>0</vt:lpwstr>
  </property>
  <property fmtid="{D5CDD505-2E9C-101B-9397-08002B2CF9AE}" pid="85" name="RRR_Total_Accepted  (Op)">
    <vt:lpwstr>0</vt:lpwstr>
  </property>
</Properties>
</file>