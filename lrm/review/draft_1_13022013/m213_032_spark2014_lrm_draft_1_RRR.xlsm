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functionGroup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D47" i="19"/>
  <c r="D51"/>
  <c r="D45"/>
  <c r="B46" i="15"/>
  <c r="D53" i="19"/>
  <c r="B43" i="15"/>
  <c r="D49" i="19"/>
  <c r="D52"/>
  <c r="D48"/>
  <c r="B44" i="15"/>
  <c r="D44" i="19"/>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<sst xmlns="http://schemas.openxmlformats.org/spreadsheetml/2006/main" count="2039" uniqueCount="1055">
  <si>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</si>
  <si>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</si>
  <si>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</si>
  <si>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</si>
  <si>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</si>
  <si>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</si>
  <si>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</si>
  <si>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</si>
  <si>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</si>
  <si>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</si>
  <si>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</si>
  <si>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</si>
  <si>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</si>
  <si>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</si>
  <si>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</si>
  <si>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</si>
  <si>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</si>
  <si>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</si>
  <si>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</si>
  <si>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</si>
  <si>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</si>
  <si>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</si>
  <si>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</si>
  <si>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</si>
  <si>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</si>
  <si>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</si>
  <si>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</si>
  <si>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</si>
  <si>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</si>
  <si>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</si>
  <si>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</si>
  <si>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</si>
  <si>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</si>
  <si>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</si>
  <si>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</si>
  <si>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</si>
  <si>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</si>
  <si>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</si>
  <si>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</si>
  <si>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</si>
  <si>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</si>
  <si>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</si>
  <si>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</si>
  <si>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</si>
  <si>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</si>
  <si>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</si>
  <si>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</si>
  <si>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</si>
  <si>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</si>
  <si>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</si>
  <si>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</si>
  <si>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</si>
  <si>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</si>
  <si>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</si>
  <si>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</si>
  <si>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</si>
  <si>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</si>
  <si>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</si>
  <si>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</si>
  <si>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</si>
  <si>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</si>
  <si>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</si>
  <si>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</si>
  <si>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</si>
  <si>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</si>
  <si>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</si>
  <si>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</si>
  <si>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</si>
  <si>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</si>
  <si>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</si>
  <si>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</si>
  <si>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</si>
  <si>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</si>
  <si>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</si>
  <si>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</si>
  <si>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</si>
  <si>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</si>
  <si>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</si>
  <si>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</si>
  <si>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</si>
  <si>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</si>
  <si>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</si>
  <si>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</si>
  <si>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</si>
  <si>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</si>
  <si>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</si>
  <si>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</si>
  <si>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</si>
  <si>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</si>
  <si>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</si>
  <si>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</si>
  <si>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</si>
  <si>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</si>
  <si>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</si>
  <si>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</si>
  <si>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</si>
  <si>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</si>
  <si>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</si>
  <si>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</si>
  <si>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</si>
  <si>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</si>
  <si>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</si>
  <si>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</si>
  <si>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</si>
  <si>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</si>
  <si>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</si>
  <si>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</si>
  <si>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</si>
  <si>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</si>
  <si>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</si>
  <si>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</si>
  <si>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</si>
  <si>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</si>
  <si>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</si>
  <si>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</si>
  <si>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</si>
  <si>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</si>
  <si>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</si>
  <si>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</si>
  <si>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</si>
  <si>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</si>
  <si>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</si>
  <si>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</si>
  <si>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</si>
  <si>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</si>
  <si>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</si>
  <si>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</si>
  <si>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</si>
  <si>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</si>
  <si>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</si>
  <si>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</si>
  <si>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</si>
  <si>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</si>
  <si>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</si>
  <si>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</si>
  <si>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</si>
  <si>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</si>
  <si>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</si>
  <si>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</si>
  <si>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</si>
  <si>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</si>
  <si>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</si>
  <si>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</si>
  <si>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</si>
  <si>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</si>
  <si>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</si>
  <si>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</si>
  <si>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</si>
  <si>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</si>
  <si>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</si>
  <si>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</si>
  <si>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</si>
  <si>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</si>
  <si>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</si>
  <si>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</si>
  <si>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</si>
  <si>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</si>
  <si>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</si>
  <si>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</si>
  <si>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</si>
  <si>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</si>
  <si>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</si>
  <si>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</si>
  <si>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</si>
  <si>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</si>
  <si>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</si>
  <si>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</si>
  <si>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</si>
  <si>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</si>
  <si>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</si>
  <si>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</si>
  <si>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</si>
  <si>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</si>
  <si>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</si>
  <si>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</si>
  <si>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</si>
  <si>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</si>
  <si>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</si>
  <si>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</si>
  <si>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</si>
  <si>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</si>
  <si>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</si>
  <si>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</si>
  <si>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</si>
  <si>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</si>
  <si>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</si>
  <si>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</si>
  <si>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</si>
  <si>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</si>
  <si>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</si>
  <si>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</si>
  <si>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</si>
  <si>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</si>
  <si>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</si>
  <si>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</si>
  <si>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</si>
  <si>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</si>
  <si>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</si>
  <si>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</si>
  <si>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</si>
  <si>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</si>
  <si>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</si>
  <si>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</si>
  <si>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</si>
  <si>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</si>
  <si>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</si>
  <si>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</si>
  <si>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</si>
  <si>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</si>
  <si>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</si>
  <si>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</si>
  <si>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</si>
  <si>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</si>
  <si>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</si>
  <si>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</si>
  <si>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</si>
  <si>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</si>
  <si>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</si>
  <si>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</si>
  <si>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</si>
  <si>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</si>
  <si>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</si>
  <si>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</si>
  <si>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</si>
  <si>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</si>
  <si>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</si>
  <si>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</si>
  <si>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</si>
  <si>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</si>
  <si>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</si>
  <si>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</si>
  <si>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</si>
  <si>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</si>
  <si>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</si>
  <si>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</si>
  <si>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</si>
  <si>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</si>
  <si>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</si>
  <si>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</si>
  <si>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</si>
  <si>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</si>
  <si>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</si>
  <si>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</si>
  <si>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</si>
  <si>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</si>
  <si>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</si>
  <si>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</si>
  <si>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</si>
  <si>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</si>
  <si>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</si>
  <si>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</si>
  <si>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</si>
  <si>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</si>
  <si>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</si>
  <si>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</si>
  <si>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</si>
  <si>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</si>
  <si>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</si>
  <si>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</si>
  <si>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</si>
  <si>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</si>
  <si>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</si>
  <si>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</si>
  <si>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</si>
  <si>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</si>
  <si>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</si>
  <si>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</si>
  <si>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</si>
  <si>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</si>
  <si>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</si>
  <si>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</si>
  <si>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</si>
  <si>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</si>
  <si>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</si>
  <si>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</si>
  <si>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</si>
  <si>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</si>
  <si>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</si>
  <si>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</si>
  <si>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</si>
  <si>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</si>
  <si>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</si>
  <si>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</si>
  <si>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</si>
  <si>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</si>
  <si>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</si>
  <si>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</si>
  <si>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</si>
  <si>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</si>
  <si>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</si>
  <si>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</si>
  <si>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</si>
  <si>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</si>
  <si>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</si>
  <si>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</si>
  <si>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</si>
  <si>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</si>
  <si>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</si>
  <si>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</si>
  <si>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</si>
  <si>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</si>
  <si>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</si>
  <si>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</si>
  <si>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</si>
  <si>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</si>
  <si>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</si>
  <si>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</si>
  <si>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</si>
  <si>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</si>
  <si>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</si>
  <si>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</si>
  <si>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</si>
  <si>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</si>
  <si>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</si>
  <si>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</si>
  <si>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</si>
  <si>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</si>
  <si>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</si>
  <si>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</si>
  <si>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</si>
  <si>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</si>
  <si>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</si>
  <si>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</si>
  <si>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</si>
  <si>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</si>
  <si>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</si>
  <si>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</si>
  <si>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</si>
  <si>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</si>
  <si>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</si>
  <si>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</si>
  <si>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</si>
  <si>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</si>
  <si>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</si>
  <si>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</si>
  <si>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</si>
  <si>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</si>
  <si>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</si>
  <si>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</si>
  <si>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</si>
  <si>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</si>
  <si>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</si>
  <si>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</si>
  <si>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</si>
  <si>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</si>
  <si>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</si>
  <si>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</si>
  <si>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</si>
  <si>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</si>
  <si>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</si>
  <si>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</si>
  <si>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</si>
  <si>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</si>
  <si>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</si>
  <si>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</si>
  <si>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</si>
  <si>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</si>
  <si>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</si>
  <si>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</si>
  <si>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</si>
  <si>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</si>
  <si>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</si>
  <si>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</si>
  <si>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</si>
  <si>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</si>
  <si>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</si>
  <si>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</si>
  <si>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</si>
  <si>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</si>
  <si>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</si>
  <si>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</si>
  <si>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</si>
  <si>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</si>
  <si>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</si>
  <si>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</si>
  <si>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</si>
  <si>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</si>
  <si>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</si>
  <si>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</si>
  <si>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</si>
  <si>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</si>
  <si>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</si>
  <si>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</si>
  <si>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</si>
  <si>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</si>
  <si>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</si>
  <si>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</si>
  <si>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</si>
  <si>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</si>
  <si>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</si>
  <si>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</si>
  <si>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</si>
  <si>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</si>
  <si>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</si>
  <si>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</si>
  <si>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</si>
  <si>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</si>
  <si>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</si>
  <si>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</si>
  <si>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</si>
  <si>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</si>
  <si>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</si>
  <si>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</si>
  <si>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</si>
  <si>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</si>
  <si>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</si>
  <si>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</si>
  <si>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</si>
  <si>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</si>
  <si>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</si>
  <si>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</si>
  <si>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</si>
  <si>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</si>
  <si>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</si>
  <si>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</si>
  <si>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</si>
  <si>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</si>
  <si>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</si>
  <si>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</si>
  <si>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</si>
  <si>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</si>
  <si>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</si>
  <si>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</si>
  <si>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</si>
  <si>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</si>
  <si>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</si>
  <si>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</si>
  <si>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</si>
  <si>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</si>
  <si>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</si>
  <si>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</si>
  <si>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</si>
  <si>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</si>
  <si>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</si>
  <si>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</si>
  <si>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</si>
  <si>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</si>
  <si>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</si>
  <si>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</si>
  <si>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</si>
  <si>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</si>
  <si>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</si>
  <si>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</si>
  <si>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</si>
  <si>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</si>
  <si>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</si>
  <si>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</si>
  <si>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</si>
  <si>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</si>
  <si>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</si>
  <si>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</si>
  <si>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</si>
  <si>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</si>
  <si>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</si>
  <si>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</si>
  <si>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</si>
  <si>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</si>
  <si>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</si>
  <si>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</si>
  <si>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</si>
  <si>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</si>
  <si>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</si>
  <si>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</si>
  <si>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</si>
  <si>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</si>
  <si>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</si>
  <si>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</si>
  <si>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</si>
  <si>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</si>
  <si>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</si>
  <si>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</si>
  <si>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</si>
  <si>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</si>
  <si>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</si>
  <si>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</si>
  <si>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</si>
  <si>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</si>
  <si>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</si>
  <si>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</si>
  <si>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</si>
  <si>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</si>
  <si>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</si>
  <si>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</si>
  <si>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</si>
  <si>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</si>
  <si>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</si>
  <si>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</si>
  <si>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</si>
  <si>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</si>
  <si>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</si>
  <si>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</si>
  <si>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</si>
  <si>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</si>
  <si>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</si>
  <si>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</si>
  <si>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</si>
  <si>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</si>
  <si>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</si>
  <si>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</si>
  <si>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</si>
  <si>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</si>
  <si>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</si>
  <si>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</si>
  <si>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</si>
  <si>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</si>
  <si>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</si>
  <si>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</si>
  <si>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</si>
  <si>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</si>
  <si>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</si>
  <si>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</si>
  <si>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</si>
  <si>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</si>
  <si>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</si>
  <si>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</si>
  <si>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</si>
  <si>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</si>
  <si>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</si>
  <si>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</si>
  <si>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</si>
  <si>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</si>
  <si>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</si>
  <si>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</si>
  <si>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</si>
  <si>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</si>
  <si>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</si>
  <si>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</si>
  <si>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</si>
  <si>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</si>
  <si>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</si>
  <si>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</si>
  <si>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</si>
  <si>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</si>
  <si>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</si>
  <si>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</si>
  <si>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</si>
  <si>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</si>
  <si>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</si>
  <si>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</si>
  <si>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</si>
  <si>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</si>
  <si>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</si>
  <si>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</si>
  <si>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</si>
  <si>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</si>
  <si>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</si>
  <si>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</si>
  <si>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</si>
  <si>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</si>
  <si>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</si>
  <si>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</si>
  <si>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</si>
  <si>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</si>
  <si>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</si>
  <si>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</si>
  <si>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</si>
  <si>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</si>
  <si>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</si>
  <si>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</si>
  <si>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</si>
  <si>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</si>
  <si>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</si>
  <si>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</si>
  <si>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</si>
  <si>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</si>
  <si>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</si>
  <si>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</si>
  <si>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</si>
  <si>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</si>
  <si>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</si>
  <si>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</si>
  <si>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</si>
  <si>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</si>
  <si>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</si>
  <si>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</si>
  <si>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</si>
  <si>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</si>
  <si>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</si>
  <si>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</si>
  <si>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</si>
  <si>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</si>
  <si>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</si>
  <si>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</si>
  <si>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</si>
  <si>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</si>
  <si>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</si>
  <si>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</si>
  <si>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</si>
  <si>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</si>
  <si>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</si>
  <si>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</si>
  <si>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</si>
  <si>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</si>
  <si>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</si>
  <si>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</si>
  <si>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</si>
  <si>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</si>
  <si>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</si>
  <si>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</si>
  <si>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</si>
  <si>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</si>
  <si>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</si>
  <si>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</si>
  <si>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</si>
  <si>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</si>
  <si>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</si>
  <si>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</si>
  <si>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</si>
  <si>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</si>
  <si>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</si>
  <si>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</si>
  <si>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</si>
  <si>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</si>
  <si>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</si>
  <si>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</si>
  <si>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</si>
  <si>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</si>
  <si>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</si>
  <si>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</si>
  <si>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</si>
  <si>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</si>
  <si>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</si>
  <si>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</si>
  <si>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</si>
  <si>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</si>
  <si>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</si>
  <si>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</si>
  <si>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</si>
  <si>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</si>
  <si>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</si>
  <si>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</si>
  <si>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</si>
  <si>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</si>
  <si>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</si>
  <si>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</si>
  <si>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</si>
  <si>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</si>
  <si>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</si>
  <si>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</si>
  <si>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</si>
  <si>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</si>
  <si>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</si>
  <si>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</si>
  <si>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</si>
  <si>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</si>
  <si>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</si>
  <si>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</si>
  <si>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</si>
  <si>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</si>
  <si>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</si>
  <si>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</si>
  <si>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</si>
  <si>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</si>
  <si>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</si>
  <si>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</si>
  <si>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</si>
  <si>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</si>
  <si>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</si>
  <si>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</si>
  <si>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</si>
  <si>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</si>
  <si>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</si>
  <si>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</si>
  <si>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</si>
  <si>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</si>
  <si>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</si>
  <si>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</si>
  <si>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</si>
  <si>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</si>
  <si>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</si>
  <si>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</si>
  <si>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</si>
  <si>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</si>
  <si>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</si>
  <si>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</si>
  <si>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</si>
  <si>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</si>
  <si>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</si>
  <si>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</si>
  <si>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</si>
  <si>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</si>
  <si>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</si>
  <si>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</si>
  <si>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</si>
  <si>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</si>
  <si>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</si>
  <si>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</si>
  <si>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</si>
  <si>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</si>
  <si>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</si>
  <si>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</si>
  <si>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</si>
  <si>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</si>
  <si>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</si>
  <si>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</si>
  <si>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</si>
  <si>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</si>
  <si>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</si>
  <si>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</si>
  <si>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</si>
  <si>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</si>
  <si>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</si>
  <si>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</si>
  <si>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</si>
  <si>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</si>
  <si>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</si>
  <si>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</si>
  <si>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</si>
  <si>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</si>
  <si>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</si>
  <si>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</si>
  <si>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</si>
  <si>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</si>
  <si>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</si>
  <si>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</si>
  <si>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</si>
  <si>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</si>
  <si>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</si>
  <si>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</si>
  <si>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</si>
  <si>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</si>
  <si>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</si>
  <si>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</si>
  <si>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</si>
  <si>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</si>
  <si>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</si>
  <si>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</si>
  <si>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</si>
  <si>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</si>
  <si>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</si>
  <si>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</si>
  <si>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</si>
  <si>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</si>
  <si>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</si>
  <si>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</si>
  <si>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</si>
  <si>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</si>
  <si>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</si>
  <si>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</si>
  <si>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</si>
  <si>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</si>
  <si>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</si>
  <si>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</si>
  <si>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</si>
  <si>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</si>
  <si>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</si>
  <si>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</si>
  <si>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</si>
  <si>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</si>
  <si>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</si>
  <si>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</si>
  <si>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</si>
  <si>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</si>
  <si>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</si>
  <si>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</si>
  <si>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</si>
  <si>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</si>
  <si>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</si>
  <si>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</si>
  <si>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</si>
  <si>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</si>
  <si>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</si>
  <si>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</si>
  <si>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</si>
  <si>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</si>
  <si>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</si>
  <si>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</si>
  <si>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</si>
  <si>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</si>
  <si>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</si>
  <si>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</si>
  <si>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</si>
  <si>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</si>
  <si>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</si>
  <si>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</si>
  <si>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</si>
  <si>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</si>
  <si>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</si>
  <si>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</si>
  <si>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</si>
  <si>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</si>
  <si>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</si>
  <si>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</si>
  <si>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</si>
  <si>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</si>
  <si>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</si>
  <si>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</si>
  <si>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</si>
  <si>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</si>
  <si>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</si>
  <si>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</si>
  <si>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</si>
  <si>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</si>
  <si>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</si>
  <si>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</si>
  <si>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</si>
  <si>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</si>
  <si>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</si>
  <si>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</si>
  <si>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</si>
  <si>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</si>
  <si>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</si>
  <si>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</si>
  <si>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</si>
  <si>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</si>
  <si>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</si>
  <si>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</si>
  <si>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</si>
  <si>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</si>
  <si>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</si>
  <si>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</si>
  <si>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</si>
  <si>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</si>
  <si>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</si>
  <si>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</si>
  <si>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</si>
  <si>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</si>
  <si>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</si>
  <si>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</si>
  <si>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</si>
  <si>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</si>
  <si>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</si>
  <si>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</si>
  <si>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</si>
  <si>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</si>
  <si>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</si>
  <si>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</si>
  <si>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</si>
  <si>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</si>
  <si>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</si>
  <si>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</si>
  <si>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</si>
  <si>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</si>
  <si>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</si>
  <si>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</si>
  <si>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</si>
  <si>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</si>
  <si>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</si>
  <si>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</si>
  <si>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</si>
  <si>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</si>
  <si>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</si>
  <si>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</si>
  <si>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</si>
  <si>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</si>
  <si>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</si>
  <si>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</si>
  <si>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</si>
  <si>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</si>
  <si>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</si>
  <si>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</si>
  <si>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</si>
  <si>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</si>
  <si>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</si>
  <si>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</si>
  <si>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</si>
  <si>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</si>
  <si>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</si>
  <si>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</si>
  <si>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</si>
  <si>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</si>
  <si>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</si>
  <si>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</si>
  <si>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</si>
  <si>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</si>
  <si>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</si>
  <si>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</si>
  <si>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</si>
  <si>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</si>
  <si>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</si>
  <si>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</si>
  <si>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</si>
  <si>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</si>
  <si>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</si>
  <si>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</si>
  <si>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</si>
  <si>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</si>
  <si>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</si>
  <si>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</si>
  <si>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</si>
  <si>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</si>
  <si>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</si>
  <si>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</si>
  <si>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</si>
  <si>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</si>
  <si>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</si>
  <si>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</si>
  <si>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</si>
  <si>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</si>
  <si>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</si>
  <si>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</si>
  <si>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</si>
  <si>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</si>
  <si>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</si>
  <si>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</si>
  <si>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</si>
  <si>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</si>
  <si>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</si>
  <si>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</si>
  <si>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</si>
  <si>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</si>
  <si>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</si>
  <si>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</si>
  <si>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</si>
  <si>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</si>
  <si>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</si>
  <si>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</si>
  <si>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</si>
  <si>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</si>
  <si>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</si>
  <si>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</si>
  <si>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</si>
  <si>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</si>
  <si>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</si>
  <si>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</si>
  <si>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</si>
  <si>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</si>
  <si>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</si>
  <si>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</si>
  <si>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</si>
  <si>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</si>
  <si>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</si>
  <si>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</si>
  <si>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</si>
  <si>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</si>
  <si>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</si>
  <si>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</si>
  <si>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</si>
  <si>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</si>
  <si>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</si>
  <si>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</si>
  <si>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</si>
  <si>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</si>
  <si>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</si>
  <si>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</si>
  <si>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</si>
  <si>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</si>
  <si>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</si>
  <si>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</si>
  <si>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</si>
  <si>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</si>
  <si>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</si>
  <si>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</si>
  <si>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</si>
  <si>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</si>
  <si>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</si>
  <si>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</si>
  <si>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</si>
  <si>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</si>
  <si>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</si>
  <si>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</si>
  <si>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</si>
  <si>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</si>
  <si>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</si>
  <si>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</si>
  <si>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</si>
  <si>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</si>
  <si>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</si>
  <si>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</si>
  <si>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</si>
  <si>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</si>
  <si>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</si>
  <si>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</si>
  <si>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</si>
  <si>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</si>
  <si>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</si>
  <si>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</si>
  <si>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</si>
  <si>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</si>
  <si>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</si>
  <si>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</si>
  <si>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</si>
  <si>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</si>
  <si>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</si>
  <si>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</si>
  <si>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</si>
  <si>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</si>
  <si>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</si>
  <si>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</si>
  <si>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</si>
  <si>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</si>
  <si>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</si>
  <si>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</si>
  <si>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</si>
  <si>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</si>
  <si>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</si>
  <si>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</si>
  <si>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</si>
  <si>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</si>
  <si>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</si>
  <si>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</si>
  <si>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</si>
  <si>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</si>
  <si>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</si>
  <si>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</si>
  <si>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</si>
  <si>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</si>
  <si>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</si>
  <si>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</si>
  <si>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</si>
  <si>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</si>
  <si>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</si>
  <si>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</si>
  <si>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</si>
  <si>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</si>
  <si>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</si>
  <si>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</si>
  <si>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</si>
  <si>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</si>
  <si>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</si>
  <si>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</si>
  <si>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</si>
  <si>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</si>
  <si>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</si>
  <si>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</si>
  <si>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</si>
  <si>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</si>
  <si>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</si>
  <si>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</si>
  <si>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</si>
  <si>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</si>
  <si>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</si>
  <si>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This is covered by a
ToDo in section 1.9.4.</t>
  </si>
  <si>
    <t>Pragma Assume *is*
an assertion and
generates a run-time
check, although that check will not be proved.</t>
  </si>
  <si>
    <t>Yes, it will; further
detail will be provided
in a subsequent draft of the doc.</t>
  </si>
  <si>
    <t>Makes sense as it is.</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</si>
  <si>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</si>
  <si>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</si>
  <si>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</si>
  <si>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</si>
  <si>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TJJ: add a ToDo to the relevant section to address this issue.</t>
  </si>
  <si>
    <t>TJJ to add some detail.</t>
  </si>
  <si>
    <t>TJJ to add ToDo: we might be able to do something about types, but also need to deal with invariants on Abstract State.</t>
  </si>
  <si>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</si>
  <si>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</si>
  <si>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</si>
  <si>
    <t>It isn't possible to next mark-up in ReST, so we can't use the approach to define the Syntax sections along with italics. This is a problem in relation to a number of places in the document, not just in relation to discrete_expression. A ticket is to be raised to address this.</t>
  </si>
  <si>
    <t>A statement has been added to reference SPARK 2005.</t>
  </si>
  <si>
    <t>Duplicate of AH/19.</t>
  </si>
  <si>
    <t>Updated as suggested.</t>
  </si>
  <si>
    <t>Substituted "shall have a completion" as suggested.</t>
  </si>
  <si>
    <t>Updated.</t>
  </si>
  <si>
    <t>Numbering issue will go away when Notes are removed. Comments have been updated. Any issues with bolding within examples is to do with the Ada style in ReST.</t>
  </si>
  <si>
    <t>This isn't true, as a SPARK 2014 program may include other Ada 2012 language elements that are not in earlier versions of the language.</t>
  </si>
  <si>
    <t>Sentence on dynamic semantics removed.</t>
  </si>
  <si>
    <t>Comment added to say this supports modular analysis.</t>
  </si>
  <si>
    <t>This is an issue to do with the the Ada style within ReST.</t>
  </si>
  <si>
    <t>JB to check.</t>
  </si>
  <si>
    <t>JB to discuss with
SM.</t>
  </si>
  <si>
    <t>TJJ to tidy-up Notes
or hide if necessary.</t>
  </si>
  <si>
    <t>JB: defer this comment.</t>
  </si>
  <si>
    <t>JB: raise ticket.</t>
  </si>
  <si>
    <t>TJJ to respond to comment and add a ToDo to set up a discussion.</t>
  </si>
  <si>
    <t>JB to say this occurs naturally due to the visibility rules of Ada and reject.</t>
  </si>
  <si>
    <t>TJJ update.</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</si>
</sst>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6" fillId="0" borderId="0" xfId="0" applyFont="1" applyAlignment="1">
      <alignment wrapText="1"/>
    </xf>
    <xf numFmtId="2" fontId="6" fillId="0" borderId="1" xfId="9" applyNumberFormat="1" applyFont="1">
      <alignment horizontal="left" vertical="top" wrapText="1"/>
      <protection locked="0"/>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1" fontId="1" fillId="0" borderId="1" xfId="9" applyNumberFormat="1" applyFont="1"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6" borderId="7" xfId="0" applyFont="1" applyFill="1" applyBorder="1" applyAlignment="1">
      <alignment horizontal="left"/>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1" fillId="0" borderId="0" xfId="5" applyAlignment="1" applyProtection="1">
      <alignment horizontal="left"/>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alignment horizontal="left" vertical="top" wrapText="1"/>
    </xf>
    <xf numFmtId="0" fontId="6" fillId="0" borderId="1" xfId="5" applyFont="1" applyBorder="1" applyAlignment="1" applyProtection="1"/>
    <xf numFmtId="0" fontId="1" fillId="0" borderId="1" xfId="5" applyBorder="1" applyProtection="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12"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3" borderId="1" xfId="5" applyFill="1" applyBorder="1"/>
    <xf numFmtId="0" fontId="1" fillId="3" borderId="1" xfId="5" applyFill="1" applyBorder="1"/>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2" fontId="1" fillId="0" borderId="1" xfId="7" applyNumberFormat="1" applyProtection="1">
      <alignment horizontal="left" vertical="top" wrapText="1"/>
    </xf>
    <xf numFmtId="0" fontId="1" fillId="0" borderId="1" xfId="7">
      <alignment horizontal="left" vertical="top" wrapText="1"/>
      <protection locked="0"/>
    </xf>
    <xf numFmtId="0" fontId="1" fillId="0" borderId="1" xfId="7" applyFont="1">
      <alignment horizontal="left" vertical="top" wrapText="1"/>
      <protection locked="0"/>
    </xf>
    <xf numFmtId="166" fontId="1" fillId="0" borderId="10" xfId="7" applyNumberFormat="1" applyBorder="1" applyAlignment="1" applyProtection="1">
      <alignment horizontal="left" vertical="top" wrapText="1"/>
    </xf>
    <xf numFmtId="0" fontId="1" fillId="0" borderId="7" xfId="5" applyBorder="1" applyAlignment="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51">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91" t="s">
        <v>190</v>
      </c>
      <c r="B2" s="191"/>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4" t="s">
        <v>21</v>
      </c>
      <c r="B24" s="13" t="s">
        <v>20</v>
      </c>
      <c r="C24" s="5" t="str">
        <f t="shared" si="1"/>
        <v>!</v>
      </c>
    </row>
    <row r="25" spans="1:3">
      <c r="A25" s="185"/>
      <c r="B25" s="12" t="s">
        <v>323</v>
      </c>
      <c r="C25" s="5" t="str">
        <f t="shared" si="1"/>
        <v>!</v>
      </c>
    </row>
    <row r="26" spans="1:3">
      <c r="A26" s="185"/>
      <c r="B26" s="147" t="s">
        <v>323</v>
      </c>
      <c r="C26" s="5" t="str">
        <f t="shared" si="1"/>
        <v>!</v>
      </c>
    </row>
    <row r="27" spans="1:3">
      <c r="A27" s="185"/>
      <c r="B27" s="12" t="s">
        <v>537</v>
      </c>
      <c r="C27" s="5" t="str">
        <f t="shared" si="1"/>
        <v/>
      </c>
    </row>
    <row r="28" spans="1:3">
      <c r="A28" s="185"/>
      <c r="B28" s="12" t="s">
        <v>538</v>
      </c>
      <c r="C28" s="5" t="str">
        <f t="shared" si="1"/>
        <v/>
      </c>
    </row>
    <row r="29" spans="1:3">
      <c r="A29" s="185"/>
      <c r="B29" s="12"/>
      <c r="C29" s="5" t="str">
        <f t="shared" si="1"/>
        <v/>
      </c>
    </row>
    <row r="30" spans="1:3" ht="38.25">
      <c r="A30" s="185"/>
      <c r="B30" s="11" t="s">
        <v>400</v>
      </c>
      <c r="C30" s="5" t="str">
        <f t="shared" si="1"/>
        <v/>
      </c>
    </row>
    <row r="31" spans="1:3" s="9" customFormat="1"/>
    <row r="32" spans="1:3" s="9" customFormat="1" ht="21">
      <c r="A32" s="10" t="s">
        <v>19</v>
      </c>
    </row>
    <row r="34" spans="1:3">
      <c r="A34" s="186" t="s">
        <v>18</v>
      </c>
      <c r="B34" s="8" t="s">
        <v>518</v>
      </c>
      <c r="C34" s="5" t="str">
        <f>IF(OR(LEFT(B34,1)="&lt;",COUNTIF(Blanks,B34)&gt;0),CheckErr,CheckOK)</f>
        <v/>
      </c>
    </row>
    <row r="35" spans="1:3">
      <c r="A35" s="187"/>
      <c r="B35" s="158"/>
    </row>
    <row r="36" spans="1:3">
      <c r="A36" s="187"/>
      <c r="B36" s="158"/>
    </row>
    <row r="37" spans="1:3">
      <c r="A37" s="187"/>
      <c r="B37" s="158"/>
    </row>
    <row r="38" spans="1:3">
      <c r="A38" s="187"/>
      <c r="B38" s="158"/>
    </row>
    <row r="39" spans="1:3">
      <c r="A39" s="187"/>
      <c r="B39" s="158"/>
    </row>
    <row r="40" spans="1:3">
      <c r="A40" s="187"/>
      <c r="B40" s="158"/>
    </row>
    <row r="41" spans="1:3">
      <c r="A41" s="187"/>
      <c r="B41" s="158"/>
    </row>
    <row r="42" spans="1:3">
      <c r="A42" s="188"/>
      <c r="B42" s="159"/>
    </row>
    <row r="44" spans="1:3">
      <c r="A44" s="189" t="s">
        <v>17</v>
      </c>
      <c r="B44" s="8" t="s">
        <v>16</v>
      </c>
      <c r="C44" s="5" t="str">
        <f>IF(OR(LEFT(B44,1)="&lt;",COUNTIF(Blanks,B44)&gt;0),CheckErr,CheckOK)</f>
        <v>!</v>
      </c>
    </row>
    <row r="45" spans="1:3">
      <c r="A45" s="190"/>
      <c r="B45" s="7"/>
      <c r="C45" s="5" t="str">
        <f>IF(OR(LEFT(B45,1)="&lt;",COUNTIF(Blanks,B45)&gt;0),CheckErr,CheckOK)</f>
        <v/>
      </c>
    </row>
    <row r="47" spans="1:3">
      <c r="A47" s="189" t="s">
        <v>15</v>
      </c>
      <c r="B47" s="8" t="s">
        <v>14</v>
      </c>
      <c r="C47" s="5" t="str">
        <f>IF(OR(LEFT(B47,1)="&lt;",COUNTIF(Blanks,B47)&gt;0),CheckErr,CheckOK)</f>
        <v>!</v>
      </c>
    </row>
    <row r="48" spans="1:3">
      <c r="A48" s="190"/>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50" priority="7" stopIfTrue="1" operator="equal">
      <formula>CheckErr</formula>
    </cfRule>
  </conditionalFormatting>
  <conditionalFormatting sqref="B1:B1048576">
    <cfRule type="expression" dxfId="49"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48" priority="5" stopIfTrue="1">
      <formula>D1=CheckErr</formula>
    </cfRule>
  </conditionalFormatting>
  <conditionalFormatting sqref="C1:C1048576">
    <cfRule type="expression" dxfId="47" priority="1" stopIfTrue="1">
      <formula>$E1=CheckErr</formula>
    </cfRule>
  </conditionalFormatting>
  <conditionalFormatting sqref="A1:B1048576">
    <cfRule type="expression" dxfId="46"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R239"/>
  <sheetViews>
    <sheetView tabSelected="1" topLeftCell="F1" zoomScaleNormal="100" workbookViewId="0">
      <pane ySplit="13" topLeftCell="A139" activePane="bottomLeft" state="frozen"/>
      <selection activeCell="A6" sqref="A6"/>
      <selection pane="bottomLeft" activeCell="L141" sqref="L141"/>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8" t="s">
        <v>89</v>
      </c>
      <c r="B3" s="199"/>
      <c r="C3" s="199"/>
      <c r="D3" s="206"/>
      <c r="E3" s="206"/>
      <c r="F3" s="206"/>
      <c r="G3" s="206"/>
      <c r="H3" s="206"/>
      <c r="I3" s="206"/>
      <c r="J3" s="207"/>
      <c r="N3" s="169"/>
    </row>
    <row r="4" spans="1:18" s="70" customFormat="1" ht="12.75" customHeight="1" outlineLevel="1">
      <c r="A4" s="209" t="s">
        <v>127</v>
      </c>
      <c r="B4" s="210"/>
      <c r="C4" s="210"/>
      <c r="D4" s="195"/>
      <c r="E4" s="195"/>
      <c r="F4" s="196"/>
      <c r="G4" s="77"/>
      <c r="H4" s="77"/>
      <c r="I4" s="154"/>
      <c r="J4" s="77"/>
      <c r="N4" s="51" t="e">
        <f>IF(AND(OR(LEFT(#REF!,1)="&lt;",COUNTIF(Blanks,#REF!)&gt;0)),CheckErr,CheckOK)</f>
        <v>#REF!</v>
      </c>
    </row>
    <row r="5" spans="1:18" ht="12.75" customHeight="1" outlineLevel="1">
      <c r="A5" s="204" t="s">
        <v>115</v>
      </c>
      <c r="B5" s="205"/>
      <c r="C5" s="205"/>
      <c r="D5" s="195"/>
      <c r="E5" s="195"/>
      <c r="F5" s="196"/>
      <c r="G5" s="76"/>
      <c r="H5" s="76"/>
      <c r="I5" s="155"/>
      <c r="J5" s="76"/>
      <c r="N5" s="51" t="e">
        <f>IF(AND(OR(LEFT(#REF!,1)="&lt;",COUNTIF(Blanks,#REF!)&gt;0)),CheckErr,CheckOK)</f>
        <v>#REF!</v>
      </c>
    </row>
    <row r="6" spans="1:18" s="70" customFormat="1" hidden="1" outlineLevel="2">
      <c r="A6" s="198" t="s">
        <v>99</v>
      </c>
      <c r="B6" s="199"/>
      <c r="C6" s="199"/>
      <c r="D6" s="197"/>
      <c r="E6" s="197"/>
      <c r="F6" s="197"/>
      <c r="G6" s="75"/>
      <c r="H6" s="75"/>
      <c r="I6" s="156"/>
      <c r="J6" s="75"/>
      <c r="N6" s="51"/>
    </row>
    <row r="7" spans="1:18" s="70" customFormat="1" hidden="1" outlineLevel="2">
      <c r="A7" s="198" t="s">
        <v>128</v>
      </c>
      <c r="B7" s="199"/>
      <c r="C7" s="199"/>
      <c r="D7" s="197"/>
      <c r="E7" s="197"/>
      <c r="F7" s="197"/>
      <c r="G7" s="75"/>
      <c r="H7" s="75"/>
      <c r="I7" s="156"/>
      <c r="J7" s="75"/>
      <c r="O7" s="51"/>
    </row>
    <row r="8" spans="1:18" s="70" customFormat="1" hidden="1" outlineLevel="2">
      <c r="A8" s="198" t="s">
        <v>129</v>
      </c>
      <c r="B8" s="199"/>
      <c r="C8" s="199"/>
      <c r="D8" s="197"/>
      <c r="E8" s="197"/>
      <c r="F8" s="197"/>
      <c r="G8" s="75"/>
      <c r="H8" s="75"/>
      <c r="I8" s="156"/>
      <c r="J8" s="75"/>
      <c r="P8" s="51"/>
    </row>
    <row r="9" spans="1:18" s="70" customFormat="1" ht="12.75" customHeight="1" outlineLevel="1" collapsed="1">
      <c r="A9" s="194" t="s">
        <v>126</v>
      </c>
      <c r="B9" s="194"/>
      <c r="C9" s="194"/>
      <c r="D9" s="193"/>
      <c r="E9" s="168"/>
      <c r="F9" s="164"/>
      <c r="G9" s="164"/>
      <c r="H9" s="164"/>
      <c r="I9" s="164"/>
      <c r="J9" s="164"/>
      <c r="N9" s="164"/>
    </row>
    <row r="10" spans="1:18" s="70" customFormat="1" ht="12.75" customHeight="1" outlineLevel="1">
      <c r="D10" s="208"/>
      <c r="E10" s="208"/>
      <c r="F10" s="208"/>
      <c r="G10" s="208"/>
      <c r="H10" s="208"/>
      <c r="I10" s="208"/>
      <c r="J10" s="208"/>
      <c r="N10" s="167"/>
    </row>
    <row r="11" spans="1:18" s="70" customFormat="1" ht="15.75" customHeight="1" outlineLevel="1">
      <c r="A11" s="74"/>
      <c r="B11" s="74"/>
      <c r="C11" s="74"/>
      <c r="D11" s="200"/>
      <c r="E11" s="200"/>
      <c r="F11" s="165" t="str">
        <f>"Comments to action: "&amp;CommentsToAction</f>
        <v>Comments to action: 12</v>
      </c>
      <c r="G11" s="166"/>
      <c r="H11" s="201" t="str">
        <f>"Comments to sign-off: " &amp; CommentsToSignOff</f>
        <v>Comments to sign-off: 34</v>
      </c>
      <c r="I11" s="202"/>
      <c r="J11" s="203"/>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12</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c r="A21" s="57">
        <f t="shared" si="0"/>
        <v>8</v>
      </c>
      <c r="B21" s="68" t="s">
        <v>876</v>
      </c>
      <c r="C21" s="68" t="s">
        <v>594</v>
      </c>
      <c r="D21" s="68" t="s">
        <v>595</v>
      </c>
      <c r="E21" s="68" t="s">
        <v>596</v>
      </c>
      <c r="F21" s="152" t="s">
        <v>875</v>
      </c>
      <c r="G21"/>
      <c r="H21" s="177" t="s">
        <v>1033</v>
      </c>
      <c r="I21" s="2" t="s">
        <v>888</v>
      </c>
      <c r="J21" t="s">
        <v>87</v>
      </c>
      <c r="K21" s="180" t="s">
        <v>883</v>
      </c>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c r="A24" s="57">
        <f t="shared" si="0"/>
        <v>11</v>
      </c>
      <c r="B24" s="68" t="s">
        <v>876</v>
      </c>
      <c r="C24" s="68" t="s">
        <v>604</v>
      </c>
      <c r="D24" s="68" t="s">
        <v>605</v>
      </c>
      <c r="E24" s="68" t="s">
        <v>606</v>
      </c>
      <c r="F24" s="152" t="s">
        <v>881</v>
      </c>
      <c r="G24"/>
      <c r="H24" s="177" t="s">
        <v>884</v>
      </c>
      <c r="I24" s="4" t="s">
        <v>1036</v>
      </c>
      <c r="J24" t="s">
        <v>85</v>
      </c>
      <c r="K24" s="180" t="s">
        <v>883</v>
      </c>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c r="A26" s="57">
        <f t="shared" si="0"/>
        <v>13</v>
      </c>
      <c r="B26" s="68" t="s">
        <v>876</v>
      </c>
      <c r="C26" s="68" t="s">
        <v>610</v>
      </c>
      <c r="D26" s="68" t="s">
        <v>611</v>
      </c>
      <c r="E26" s="68" t="s">
        <v>612</v>
      </c>
      <c r="F26" s="152" t="s">
        <v>613</v>
      </c>
      <c r="G26"/>
      <c r="H26" s="177" t="s">
        <v>884</v>
      </c>
      <c r="I26" s="4" t="s">
        <v>888</v>
      </c>
      <c r="J26" s="91" t="s">
        <v>87</v>
      </c>
      <c r="K26" s="178" t="s">
        <v>883</v>
      </c>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c r="A32" s="57">
        <f t="shared" si="0"/>
        <v>19</v>
      </c>
      <c r="B32" s="68" t="s">
        <v>876</v>
      </c>
      <c r="C32" s="68" t="s">
        <v>633</v>
      </c>
      <c r="D32" s="68" t="s">
        <v>630</v>
      </c>
      <c r="E32" s="68" t="s">
        <v>575</v>
      </c>
      <c r="F32" s="152" t="s">
        <v>634</v>
      </c>
      <c r="G32"/>
      <c r="H32" s="177" t="s">
        <v>884</v>
      </c>
      <c r="I32" s="4" t="s">
        <v>888</v>
      </c>
      <c r="J32" s="91" t="s">
        <v>87</v>
      </c>
      <c r="K32" s="178" t="s">
        <v>883</v>
      </c>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c r="A36" s="57">
        <f t="shared" si="0"/>
        <v>23</v>
      </c>
      <c r="B36" s="68" t="s">
        <v>876</v>
      </c>
      <c r="C36" s="68" t="s">
        <v>646</v>
      </c>
      <c r="D36" s="68">
        <v>10</v>
      </c>
      <c r="E36" s="68" t="s">
        <v>647</v>
      </c>
      <c r="F36" s="152" t="s">
        <v>648</v>
      </c>
      <c r="G36"/>
      <c r="H36" s="177" t="s">
        <v>1033</v>
      </c>
      <c r="I36" s="2" t="s">
        <v>888</v>
      </c>
      <c r="J36" t="s">
        <v>87</v>
      </c>
      <c r="K36" t="s">
        <v>883</v>
      </c>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s="2" t="s">
        <v>1047</v>
      </c>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c r="A40" s="57">
        <f t="shared" si="0"/>
        <v>27</v>
      </c>
      <c r="B40" s="68" t="s">
        <v>876</v>
      </c>
      <c r="C40" s="68" t="s">
        <v>657</v>
      </c>
      <c r="D40" s="68" t="s">
        <v>575</v>
      </c>
      <c r="E40" s="68" t="s">
        <v>612</v>
      </c>
      <c r="F40" s="152" t="s">
        <v>658</v>
      </c>
      <c r="G40"/>
      <c r="H40" s="177" t="s">
        <v>884</v>
      </c>
      <c r="I40" s="4" t="s">
        <v>1022</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270">
      <c r="A41" s="57">
        <f t="shared" si="0"/>
        <v>28</v>
      </c>
      <c r="B41" s="68" t="s">
        <v>876</v>
      </c>
      <c r="C41" s="68" t="s">
        <v>659</v>
      </c>
      <c r="D41" s="68" t="s">
        <v>575</v>
      </c>
      <c r="E41" s="68" t="s">
        <v>612</v>
      </c>
      <c r="F41" s="152" t="s">
        <v>660</v>
      </c>
      <c r="G41"/>
      <c r="H41" s="177" t="s">
        <v>1033</v>
      </c>
      <c r="I41" s="182" t="s">
        <v>1034</v>
      </c>
      <c r="J41" t="s">
        <v>87</v>
      </c>
      <c r="K41" t="s">
        <v>883</v>
      </c>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t="27">
      <c r="A43" s="57">
        <f t="shared" si="0"/>
        <v>30</v>
      </c>
      <c r="B43" s="68" t="s">
        <v>877</v>
      </c>
      <c r="C43" s="68" t="s">
        <v>664</v>
      </c>
      <c r="D43" s="68" t="s">
        <v>662</v>
      </c>
      <c r="E43" s="68">
        <v>1</v>
      </c>
      <c r="F43" s="152" t="s">
        <v>665</v>
      </c>
      <c r="G43"/>
      <c r="H43"/>
      <c r="I43" s="182" t="s">
        <v>1048</v>
      </c>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c r="A50" s="57">
        <f t="shared" si="1"/>
        <v>37</v>
      </c>
      <c r="B50" s="68" t="s">
        <v>877</v>
      </c>
      <c r="C50" s="68" t="s">
        <v>684</v>
      </c>
      <c r="D50" s="68">
        <v>1.5</v>
      </c>
      <c r="E50" s="68" t="s">
        <v>685</v>
      </c>
      <c r="F50" s="152" t="s">
        <v>686</v>
      </c>
      <c r="G50"/>
      <c r="H50" s="179" t="s">
        <v>884</v>
      </c>
      <c r="I50" s="91" t="s">
        <v>888</v>
      </c>
      <c r="J50" s="178" t="s">
        <v>87</v>
      </c>
      <c r="K50" s="178" t="s">
        <v>883</v>
      </c>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c r="A52" s="57">
        <f t="shared" si="1"/>
        <v>39</v>
      </c>
      <c r="B52" s="68" t="s">
        <v>877</v>
      </c>
      <c r="C52" s="68" t="s">
        <v>691</v>
      </c>
      <c r="D52" s="68" t="s">
        <v>692</v>
      </c>
      <c r="E52" s="68" t="s">
        <v>693</v>
      </c>
      <c r="F52" s="152" t="s">
        <v>694</v>
      </c>
      <c r="G52"/>
      <c r="H52" s="177" t="s">
        <v>884</v>
      </c>
      <c r="I52" s="4" t="s">
        <v>1023</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94.5">
      <c r="A59" s="57">
        <f t="shared" si="1"/>
        <v>46</v>
      </c>
      <c r="B59" s="68" t="s">
        <v>877</v>
      </c>
      <c r="C59" s="68" t="s">
        <v>713</v>
      </c>
      <c r="D59" s="68" t="s">
        <v>714</v>
      </c>
      <c r="E59" s="68" t="s">
        <v>715</v>
      </c>
      <c r="F59" s="152" t="s">
        <v>716</v>
      </c>
      <c r="G59"/>
      <c r="H59" s="91" t="s">
        <v>884</v>
      </c>
      <c r="I59" s="4" t="s">
        <v>925</v>
      </c>
      <c r="J59" s="91" t="s">
        <v>87</v>
      </c>
      <c r="K59" s="178" t="s">
        <v>883</v>
      </c>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40.5">
      <c r="A67" s="57">
        <f t="shared" si="1"/>
        <v>54</v>
      </c>
      <c r="B67" s="68" t="s">
        <v>877</v>
      </c>
      <c r="C67" s="68" t="s">
        <v>740</v>
      </c>
      <c r="D67" s="68" t="s">
        <v>741</v>
      </c>
      <c r="E67" s="68">
        <v>66</v>
      </c>
      <c r="F67" s="152" t="s">
        <v>742</v>
      </c>
      <c r="G67"/>
      <c r="H67"/>
      <c r="I67" s="182" t="s">
        <v>1049</v>
      </c>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c r="A80" s="57">
        <f t="shared" si="2"/>
        <v>67</v>
      </c>
      <c r="B80" s="68" t="s">
        <v>878</v>
      </c>
      <c r="C80" s="68" t="s">
        <v>780</v>
      </c>
      <c r="D80" s="68">
        <v>1.8</v>
      </c>
      <c r="E80" s="68" t="s">
        <v>781</v>
      </c>
      <c r="F80" s="152" t="s">
        <v>782</v>
      </c>
      <c r="G80"/>
      <c r="H80" s="177" t="s">
        <v>884</v>
      </c>
      <c r="I80" s="4" t="s">
        <v>1037</v>
      </c>
      <c r="J80" s="91" t="s">
        <v>87</v>
      </c>
      <c r="K80" s="91" t="s">
        <v>883</v>
      </c>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c r="A83" s="57">
        <f t="shared" si="2"/>
        <v>70</v>
      </c>
      <c r="B83" s="68" t="s">
        <v>878</v>
      </c>
      <c r="C83" s="68" t="s">
        <v>788</v>
      </c>
      <c r="D83" s="68" t="s">
        <v>726</v>
      </c>
      <c r="E83" s="68" t="s">
        <v>688</v>
      </c>
      <c r="F83" s="152" t="s">
        <v>789</v>
      </c>
      <c r="G83"/>
      <c r="H83" s="177" t="s">
        <v>884</v>
      </c>
      <c r="I83" s="4" t="s">
        <v>1024</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c r="A85" s="57">
        <f t="shared" si="2"/>
        <v>72</v>
      </c>
      <c r="B85" s="68" t="s">
        <v>878</v>
      </c>
      <c r="C85" s="68" t="s">
        <v>794</v>
      </c>
      <c r="D85" s="68" t="s">
        <v>795</v>
      </c>
      <c r="E85" s="68" t="s">
        <v>688</v>
      </c>
      <c r="F85" s="152" t="s">
        <v>796</v>
      </c>
      <c r="G85"/>
      <c r="H85"/>
      <c r="I85" s="182" t="s">
        <v>1050</v>
      </c>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s="2" t="s">
        <v>1047</v>
      </c>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c r="A108" s="57">
        <f t="shared" si="2"/>
        <v>95</v>
      </c>
      <c r="B108" s="68" t="s">
        <v>884</v>
      </c>
      <c r="C108" s="68" t="s">
        <v>927</v>
      </c>
      <c r="D108" s="68" t="s">
        <v>904</v>
      </c>
      <c r="E108" s="68" t="s">
        <v>905</v>
      </c>
      <c r="F108" s="152" t="s">
        <v>906</v>
      </c>
      <c r="G108" s="67"/>
      <c r="H108" s="65" t="s">
        <v>884</v>
      </c>
      <c r="I108" s="152" t="s">
        <v>1038</v>
      </c>
      <c r="J108" s="65" t="s">
        <v>86</v>
      </c>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
      </c>
      <c r="P108" s="50" t="str">
        <f t="shared" ref="P108:P134" si="4">IF(OR(ISBLANK(F108),NOT(ISBLANK(L108))),CheckOK,CheckErr)</f>
        <v>!</v>
      </c>
    </row>
    <row r="109" spans="1:16" ht="135">
      <c r="A109" s="57">
        <f t="shared" si="2"/>
        <v>96</v>
      </c>
      <c r="B109" s="68"/>
      <c r="C109" s="68" t="s">
        <v>992</v>
      </c>
      <c r="D109" s="68" t="s">
        <v>985</v>
      </c>
      <c r="E109" s="68" t="s">
        <v>705</v>
      </c>
      <c r="F109" s="152" t="s">
        <v>991</v>
      </c>
      <c r="G109"/>
      <c r="H109" s="65" t="s">
        <v>884</v>
      </c>
      <c r="I109" s="152" t="s">
        <v>1039</v>
      </c>
      <c r="J109" s="65" t="s">
        <v>87</v>
      </c>
      <c r="K109" s="65" t="s">
        <v>883</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
      </c>
      <c r="P109" s="50" t="str">
        <f>IF(OR(ISBLANK(#REF!),NOT(ISBLANK(L109))),CheckOK,CheckErr)</f>
        <v>!</v>
      </c>
    </row>
    <row r="110" spans="1:16" ht="40.5">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c r="A114" s="57">
        <f t="shared" si="5"/>
        <v>101</v>
      </c>
      <c r="B114" s="68"/>
      <c r="C114" s="68" t="s">
        <v>981</v>
      </c>
      <c r="D114" s="68" t="s">
        <v>640</v>
      </c>
      <c r="E114" s="68" t="s">
        <v>971</v>
      </c>
      <c r="F114" s="152" t="s">
        <v>980</v>
      </c>
      <c r="G114"/>
      <c r="H114" s="65" t="s">
        <v>1033</v>
      </c>
      <c r="I114" s="183" t="s">
        <v>888</v>
      </c>
      <c r="J114" s="65" t="s">
        <v>87</v>
      </c>
      <c r="K114" s="65" t="s">
        <v>883</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
      </c>
      <c r="P114" s="50" t="str">
        <f>IF(OR(ISBLANK(#REF!),NOT(ISBLANK(L114))),CheckOK,CheckErr)</f>
        <v>!</v>
      </c>
    </row>
    <row r="115" spans="1:16" ht="40.5">
      <c r="A115" s="57">
        <f t="shared" si="5"/>
        <v>102</v>
      </c>
      <c r="B115" s="68"/>
      <c r="C115" s="68" t="s">
        <v>979</v>
      </c>
      <c r="D115" s="68" t="s">
        <v>640</v>
      </c>
      <c r="E115" s="68" t="s">
        <v>971</v>
      </c>
      <c r="F115" s="152" t="s">
        <v>978</v>
      </c>
      <c r="G115"/>
      <c r="H115" s="65" t="s">
        <v>884</v>
      </c>
      <c r="I115" s="152" t="s">
        <v>1025</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c r="A116" s="57">
        <f t="shared" si="5"/>
        <v>103</v>
      </c>
      <c r="B116" s="68"/>
      <c r="C116" s="68" t="s">
        <v>977</v>
      </c>
      <c r="D116" s="68" t="s">
        <v>976</v>
      </c>
      <c r="E116" s="68" t="s">
        <v>975</v>
      </c>
      <c r="F116" s="152" t="s">
        <v>974</v>
      </c>
      <c r="G116"/>
      <c r="H116" s="65" t="s">
        <v>884</v>
      </c>
      <c r="I116" s="152" t="s">
        <v>1041</v>
      </c>
      <c r="J116" s="65" t="s">
        <v>87</v>
      </c>
      <c r="K116" s="65" t="s">
        <v>883</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
      </c>
      <c r="P116" s="50" t="str">
        <f>IF(OR(ISBLANK(#REF!),NOT(ISBLANK(L116))),CheckOK,CheckErr)</f>
        <v>!</v>
      </c>
    </row>
    <row r="117" spans="1:16" ht="54">
      <c r="A117" s="57">
        <f t="shared" si="5"/>
        <v>104</v>
      </c>
      <c r="B117" s="68"/>
      <c r="C117" s="68" t="s">
        <v>973</v>
      </c>
      <c r="D117" s="68" t="s">
        <v>972</v>
      </c>
      <c r="E117" s="68" t="s">
        <v>971</v>
      </c>
      <c r="F117" s="152" t="s">
        <v>970</v>
      </c>
      <c r="G117"/>
      <c r="H117" s="65"/>
      <c r="I117" s="183" t="s">
        <v>1051</v>
      </c>
      <c r="J117" s="65"/>
      <c r="K117" s="65" t="s">
        <v>106</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v>
      </c>
      <c r="P117" s="50" t="str">
        <f>IF(OR(ISBLANK(#REF!),NOT(ISBLANK(L117))),CheckOK,CheckErr)</f>
        <v>!</v>
      </c>
    </row>
    <row r="118" spans="1:16" ht="162">
      <c r="A118" s="57">
        <f t="shared" si="5"/>
        <v>105</v>
      </c>
      <c r="B118" s="68"/>
      <c r="C118" s="68" t="s">
        <v>969</v>
      </c>
      <c r="D118" s="68" t="s">
        <v>640</v>
      </c>
      <c r="E118" s="68" t="s">
        <v>968</v>
      </c>
      <c r="F118" s="152" t="s">
        <v>967</v>
      </c>
      <c r="G118"/>
      <c r="H118" s="65" t="s">
        <v>884</v>
      </c>
      <c r="I118" s="152" t="s">
        <v>1040</v>
      </c>
      <c r="J118" s="65" t="s">
        <v>87</v>
      </c>
      <c r="K118" s="65" t="s">
        <v>883</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
      </c>
      <c r="P118" s="50" t="str">
        <f>IF(OR(ISBLANK(#REF!),NOT(ISBLANK(L118))),CheckOK,CheckErr)</f>
        <v>!</v>
      </c>
    </row>
    <row r="119" spans="1:16" ht="148.5">
      <c r="A119" s="57">
        <f t="shared" si="5"/>
        <v>106</v>
      </c>
      <c r="B119" s="68"/>
      <c r="C119" s="68" t="s">
        <v>966</v>
      </c>
      <c r="D119" s="68" t="s">
        <v>640</v>
      </c>
      <c r="E119" s="68" t="s">
        <v>961</v>
      </c>
      <c r="F119" s="152" t="s">
        <v>965</v>
      </c>
      <c r="G119"/>
      <c r="H119" s="65" t="s">
        <v>1033</v>
      </c>
      <c r="I119" s="183" t="s">
        <v>888</v>
      </c>
      <c r="J119" s="65" t="s">
        <v>87</v>
      </c>
      <c r="K119" s="65" t="s">
        <v>883</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
      </c>
      <c r="P119" s="50" t="str">
        <f>IF(OR(ISBLANK(#REF!),NOT(ISBLANK(L119))),CheckOK,CheckErr)</f>
        <v>!</v>
      </c>
    </row>
    <row r="120" spans="1:16" ht="270">
      <c r="A120" s="57">
        <f t="shared" si="5"/>
        <v>107</v>
      </c>
      <c r="B120" s="68"/>
      <c r="C120" s="68" t="s">
        <v>964</v>
      </c>
      <c r="D120" s="68" t="s">
        <v>640</v>
      </c>
      <c r="E120" s="68" t="s">
        <v>961</v>
      </c>
      <c r="F120" s="152" t="s">
        <v>963</v>
      </c>
      <c r="G120"/>
      <c r="H120" s="65"/>
      <c r="I120" s="183" t="s">
        <v>1035</v>
      </c>
      <c r="J120" s="65" t="s">
        <v>85</v>
      </c>
      <c r="K120" s="65" t="s">
        <v>883</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108">
      <c r="A121" s="57">
        <f t="shared" si="5"/>
        <v>108</v>
      </c>
      <c r="B121" s="68"/>
      <c r="C121" s="68" t="s">
        <v>962</v>
      </c>
      <c r="D121" s="68" t="s">
        <v>640</v>
      </c>
      <c r="E121" s="68" t="s">
        <v>961</v>
      </c>
      <c r="F121" s="152" t="s">
        <v>960</v>
      </c>
      <c r="G121"/>
      <c r="H121" s="65" t="s">
        <v>884</v>
      </c>
      <c r="I121" s="152" t="s">
        <v>1042</v>
      </c>
      <c r="J121" s="65" t="s">
        <v>87</v>
      </c>
      <c r="K121" s="65" t="s">
        <v>883</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
      </c>
      <c r="P121" s="50" t="str">
        <f>IF(OR(ISBLANK(#REF!),NOT(ISBLANK(L121))),CheckOK,CheckErr)</f>
        <v>!</v>
      </c>
    </row>
    <row r="122" spans="1:16" ht="67.5">
      <c r="A122" s="57">
        <f t="shared" si="5"/>
        <v>109</v>
      </c>
      <c r="B122" s="68"/>
      <c r="C122" s="68" t="s">
        <v>959</v>
      </c>
      <c r="D122" s="68" t="s">
        <v>958</v>
      </c>
      <c r="E122" s="68" t="s">
        <v>705</v>
      </c>
      <c r="F122" s="152" t="s">
        <v>957</v>
      </c>
      <c r="G122"/>
      <c r="H122" s="65"/>
      <c r="I122" s="2" t="s">
        <v>1047</v>
      </c>
      <c r="J122" s="65"/>
      <c r="K122" s="65" t="s">
        <v>106</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v>
      </c>
      <c r="P122" s="50" t="str">
        <f>IF(OR(ISBLANK(#REF!),NOT(ISBLANK(L122))),CheckOK,CheckErr)</f>
        <v>!</v>
      </c>
    </row>
    <row r="123" spans="1:16" ht="40.5">
      <c r="A123" s="57">
        <f t="shared" si="5"/>
        <v>110</v>
      </c>
      <c r="B123" s="68"/>
      <c r="C123" s="68" t="s">
        <v>956</v>
      </c>
      <c r="D123" s="68" t="s">
        <v>955</v>
      </c>
      <c r="E123" s="68" t="s">
        <v>705</v>
      </c>
      <c r="F123" s="152" t="s">
        <v>954</v>
      </c>
      <c r="G123"/>
      <c r="H123" s="65"/>
      <c r="I123" s="2" t="s">
        <v>1047</v>
      </c>
      <c r="J123" s="65"/>
      <c r="K123" s="65" t="s">
        <v>106</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v>
      </c>
      <c r="P123" s="50" t="str">
        <f>IF(OR(ISBLANK(#REF!),NOT(ISBLANK(L123))),CheckOK,CheckErr)</f>
        <v>!</v>
      </c>
    </row>
    <row r="124" spans="1:16" ht="40.5">
      <c r="A124" s="57">
        <f t="shared" si="5"/>
        <v>111</v>
      </c>
      <c r="B124" s="68"/>
      <c r="C124" s="68" t="s">
        <v>953</v>
      </c>
      <c r="D124" s="68" t="s">
        <v>952</v>
      </c>
      <c r="E124" s="68" t="s">
        <v>705</v>
      </c>
      <c r="F124" s="152" t="s">
        <v>951</v>
      </c>
      <c r="G124"/>
      <c r="H124" s="65" t="s">
        <v>884</v>
      </c>
      <c r="I124" s="152" t="s">
        <v>1046</v>
      </c>
      <c r="J124" s="65" t="s">
        <v>85</v>
      </c>
      <c r="K124" s="65" t="s">
        <v>883</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
      </c>
      <c r="P124" s="50" t="str">
        <f>IF(OR(ISBLANK(#REF!),NOT(ISBLANK(L124))),CheckOK,CheckErr)</f>
        <v>!</v>
      </c>
    </row>
    <row r="125" spans="1:16" ht="40.5">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c r="A126" s="57">
        <f t="shared" si="5"/>
        <v>113</v>
      </c>
      <c r="B126" s="68"/>
      <c r="C126" s="68" t="s">
        <v>947</v>
      </c>
      <c r="D126" s="68">
        <v>1</v>
      </c>
      <c r="E126" s="68" t="s">
        <v>946</v>
      </c>
      <c r="F126" s="152" t="s">
        <v>994</v>
      </c>
      <c r="G126"/>
      <c r="H126" s="65" t="s">
        <v>884</v>
      </c>
      <c r="I126" s="152" t="s">
        <v>1039</v>
      </c>
      <c r="J126" s="65" t="s">
        <v>87</v>
      </c>
      <c r="K126" s="65" t="s">
        <v>883</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
      </c>
      <c r="P126" s="50" t="str">
        <f>IF(OR(ISBLANK(#REF!),NOT(ISBLANK(L126))),CheckOK,CheckErr)</f>
        <v>!</v>
      </c>
    </row>
    <row r="127" spans="1:16" ht="94.5">
      <c r="A127" s="57">
        <f t="shared" si="5"/>
        <v>114</v>
      </c>
      <c r="B127" s="68"/>
      <c r="C127" s="68" t="s">
        <v>945</v>
      </c>
      <c r="D127" s="68">
        <v>1</v>
      </c>
      <c r="E127" s="68" t="s">
        <v>944</v>
      </c>
      <c r="F127" s="152" t="s">
        <v>943</v>
      </c>
      <c r="G127"/>
      <c r="H127" s="65" t="s">
        <v>884</v>
      </c>
      <c r="I127" s="152" t="s">
        <v>1043</v>
      </c>
      <c r="J127" s="65" t="s">
        <v>86</v>
      </c>
      <c r="K127" s="65" t="s">
        <v>883</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
      </c>
      <c r="P127" s="50" t="str">
        <f>IF(OR(ISBLANK(#REF!),NOT(ISBLANK(L127))),CheckOK,CheckErr)</f>
        <v>!</v>
      </c>
    </row>
    <row r="128" spans="1:16" ht="67.5">
      <c r="A128" s="57">
        <f t="shared" si="5"/>
        <v>115</v>
      </c>
      <c r="B128" s="68"/>
      <c r="C128" s="68" t="s">
        <v>942</v>
      </c>
      <c r="D128" s="68">
        <v>1</v>
      </c>
      <c r="E128" s="68" t="s">
        <v>941</v>
      </c>
      <c r="F128" s="152" t="s">
        <v>1020</v>
      </c>
      <c r="G128"/>
      <c r="H128" s="65" t="s">
        <v>884</v>
      </c>
      <c r="I128" s="152" t="s">
        <v>1026</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c r="A129" s="57">
        <f t="shared" si="5"/>
        <v>116</v>
      </c>
      <c r="B129" s="68"/>
      <c r="C129" s="68" t="s">
        <v>940</v>
      </c>
      <c r="D129" s="68">
        <v>1.2</v>
      </c>
      <c r="E129" s="68" t="s">
        <v>939</v>
      </c>
      <c r="F129" s="152" t="s">
        <v>995</v>
      </c>
      <c r="G129"/>
      <c r="H129" s="65" t="s">
        <v>884</v>
      </c>
      <c r="I129" s="152" t="s">
        <v>1027</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c r="A130" s="57">
        <f t="shared" si="5"/>
        <v>117</v>
      </c>
      <c r="B130" s="68"/>
      <c r="C130" s="68" t="s">
        <v>938</v>
      </c>
      <c r="D130" s="68" t="s">
        <v>937</v>
      </c>
      <c r="E130" s="68" t="s">
        <v>936</v>
      </c>
      <c r="F130" s="152" t="s">
        <v>996</v>
      </c>
      <c r="G130"/>
      <c r="H130" s="65" t="s">
        <v>884</v>
      </c>
      <c r="I130" s="152" t="s">
        <v>1028</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c r="A131" s="57">
        <f t="shared" si="5"/>
        <v>118</v>
      </c>
      <c r="B131" s="68"/>
      <c r="C131" s="68" t="s">
        <v>935</v>
      </c>
      <c r="D131" s="68">
        <v>1.5</v>
      </c>
      <c r="E131" s="68" t="s">
        <v>934</v>
      </c>
      <c r="F131" s="152" t="s">
        <v>933</v>
      </c>
      <c r="G131"/>
      <c r="H131" s="65" t="s">
        <v>884</v>
      </c>
      <c r="I131" s="152" t="s">
        <v>1029</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c r="A132" s="57">
        <f t="shared" si="5"/>
        <v>119</v>
      </c>
      <c r="B132" s="68"/>
      <c r="C132" s="68" t="s">
        <v>932</v>
      </c>
      <c r="D132" s="68">
        <v>1.6</v>
      </c>
      <c r="E132" s="68" t="s">
        <v>931</v>
      </c>
      <c r="F132" s="152" t="s">
        <v>930</v>
      </c>
      <c r="G132"/>
      <c r="H132" s="65" t="s">
        <v>884</v>
      </c>
      <c r="I132" s="152" t="s">
        <v>1044</v>
      </c>
      <c r="J132" s="65" t="s">
        <v>87</v>
      </c>
      <c r="K132" s="65" t="s">
        <v>883</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
      </c>
      <c r="P132" s="50" t="str">
        <f>IF(OR(ISBLANK(#REF!),NOT(ISBLANK(L132))),CheckOK,CheckErr)</f>
        <v>!</v>
      </c>
    </row>
    <row r="133" spans="1:16" ht="189">
      <c r="A133" s="57">
        <f t="shared" si="5"/>
        <v>120</v>
      </c>
      <c r="B133" s="68"/>
      <c r="C133" s="68" t="s">
        <v>929</v>
      </c>
      <c r="D133" s="68" t="s">
        <v>928</v>
      </c>
      <c r="E133" s="68">
        <v>19</v>
      </c>
      <c r="F133" s="152" t="s">
        <v>997</v>
      </c>
      <c r="G133"/>
      <c r="H133" s="65"/>
      <c r="I133" s="183" t="s">
        <v>1030</v>
      </c>
      <c r="J133" s="65"/>
      <c r="K133" s="65" t="s">
        <v>106</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v>
      </c>
      <c r="P133" s="50" t="str">
        <f>IF(OR(ISBLANK(#REF!),NOT(ISBLANK(L133))),CheckOK,CheckErr)</f>
        <v>!</v>
      </c>
    </row>
    <row r="134" spans="1:16" ht="405">
      <c r="A134" s="57">
        <f t="shared" si="5"/>
        <v>121</v>
      </c>
      <c r="B134" s="68"/>
      <c r="C134" s="68" t="s">
        <v>929</v>
      </c>
      <c r="D134" s="68" t="s">
        <v>928</v>
      </c>
      <c r="E134" s="68">
        <v>19</v>
      </c>
      <c r="F134" s="152" t="s">
        <v>998</v>
      </c>
      <c r="G134" s="67"/>
      <c r="H134" s="65"/>
      <c r="I134" s="183" t="s">
        <v>1030</v>
      </c>
      <c r="J134" s="65"/>
      <c r="K134" s="65" t="s">
        <v>106</v>
      </c>
      <c r="L134" s="112"/>
      <c r="M134" s="58"/>
      <c r="N134" s="66" t="e">
        <f>IF(OR(AND(CodeFileListUsed="Yes",#REF!="",COUNTA(B134:C134,D134:F134)&lt;&gt;0),AND(COUNTA(B134:C134,D134:F134)&lt;&gt;0, COUNTA(B134:C134,D134:F134)&lt;&gt;COUNTA(B$13:C$13,D$13:F$13))),CheckErr,CheckOK)</f>
        <v>#REF!</v>
      </c>
      <c r="O134" s="50" t="str">
        <f t="shared" si="3"/>
        <v>!</v>
      </c>
      <c r="P134" s="50" t="str">
        <f t="shared" si="4"/>
        <v>!</v>
      </c>
    </row>
    <row r="135" spans="1:16" ht="40.5">
      <c r="A135" s="57">
        <f t="shared" si="5"/>
        <v>122</v>
      </c>
      <c r="B135" s="68"/>
      <c r="C135" s="68" t="s">
        <v>1016</v>
      </c>
      <c r="D135" s="68">
        <v>6.8</v>
      </c>
      <c r="E135" s="68">
        <v>45</v>
      </c>
      <c r="F135" s="152" t="s">
        <v>1015</v>
      </c>
      <c r="G135" s="67"/>
      <c r="H135" s="65"/>
      <c r="I135" s="183" t="s">
        <v>1031</v>
      </c>
      <c r="J135" s="65"/>
      <c r="K135" s="65" t="s">
        <v>106</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v>
      </c>
      <c r="P135" s="50" t="str">
        <f>IF(OR(ISBLANK(#REF!),NOT(ISBLANK(L135))),CheckOK,CheckErr)</f>
        <v>!</v>
      </c>
    </row>
    <row r="136" spans="1:16" ht="108">
      <c r="A136" s="57">
        <f t="shared" si="5"/>
        <v>123</v>
      </c>
      <c r="B136" s="68"/>
      <c r="C136" s="68" t="s">
        <v>1014</v>
      </c>
      <c r="D136" s="68" t="s">
        <v>1013</v>
      </c>
      <c r="E136" s="68">
        <v>52</v>
      </c>
      <c r="F136" s="152" t="s">
        <v>1012</v>
      </c>
      <c r="G136" s="67"/>
      <c r="H136" s="65" t="s">
        <v>884</v>
      </c>
      <c r="I136" s="152" t="s">
        <v>1045</v>
      </c>
      <c r="J136" s="65" t="s">
        <v>87</v>
      </c>
      <c r="K136" s="65" t="s">
        <v>883</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
      </c>
      <c r="P136" s="50" t="str">
        <f>IF(OR(ISBLANK(#REF!),NOT(ISBLANK(L136))),CheckOK,CheckErr)</f>
        <v>!</v>
      </c>
    </row>
    <row r="137" spans="1:16" ht="387" customHeight="1">
      <c r="A137" s="57">
        <f t="shared" si="5"/>
        <v>124</v>
      </c>
      <c r="B137" s="68"/>
      <c r="C137" s="68" t="s">
        <v>1011</v>
      </c>
      <c r="D137" s="68" t="s">
        <v>1010</v>
      </c>
      <c r="E137" s="68">
        <v>53</v>
      </c>
      <c r="F137" s="152" t="s">
        <v>1009</v>
      </c>
      <c r="G137" s="67"/>
      <c r="H137" s="65"/>
      <c r="I137" s="183" t="s">
        <v>1052</v>
      </c>
      <c r="J137" s="65"/>
      <c r="K137" s="65" t="s">
        <v>106</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v>
      </c>
      <c r="P137" s="50" t="str">
        <f>IF(OR(ISBLANK(#REF!),NOT(ISBLANK(L137))),CheckOK,CheckErr)</f>
        <v>!</v>
      </c>
    </row>
    <row r="138" spans="1:16" ht="108">
      <c r="A138" s="57">
        <f t="shared" si="5"/>
        <v>125</v>
      </c>
      <c r="B138" s="68"/>
      <c r="C138" s="68" t="s">
        <v>1008</v>
      </c>
      <c r="D138" s="68" t="s">
        <v>1007</v>
      </c>
      <c r="E138" s="68">
        <v>60</v>
      </c>
      <c r="F138" s="152" t="s">
        <v>1006</v>
      </c>
      <c r="G138" s="67"/>
      <c r="H138" s="65"/>
      <c r="I138" s="183" t="s">
        <v>1032</v>
      </c>
      <c r="J138" s="65"/>
      <c r="K138" s="65" t="s">
        <v>106</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v>
      </c>
      <c r="P138" s="50" t="str">
        <f>IF(OR(ISBLANK(#REF!),NOT(ISBLANK(L138))),CheckOK,CheckErr)</f>
        <v>!</v>
      </c>
    </row>
    <row r="139" spans="1:16" ht="67.5">
      <c r="A139" s="57">
        <f t="shared" si="5"/>
        <v>126</v>
      </c>
      <c r="B139" s="68"/>
      <c r="C139" s="68" t="s">
        <v>1005</v>
      </c>
      <c r="D139" s="68">
        <v>7.4</v>
      </c>
      <c r="E139" s="68">
        <v>60</v>
      </c>
      <c r="F139" s="152" t="s">
        <v>1004</v>
      </c>
      <c r="G139" s="67"/>
      <c r="H139" s="65"/>
      <c r="I139" s="183" t="s">
        <v>1053</v>
      </c>
      <c r="J139" s="65"/>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v>
      </c>
      <c r="P139" s="50" t="str">
        <f>IF(OR(ISBLANK(#REF!),NOT(ISBLANK(L139))),CheckOK,CheckErr)</f>
        <v>!</v>
      </c>
    </row>
    <row r="140" spans="1:16" ht="81">
      <c r="A140" s="57">
        <f t="shared" si="5"/>
        <v>127</v>
      </c>
      <c r="B140" s="68"/>
      <c r="C140" s="68" t="s">
        <v>1003</v>
      </c>
      <c r="D140" s="68">
        <v>8.3000000000000007</v>
      </c>
      <c r="E140" s="68">
        <v>61</v>
      </c>
      <c r="F140" s="152" t="s">
        <v>1002</v>
      </c>
      <c r="G140" s="67"/>
      <c r="H140" s="65"/>
      <c r="I140" s="183" t="s">
        <v>1053</v>
      </c>
      <c r="J140" s="65"/>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v>
      </c>
      <c r="P140" s="50" t="str">
        <f>IF(OR(ISBLANK(#REF!),NOT(ISBLANK(L140))),CheckOK,CheckErr)</f>
        <v>!</v>
      </c>
    </row>
    <row r="141" spans="1:16" ht="135">
      <c r="A141" s="57">
        <f t="shared" si="5"/>
        <v>128</v>
      </c>
      <c r="B141" s="68"/>
      <c r="C141" s="68" t="s">
        <v>1001</v>
      </c>
      <c r="D141" s="68" t="s">
        <v>1000</v>
      </c>
      <c r="E141" s="68">
        <v>30</v>
      </c>
      <c r="F141" s="152" t="s">
        <v>999</v>
      </c>
      <c r="G141" s="67"/>
      <c r="H141" s="65"/>
      <c r="I141" s="183" t="s">
        <v>1054</v>
      </c>
      <c r="J141" s="65"/>
      <c r="K141" s="65" t="s">
        <v>106</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192" t="s">
        <v>105</v>
      </c>
      <c r="B239" s="193"/>
      <c r="C239" s="193"/>
      <c r="D239" s="193"/>
      <c r="E239" s="193"/>
      <c r="F239" s="193"/>
      <c r="G239" s="193"/>
      <c r="H239" s="193"/>
      <c r="I239" s="193"/>
      <c r="J239" s="193"/>
      <c r="K239" s="193"/>
      <c r="L239" s="193"/>
      <c r="M239" s="193"/>
      <c r="N239" s="193"/>
      <c r="O239" s="193"/>
      <c r="P239" s="193"/>
    </row>
  </sheetData>
  <sheetProtection insertRows="0"/>
  <autoFilter ref="A13:P239">
    <filterColumn colId="3"/>
    <filterColumn colId="5"/>
    <filterColumn colId="7"/>
    <filterColumn colId="9"/>
    <filterColumn colId="10"/>
  </autoFilter>
  <mergeCells count="17">
    <mergeCell ref="D3:J3"/>
    <mergeCell ref="D10:J10"/>
    <mergeCell ref="A3:C3"/>
    <mergeCell ref="A4:C4"/>
    <mergeCell ref="D4:F4"/>
    <mergeCell ref="A239:P239"/>
    <mergeCell ref="A9:D9"/>
    <mergeCell ref="D5:F5"/>
    <mergeCell ref="D6:F6"/>
    <mergeCell ref="A6:C6"/>
    <mergeCell ref="D11:E11"/>
    <mergeCell ref="H11:J11"/>
    <mergeCell ref="A5:C5"/>
    <mergeCell ref="A7:C7"/>
    <mergeCell ref="D7:F7"/>
    <mergeCell ref="A8:C8"/>
    <mergeCell ref="D8:F8"/>
  </mergeCells>
  <conditionalFormatting sqref="N4:N5 O1:P238 N14:N238 N240:P65536">
    <cfRule type="cellIs" dxfId="45" priority="24" stopIfTrue="1" operator="equal">
      <formula>CheckErr</formula>
    </cfRule>
  </conditionalFormatting>
  <conditionalFormatting sqref="L14:L238">
    <cfRule type="expression" dxfId="44" priority="15" stopIfTrue="1">
      <formula>$P14=CheckErr</formula>
    </cfRule>
  </conditionalFormatting>
  <conditionalFormatting sqref="H14:K238">
    <cfRule type="expression" dxfId="43" priority="31" stopIfTrue="1">
      <formula>$O14=CheckErr</formula>
    </cfRule>
  </conditionalFormatting>
  <conditionalFormatting sqref="D4:F5 B14:F238">
    <cfRule type="expression" dxfId="42" priority="33" stopIfTrue="1">
      <formula>$N4=CheckErr</formula>
    </cfRule>
  </conditionalFormatting>
  <conditionalFormatting sqref="H24:K24">
    <cfRule type="expression" dxfId="30" priority="13" stopIfTrue="1">
      <formula>$O24=CheckErr</formula>
    </cfRule>
  </conditionalFormatting>
  <conditionalFormatting sqref="H26:K26">
    <cfRule type="expression" dxfId="28" priority="12" stopIfTrue="1">
      <formula>$O26=CheckErr</formula>
    </cfRule>
  </conditionalFormatting>
  <conditionalFormatting sqref="H32:K32">
    <cfRule type="expression" dxfId="26" priority="11" stopIfTrue="1">
      <formula>$O32=CheckErr</formula>
    </cfRule>
  </conditionalFormatting>
  <conditionalFormatting sqref="H80:K80">
    <cfRule type="expression" dxfId="24" priority="10" stopIfTrue="1">
      <formula>$O80=CheckErr</formula>
    </cfRule>
  </conditionalFormatting>
  <conditionalFormatting sqref="H108:K108">
    <cfRule type="expression" dxfId="22" priority="9" stopIfTrue="1">
      <formula>$O108=CheckErr</formula>
    </cfRule>
  </conditionalFormatting>
  <conditionalFormatting sqref="H109:K109">
    <cfRule type="expression" dxfId="20" priority="8" stopIfTrue="1">
      <formula>$O109=CheckErr</formula>
    </cfRule>
  </conditionalFormatting>
  <conditionalFormatting sqref="H118:K118">
    <cfRule type="expression" dxfId="18" priority="7" stopIfTrue="1">
      <formula>$O118=CheckErr</formula>
    </cfRule>
  </conditionalFormatting>
  <conditionalFormatting sqref="H121:K121">
    <cfRule type="expression" dxfId="16" priority="6" stopIfTrue="1">
      <formula>$O121=CheckErr</formula>
    </cfRule>
  </conditionalFormatting>
  <conditionalFormatting sqref="H126:K126">
    <cfRule type="expression" dxfId="14" priority="5" stopIfTrue="1">
      <formula>$O126=CheckErr</formula>
    </cfRule>
  </conditionalFormatting>
  <conditionalFormatting sqref="H127:K127">
    <cfRule type="expression" dxfId="12" priority="4" stopIfTrue="1">
      <formula>$O127=CheckErr</formula>
    </cfRule>
  </conditionalFormatting>
  <conditionalFormatting sqref="H132:K132">
    <cfRule type="expression" dxfId="10" priority="3" stopIfTrue="1">
      <formula>$O132=CheckErr</formula>
    </cfRule>
  </conditionalFormatting>
  <conditionalFormatting sqref="H136:K136">
    <cfRule type="expression" dxfId="8" priority="2" stopIfTrue="1">
      <formula>$O136=CheckErr</formula>
    </cfRule>
  </conditionalFormatting>
  <conditionalFormatting sqref="H59:K59">
    <cfRule type="expression" dxfId="6" priority="1" stopIfTrue="1">
      <formula>$O59=CheckErr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61"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1" t="s">
        <v>518</v>
      </c>
      <c r="C1" s="213"/>
      <c r="D1" s="211" t="s">
        <v>324</v>
      </c>
      <c r="E1" s="212"/>
      <c r="F1" s="211" t="s">
        <v>407</v>
      </c>
      <c r="G1" s="212"/>
      <c r="H1" s="211" t="s">
        <v>445</v>
      </c>
      <c r="I1" s="212"/>
      <c r="J1" s="211" t="s">
        <v>553</v>
      </c>
      <c r="K1" s="212"/>
      <c r="L1" s="211" t="s">
        <v>524</v>
      </c>
      <c r="M1" s="212"/>
      <c r="N1" s="211" t="s">
        <v>479</v>
      </c>
      <c r="O1" s="212"/>
      <c r="P1" s="211" t="s">
        <v>143</v>
      </c>
      <c r="Q1" s="212"/>
      <c r="R1" s="214" t="s">
        <v>193</v>
      </c>
      <c r="S1" s="161" t="s">
        <v>389</v>
      </c>
    </row>
    <row r="2" spans="1:19" ht="13.5" customHeight="1">
      <c r="A2" s="160" t="s">
        <v>140</v>
      </c>
      <c r="B2" s="211" t="s">
        <v>550</v>
      </c>
      <c r="C2" s="213"/>
      <c r="D2" s="211" t="s">
        <v>325</v>
      </c>
      <c r="E2" s="212"/>
      <c r="F2" s="211" t="s">
        <v>406</v>
      </c>
      <c r="G2" s="212"/>
      <c r="H2" s="211" t="s">
        <v>552</v>
      </c>
      <c r="I2" s="212"/>
      <c r="J2" s="211" t="s">
        <v>552</v>
      </c>
      <c r="K2" s="212"/>
      <c r="L2" s="211" t="s">
        <v>552</v>
      </c>
      <c r="M2" s="212"/>
      <c r="N2" s="211" t="s">
        <v>552</v>
      </c>
      <c r="O2" s="212"/>
      <c r="P2" s="211" t="s">
        <v>401</v>
      </c>
      <c r="Q2" s="212"/>
      <c r="R2" s="215"/>
      <c r="S2" s="161"/>
    </row>
    <row r="3" spans="1:19" ht="13.5" customHeight="1">
      <c r="A3" s="160" t="s">
        <v>141</v>
      </c>
      <c r="B3" s="211" t="s">
        <v>551</v>
      </c>
      <c r="C3" s="213"/>
      <c r="D3" s="211" t="s">
        <v>326</v>
      </c>
      <c r="E3" s="212"/>
      <c r="F3" s="211" t="s">
        <v>144</v>
      </c>
      <c r="G3" s="212"/>
      <c r="H3" s="211" t="s">
        <v>144</v>
      </c>
      <c r="I3" s="212"/>
      <c r="J3" s="211" t="s">
        <v>144</v>
      </c>
      <c r="K3" s="212"/>
      <c r="L3" s="211" t="s">
        <v>144</v>
      </c>
      <c r="M3" s="212"/>
      <c r="N3" s="211" t="s">
        <v>554</v>
      </c>
      <c r="O3" s="212"/>
      <c r="P3" s="211" t="s">
        <v>144</v>
      </c>
      <c r="Q3" s="212"/>
      <c r="R3" s="216"/>
      <c r="S3" s="161"/>
    </row>
    <row r="4" spans="1:19" ht="14.25" customHeight="1" thickBot="1">
      <c r="A4" s="160" t="s">
        <v>364</v>
      </c>
      <c r="B4" s="211" t="s">
        <v>374</v>
      </c>
      <c r="C4" s="213"/>
      <c r="D4" s="211" t="s">
        <v>390</v>
      </c>
      <c r="E4" s="212"/>
      <c r="F4" s="211" t="s">
        <v>440</v>
      </c>
      <c r="G4" s="212"/>
      <c r="H4" s="211" t="s">
        <v>440</v>
      </c>
      <c r="I4" s="212"/>
      <c r="J4" s="211" t="s">
        <v>549</v>
      </c>
      <c r="K4" s="212"/>
      <c r="L4" s="211" t="s">
        <v>440</v>
      </c>
      <c r="M4" s="212"/>
      <c r="N4" s="211" t="s">
        <v>480</v>
      </c>
      <c r="O4" s="212"/>
      <c r="P4" s="211" t="s">
        <v>390</v>
      </c>
      <c r="Q4" s="212"/>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7" t="str">
        <f>'Calling Notice'!B9</f>
        <v>&lt;Item Size&gt;</v>
      </c>
      <c r="C2" s="217"/>
    </row>
    <row r="3" spans="1:11" ht="24">
      <c r="A3" s="32" t="str">
        <f>'Calling Notice'!A10</f>
        <v>Item Size (Modified)</v>
      </c>
      <c r="B3" s="217" t="str">
        <f>'Calling Notice'!B10</f>
        <v>&lt;Item Size&gt;</v>
      </c>
      <c r="C3" s="217"/>
      <c r="E3" s="117" t="str">
        <f>IF(CaptureEffortData,"","THERE IS NO NEED TO FILL IN THIS SHEET")</f>
        <v/>
      </c>
    </row>
    <row r="4" spans="1:11">
      <c r="A4" s="32" t="str">
        <f>'Calling Notice'!A11</f>
        <v>Item Size (Deleted)</v>
      </c>
      <c r="B4" s="217" t="str">
        <f>'Calling Notice'!B11</f>
        <v>&lt;Item Size&gt;</v>
      </c>
      <c r="C4" s="217"/>
    </row>
    <row r="5" spans="1:11">
      <c r="A5" s="32" t="str">
        <f>'Calling Notice'!A12</f>
        <v>Item Size Units</v>
      </c>
      <c r="B5" s="217" t="str">
        <f>'Calling Notice'!B12</f>
        <v>&lt;Item Size Units&gt;</v>
      </c>
      <c r="C5" s="217"/>
    </row>
    <row r="6" spans="1:11">
      <c r="A6" s="118" t="s">
        <v>161</v>
      </c>
      <c r="B6" s="217" t="str">
        <f>IF(SUM(B2:B4)=0,"&lt;Item Size&gt;",SUM(B2:B4))</f>
        <v>&lt;Item Size&gt;</v>
      </c>
      <c r="C6" s="217"/>
    </row>
    <row r="8" spans="1:11" ht="21">
      <c r="A8" s="114" t="s">
        <v>104</v>
      </c>
      <c r="B8" s="114"/>
    </row>
    <row r="9" spans="1:11">
      <c r="A9" s="119"/>
      <c r="B9" s="120"/>
    </row>
    <row r="10" spans="1:11" ht="24" customHeight="1">
      <c r="A10" s="218" t="s">
        <v>103</v>
      </c>
      <c r="B10" s="219"/>
      <c r="C10" s="37">
        <f>SUM(C14:C23)</f>
        <v>0</v>
      </c>
      <c r="D10" s="49"/>
      <c r="E10" s="121"/>
    </row>
    <row r="11" spans="1:11">
      <c r="A11" s="220" t="s">
        <v>102</v>
      </c>
      <c r="B11" s="221"/>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23" t="s">
        <v>92</v>
      </c>
      <c r="B24" s="223"/>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2" t="s">
        <v>91</v>
      </c>
      <c r="B25" s="222"/>
      <c r="C25" s="131"/>
      <c r="D25" s="135"/>
      <c r="E25" s="136"/>
      <c r="F25" s="137">
        <f>COUNTA(DevCommentInitials)</f>
        <v>95</v>
      </c>
      <c r="G25" s="137">
        <f>COUNTIF(DevCommentStatuses,G$12)</f>
        <v>79</v>
      </c>
      <c r="H25" s="137">
        <f>COUNTIF(DevCommentStatuses,H$12)</f>
        <v>21</v>
      </c>
      <c r="I25" s="137">
        <f>COUNTIF(DevCommentStatuses,I$12)</f>
        <v>0</v>
      </c>
      <c r="J25" s="137">
        <f>COUNTIF(DevCommentStatuses,J$12)</f>
        <v>12</v>
      </c>
      <c r="K25" s="43" t="str">
        <f>IF(AND(F25=G25+H25+I25+J25,F24=F25,G24=G25,H24=H25,I24=I25,J24=J25),CheckOK,CheckErr)</f>
        <v>!</v>
      </c>
    </row>
    <row r="27" spans="1:11" ht="21">
      <c r="A27" s="114" t="s">
        <v>162</v>
      </c>
    </row>
    <row r="28" spans="1:11">
      <c r="A28" s="218" t="str">
        <f>A27</f>
        <v>Time Spent Reworking</v>
      </c>
      <c r="B28" s="219"/>
      <c r="C28" s="37">
        <f>SUM(C32:C36)</f>
        <v>0</v>
      </c>
    </row>
    <row r="29" spans="1:11">
      <c r="A29" s="220" t="s">
        <v>102</v>
      </c>
      <c r="B29" s="221"/>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23" t="s">
        <v>92</v>
      </c>
      <c r="B37" s="223"/>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2" t="s">
        <v>91</v>
      </c>
      <c r="B38" s="222"/>
      <c r="C38" s="131"/>
      <c r="D38" s="135"/>
      <c r="E38" s="136"/>
      <c r="F38" s="137">
        <f>COUNTA(DevCommentInitials)</f>
        <v>95</v>
      </c>
      <c r="G38" s="137">
        <f>COUNTIF(DevCommentStatuses,G$12)</f>
        <v>79</v>
      </c>
      <c r="H38" s="137">
        <f>COUNTIF(DevCommentStatuses,H$12)</f>
        <v>21</v>
      </c>
      <c r="I38" s="137">
        <f>COUNTIF(DevCommentStatuses,I$12)</f>
        <v>0</v>
      </c>
      <c r="J38" s="137">
        <f>COUNTIF(DevCommentStatuses,J$12)</f>
        <v>12</v>
      </c>
      <c r="K38" s="43" t="str">
        <f>IF(AND(F38=G38+H38+I38+J38,F37=F38,G37=G38,H37=H38,I37=I38,J37=J38),CheckOK,CheckErr)</f>
        <v>!</v>
      </c>
    </row>
    <row r="40" spans="1:11" ht="21">
      <c r="A40" s="114" t="s">
        <v>163</v>
      </c>
    </row>
    <row r="42" spans="1:11">
      <c r="A42" s="218" t="str">
        <f>A40</f>
        <v>Time Spent Moderating</v>
      </c>
      <c r="B42" s="219"/>
      <c r="C42" s="37">
        <f>SUM(C46:C50)</f>
        <v>0</v>
      </c>
    </row>
    <row r="43" spans="1:11">
      <c r="A43" s="220" t="s">
        <v>102</v>
      </c>
      <c r="B43" s="221"/>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23" t="s">
        <v>92</v>
      </c>
      <c r="B51" s="223"/>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2" t="s">
        <v>91</v>
      </c>
      <c r="B52" s="222"/>
      <c r="C52" s="131"/>
      <c r="D52" s="135"/>
      <c r="E52" s="136"/>
      <c r="F52" s="137">
        <f>COUNTA(DevCommentInitials)</f>
        <v>95</v>
      </c>
      <c r="G52" s="137">
        <f>COUNTIF(DevCommentStatuses,G$12)</f>
        <v>79</v>
      </c>
      <c r="H52" s="137">
        <f>COUNTIF(DevCommentStatuses,H$12)</f>
        <v>21</v>
      </c>
      <c r="I52" s="137">
        <f>COUNTIF(DevCommentStatuses,I$12)</f>
        <v>0</v>
      </c>
      <c r="J52" s="137">
        <f>COUNTIF(DevCommentStatuses,J$12)</f>
        <v>12</v>
      </c>
      <c r="K52" s="43"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41" priority="46" stopIfTrue="1" operator="equal">
      <formula>CheckErr</formula>
    </cfRule>
  </conditionalFormatting>
  <conditionalFormatting sqref="K1:K1048576">
    <cfRule type="expression" dxfId="40" priority="45" stopIfTrue="1">
      <formula>K1=CheckErr</formula>
    </cfRule>
  </conditionalFormatting>
  <conditionalFormatting sqref="A14:C23">
    <cfRule type="expression" dxfId="39" priority="6" stopIfTrue="1">
      <formula>$D14=CheckErr</formula>
    </cfRule>
  </conditionalFormatting>
  <conditionalFormatting sqref="C24:C25">
    <cfRule type="expression" dxfId="38" priority="5" stopIfTrue="1">
      <formula>$D24=CheckErr</formula>
    </cfRule>
  </conditionalFormatting>
  <conditionalFormatting sqref="A32:C36">
    <cfRule type="expression" dxfId="37" priority="4" stopIfTrue="1">
      <formula>$D32=CheckErr</formula>
    </cfRule>
  </conditionalFormatting>
  <conditionalFormatting sqref="C37:C38">
    <cfRule type="expression" dxfId="36" priority="3" stopIfTrue="1">
      <formula>$D37=CheckErr</formula>
    </cfRule>
  </conditionalFormatting>
  <conditionalFormatting sqref="A46:C50">
    <cfRule type="expression" dxfId="35" priority="2" stopIfTrue="1">
      <formula>$D46=CheckErr</formula>
    </cfRule>
  </conditionalFormatting>
  <conditionalFormatting sqref="C51:C52">
    <cfRule type="expression" dxfId="34"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40" t="str">
        <f>CONCATENATE('Calling Notice'!$B$3,", ",'Calling Notice'!$B$4,", ",'Calling Notice'!$B$5," ",'Calling Notice'!$B$6,", ",TEXT('Calling Notice'!$B$7,"dd MMMM yyyy"))</f>
        <v>&lt;Title&gt;, &lt;S.Pnnnn.nn.n&gt; or &lt;CM System path&gt;, &lt;Issue n.n&gt; or &lt;CM System revision number&gt; &lt;Status&gt;, dd MMMM yyyy</v>
      </c>
      <c r="C3" s="240"/>
      <c r="D3" s="240"/>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21</v>
      </c>
      <c r="C8" s="39">
        <f>IF($B$5&lt;&gt;0,B8/$B$5,0)</f>
        <v>0.22105263157894736</v>
      </c>
    </row>
    <row r="9" spans="1:5">
      <c r="A9" s="16" t="s">
        <v>132</v>
      </c>
      <c r="B9" s="37">
        <f>COUNTIF(DevCommentStatuses,A9)</f>
        <v>0</v>
      </c>
      <c r="C9" s="39">
        <f>IF($B$5&lt;&gt;0,B9/$B$5,0)</f>
        <v>0</v>
      </c>
    </row>
    <row r="10" spans="1:5" ht="14.25" thickBot="1">
      <c r="A10" s="38" t="s">
        <v>85</v>
      </c>
      <c r="B10" s="37">
        <f>COUNTIF(DevCommentStatuses,A10)</f>
        <v>12</v>
      </c>
      <c r="C10" s="36">
        <f>IF($B$5&lt;&gt;0,B10/$B$5,0)</f>
        <v>0.12631578947368421</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43" t="str">
        <f>Metrics!C11</f>
        <v>0 hour(s) and 0 minutes</v>
      </c>
      <c r="C16" s="244"/>
    </row>
    <row r="17" spans="1:5" hidden="1">
      <c r="A17" s="16" t="s">
        <v>82</v>
      </c>
      <c r="B17" s="236" t="str">
        <f>Metrics!C29</f>
        <v>0 hour(s) and 0 minutes</v>
      </c>
      <c r="C17" s="237"/>
    </row>
    <row r="18" spans="1:5" hidden="1">
      <c r="A18" s="16" t="s">
        <v>82</v>
      </c>
      <c r="B18" s="236" t="str">
        <f>Metrics!C43</f>
        <v>0 hour(s) and 0 minutes</v>
      </c>
      <c r="C18" s="237"/>
    </row>
    <row r="19" spans="1:5" hidden="1"/>
    <row r="20" spans="1:5" hidden="1"/>
    <row r="21" spans="1:5" hidden="1"/>
    <row r="23" spans="1:5" ht="21">
      <c r="A23" s="10" t="s">
        <v>81</v>
      </c>
    </row>
    <row r="25" spans="1:5">
      <c r="A25" s="104" t="s">
        <v>80</v>
      </c>
      <c r="B25" s="241"/>
      <c r="C25" s="241"/>
      <c r="D25" s="241"/>
      <c r="E25" s="9" t="str">
        <f>IF(ISBLANK(B25),CheckErr,CheckOK)</f>
        <v>!</v>
      </c>
    </row>
    <row r="26" spans="1:5">
      <c r="A26" s="94" t="s">
        <v>79</v>
      </c>
      <c r="B26" s="238" t="s">
        <v>27</v>
      </c>
      <c r="C26" s="239"/>
      <c r="D26" s="239"/>
      <c r="E26" s="9" t="str">
        <f>IF(OR(LEFT(B26,1)="&lt;",COUNTIF(Blanks,B26)&gt;0),CheckErr,CheckOK)</f>
        <v>!</v>
      </c>
    </row>
    <row r="28" spans="1:5">
      <c r="A28" s="94" t="s">
        <v>191</v>
      </c>
      <c r="B28" s="233" t="s">
        <v>192</v>
      </c>
      <c r="C28" s="234"/>
      <c r="D28" s="235"/>
      <c r="E28" s="5" t="str">
        <f>IF(OR(LEFT(B28,1)="&lt;",COUNTIF(Blanks,B28)&gt;0),CheckErr,CheckOK)</f>
        <v>!</v>
      </c>
    </row>
    <row r="29" spans="1:5">
      <c r="A29" s="94" t="s">
        <v>78</v>
      </c>
      <c r="B29" s="242" t="s">
        <v>77</v>
      </c>
      <c r="C29" s="241"/>
      <c r="D29" s="241"/>
      <c r="E29" s="9" t="str">
        <f>IF(OR(LEFT(B29,1)="&lt;",COUNTIF(Blanks,B29)&gt;0),CheckErr,CheckOK)</f>
        <v>!</v>
      </c>
    </row>
    <row r="30" spans="1:5">
      <c r="A30" s="94" t="s">
        <v>76</v>
      </c>
      <c r="B30" s="238" t="s">
        <v>27</v>
      </c>
      <c r="C30" s="239"/>
      <c r="D30" s="239"/>
      <c r="E30" s="9" t="str">
        <f>IF(OR(LEFT(B30,1)="&lt;",COUNTIF(Blanks,B30)&gt;0),CheckErr,CheckOK)</f>
        <v>!</v>
      </c>
    </row>
    <row r="32" spans="1:5">
      <c r="A32" s="94" t="s">
        <v>383</v>
      </c>
      <c r="B32" s="242" t="s">
        <v>77</v>
      </c>
      <c r="C32" s="241"/>
      <c r="D32" s="241"/>
      <c r="E32" s="9" t="e">
        <f>IF(Checklist_FailSafety&gt;0,CheckErr,CheckOK)</f>
        <v>#REF!</v>
      </c>
    </row>
    <row r="33" spans="1:6">
      <c r="A33" s="94" t="s">
        <v>384</v>
      </c>
      <c r="B33" s="238" t="s">
        <v>27</v>
      </c>
      <c r="C33" s="239"/>
      <c r="D33" s="239"/>
      <c r="E33" s="9" t="e">
        <f>IF(Checklist_FailSafety&gt;0,CheckErr,CheckOK)</f>
        <v>#REF!</v>
      </c>
    </row>
    <row r="35" spans="1:6">
      <c r="A35" s="94" t="s">
        <v>385</v>
      </c>
      <c r="B35" s="242" t="s">
        <v>77</v>
      </c>
      <c r="C35" s="241"/>
      <c r="D35" s="241"/>
      <c r="E35" s="9" t="e">
        <f>IF(Checklist_FailTechnical,CheckErr,CheckOK)</f>
        <v>#REF!</v>
      </c>
    </row>
    <row r="36" spans="1:6">
      <c r="A36" s="94" t="s">
        <v>386</v>
      </c>
      <c r="B36" s="238" t="s">
        <v>27</v>
      </c>
      <c r="C36" s="239"/>
      <c r="D36" s="239"/>
      <c r="E36" s="9" t="e">
        <f>IF(Checklist_FailTechnical,CheckErr,CheckOK)</f>
        <v>#REF!</v>
      </c>
    </row>
    <row r="39" spans="1:6" ht="21">
      <c r="A39" s="31" t="s">
        <v>75</v>
      </c>
    </row>
    <row r="41" spans="1:6" ht="29.25" customHeight="1">
      <c r="A41" s="229" t="s">
        <v>135</v>
      </c>
      <c r="B41" s="229"/>
      <c r="C41" s="229"/>
      <c r="D41" s="229"/>
      <c r="E41" s="229"/>
      <c r="F41" s="229"/>
    </row>
    <row r="43" spans="1:6">
      <c r="A43" s="81" t="s">
        <v>74</v>
      </c>
      <c r="B43" s="81" t="s">
        <v>73</v>
      </c>
      <c r="C43" s="30" t="s">
        <v>72</v>
      </c>
      <c r="D43" s="81" t="s">
        <v>71</v>
      </c>
      <c r="E43" s="232" t="s">
        <v>70</v>
      </c>
      <c r="F43" s="232"/>
    </row>
    <row r="44" spans="1:6">
      <c r="A44" s="28" t="s">
        <v>69</v>
      </c>
      <c r="B44" s="28" t="s">
        <v>68</v>
      </c>
      <c r="C44" s="29" t="s">
        <v>67</v>
      </c>
      <c r="D44" s="28" t="str">
        <f t="shared" ref="D44:D54" ca="1" si="0">IF(COUNTIF(INDIRECT("'" &amp; B44 &amp; "'!$" &amp; C44 &amp; ":$" &amp; C44),CheckErr)=0,StatusConsistent,StatusInconsistent)</f>
        <v>Inconsistent</v>
      </c>
      <c r="E44" s="228"/>
      <c r="F44" s="228"/>
    </row>
    <row r="45" spans="1:6">
      <c r="A45" s="28" t="s">
        <v>66</v>
      </c>
      <c r="B45" s="28" t="s">
        <v>201</v>
      </c>
      <c r="C45" s="29" t="s">
        <v>65</v>
      </c>
      <c r="D45" s="28" t="str">
        <f ca="1">IF(COUNTIF(INDIRECT("'" &amp; B45 &amp; "'!$" &amp; C45 &amp; ":$" &amp; C45),CheckErr)=0,StatusConsistent,StatusInconsistent)</f>
        <v>Consistent</v>
      </c>
      <c r="E45" s="228"/>
      <c r="F45" s="228"/>
    </row>
    <row r="46" spans="1:6">
      <c r="A46" s="28" t="s">
        <v>66</v>
      </c>
      <c r="B46" s="28" t="s">
        <v>62</v>
      </c>
      <c r="C46" s="29" t="s">
        <v>442</v>
      </c>
      <c r="D46" s="28" t="str">
        <f t="shared" ca="1" si="0"/>
        <v>Inconsistent</v>
      </c>
      <c r="E46" s="228"/>
      <c r="F46" s="228"/>
    </row>
    <row r="47" spans="1:6">
      <c r="A47" s="28" t="s">
        <v>66</v>
      </c>
      <c r="B47" s="28" t="s">
        <v>159</v>
      </c>
      <c r="C47" s="29" t="s">
        <v>391</v>
      </c>
      <c r="D47" s="28" t="e">
        <f t="shared" ca="1" si="0"/>
        <v>#REF!</v>
      </c>
      <c r="E47" s="225"/>
      <c r="F47" s="226"/>
    </row>
    <row r="48" spans="1:6">
      <c r="A48" s="28" t="s">
        <v>64</v>
      </c>
      <c r="B48" s="28" t="s">
        <v>62</v>
      </c>
      <c r="C48" s="29" t="s">
        <v>443</v>
      </c>
      <c r="D48" s="28" t="str">
        <f t="shared" ca="1" si="0"/>
        <v>Consistent</v>
      </c>
      <c r="E48" s="228"/>
      <c r="F48" s="228"/>
    </row>
    <row r="49" spans="1:6" hidden="1">
      <c r="A49" s="28" t="s">
        <v>64</v>
      </c>
      <c r="B49" s="28" t="s">
        <v>63</v>
      </c>
      <c r="C49" s="29" t="s">
        <v>65</v>
      </c>
      <c r="D49" s="28" t="str">
        <f ca="1">IF(COUNTIF(INDIRECT("'" &amp; B49 &amp; "'!$" &amp; C49 &amp; ":$" &amp; C49),CheckErr)=0,StatusConsistent,IF(CaptureEffortData, StatusInconsistent,StatusConsistent))</f>
        <v>Consistent</v>
      </c>
      <c r="E49" s="228"/>
      <c r="F49" s="228"/>
    </row>
    <row r="50" spans="1:6" hidden="1">
      <c r="A50" s="28" t="s">
        <v>64</v>
      </c>
      <c r="B50" s="28" t="s">
        <v>63</v>
      </c>
      <c r="C50" s="29" t="s">
        <v>204</v>
      </c>
      <c r="D50" s="28" t="str">
        <f ca="1">IF(COUNTIF(INDIRECT("'" &amp; B50 &amp; "'!$" &amp; C50 &amp; ":$" &amp; C50),CheckErr)=0,StatusConsistent,IF(CaptureEffortData, StatusInconsistent,StatusConsistent))</f>
        <v>Inconsistent</v>
      </c>
      <c r="E50" s="228"/>
      <c r="F50" s="228"/>
    </row>
    <row r="51" spans="1:6">
      <c r="A51" s="28" t="s">
        <v>61</v>
      </c>
      <c r="B51" s="28" t="s">
        <v>201</v>
      </c>
      <c r="C51" s="29" t="s">
        <v>59</v>
      </c>
      <c r="D51" s="28" t="str">
        <f ca="1">IF(COUNTIF(INDIRECT("'" &amp; B51 &amp; "'!$" &amp; C51 &amp; ":$" &amp; C51),CheckErr)=0,StatusConsistent,StatusInconsistent)</f>
        <v>Consistent</v>
      </c>
      <c r="E51" s="225"/>
      <c r="F51" s="226"/>
    </row>
    <row r="52" spans="1:6">
      <c r="A52" s="28" t="s">
        <v>61</v>
      </c>
      <c r="B52" s="28" t="s">
        <v>62</v>
      </c>
      <c r="C52" s="29" t="s">
        <v>187</v>
      </c>
      <c r="D52" s="28" t="str">
        <f t="shared" ca="1" si="0"/>
        <v>Consistent</v>
      </c>
      <c r="E52" s="228"/>
      <c r="F52" s="228"/>
    </row>
    <row r="53" spans="1:6">
      <c r="A53" s="28" t="s">
        <v>61</v>
      </c>
      <c r="B53" s="28" t="s">
        <v>159</v>
      </c>
      <c r="C53" s="29" t="s">
        <v>444</v>
      </c>
      <c r="D53" s="28" t="e">
        <f ca="1">IF(COUNTIF(INDIRECT("'" &amp; B53 &amp; "'!$" &amp; C53 &amp; ":$" &amp; C53),CheckErr)=0,StatusConsistent,StatusInconsistent)</f>
        <v>#REF!</v>
      </c>
      <c r="E53" s="225"/>
      <c r="F53" s="226"/>
    </row>
    <row r="54" spans="1:6">
      <c r="A54" s="28" t="s">
        <v>61</v>
      </c>
      <c r="B54" s="28" t="s">
        <v>60</v>
      </c>
      <c r="C54" s="29" t="s">
        <v>59</v>
      </c>
      <c r="D54" s="28" t="str">
        <f t="shared" ca="1" si="0"/>
        <v>Inconsistent</v>
      </c>
      <c r="E54" s="228"/>
      <c r="F54" s="228"/>
    </row>
    <row r="56" spans="1:6">
      <c r="A56" s="9" t="s">
        <v>58</v>
      </c>
    </row>
    <row r="57" spans="1:6">
      <c r="B57" s="20" t="s">
        <v>57</v>
      </c>
      <c r="C57" s="229" t="s">
        <v>56</v>
      </c>
      <c r="D57" s="229"/>
      <c r="E57" s="229"/>
      <c r="F57" s="229"/>
    </row>
    <row r="58" spans="1:6">
      <c r="B58" s="27" t="s">
        <v>55</v>
      </c>
      <c r="C58" s="229" t="s">
        <v>54</v>
      </c>
      <c r="D58" s="229"/>
      <c r="E58" s="229"/>
      <c r="F58" s="229"/>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30" t="s">
        <v>52</v>
      </c>
      <c r="B65" s="230"/>
      <c r="C65" s="230"/>
      <c r="D65" s="230"/>
      <c r="E65" s="111"/>
      <c r="F65" s="22" t="s">
        <v>51</v>
      </c>
    </row>
    <row r="66" spans="1:6" hidden="1"/>
    <row r="67" spans="1:6" hidden="1">
      <c r="A67" s="9" t="s">
        <v>50</v>
      </c>
      <c r="E67" s="231"/>
      <c r="F67" s="231"/>
    </row>
    <row r="68" spans="1:6" hidden="1"/>
    <row r="69" spans="1:6" hidden="1">
      <c r="A69" s="9" t="s">
        <v>49</v>
      </c>
    </row>
    <row r="70" spans="1:6" hidden="1"/>
    <row r="71" spans="1:6" hidden="1">
      <c r="A71" s="81" t="s">
        <v>48</v>
      </c>
      <c r="B71" s="232" t="s">
        <v>47</v>
      </c>
      <c r="C71" s="232"/>
    </row>
    <row r="72" spans="1:6" hidden="1">
      <c r="A72" s="82" t="s">
        <v>46</v>
      </c>
      <c r="B72" s="224" t="s">
        <v>27</v>
      </c>
      <c r="C72" s="224"/>
    </row>
    <row r="73" spans="1:6" hidden="1">
      <c r="A73" s="82" t="s">
        <v>45</v>
      </c>
      <c r="B73" s="224" t="s">
        <v>203</v>
      </c>
      <c r="C73" s="224"/>
    </row>
    <row r="74" spans="1:6" hidden="1">
      <c r="A74" s="227" t="s">
        <v>44</v>
      </c>
      <c r="B74" s="227"/>
      <c r="C74" s="227"/>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33" priority="7" stopIfTrue="1" operator="equal">
      <formula>CheckErr</formula>
    </cfRule>
  </conditionalFormatting>
  <conditionalFormatting sqref="D44:D54">
    <cfRule type="expression" dxfId="32" priority="4" stopIfTrue="1">
      <formula>D44=StatusInconsistent</formula>
    </cfRule>
  </conditionalFormatting>
  <conditionalFormatting sqref="B25:D38">
    <cfRule type="expression" dxfId="31"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21</v>
      </c>
    </row>
    <row r="53" spans="1:2">
      <c r="A53" s="91" t="str">
        <f>"RRR_Total_"&amp;'Summary and Sign Off'!A9</f>
        <v>RRR_Total_Duplicate</v>
      </c>
      <c r="B53">
        <f>'Summary and Sign Off'!B9</f>
        <v>0</v>
      </c>
    </row>
    <row r="54" spans="1:2">
      <c r="A54" s="91" t="str">
        <f>"RRR_Total_"&amp;'Summary and Sign Off'!A10</f>
        <v>RRR_Total_Noted</v>
      </c>
      <c r="B54">
        <f>'Summary and Sign Off'!B10</f>
        <v>12</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12</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2013-02-21T09:22:41Z</cp:lastPrinted>
  <dcterms:created xsi:type="dcterms:W3CDTF">2006-01-10T12:16:43Z</dcterms:created>
  <dcterms:modified xsi:type="dcterms:W3CDTF">2013-02-21T10:05:47Z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21</vt:lpwstr>
  </property>
  <property fmtid="{D5CDD505-2E9C-101B-9397-08002B2CF9AE}" pid="40" name="RRR_Total_Duplicate">
    <vt:lpwstr>0</vt:lpwstr>
  </property>
  <property fmtid="{D5CDD505-2E9C-101B-9397-08002B2CF9AE}" pid="41" name="RRR_Total_Noted">
    <vt:lpwstr>12</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12</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