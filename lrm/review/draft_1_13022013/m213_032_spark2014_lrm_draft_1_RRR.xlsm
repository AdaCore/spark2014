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B46"/>
  <c r="D47" i="19"/>
  <c r="D53"/>
  <c r="D51"/>
  <c r="D52"/>
  <c r="B44" i="15"/>
  <c r="D45" i="19"/>
  <c r="D49"/>
  <c r="D48"/>
  <c r="D44"/>
  <c r="B43" i="15"/>
  <c r="H24" i="20" l="1"/>
  <c r="I37"/>
  <c r="G51"/>
  <c r="I24"/>
  <c r="H51"/>
  <c r="F51"/>
  <c r="J51"/>
  <c r="H37"/>
  <c r="F37"/>
  <c r="F24"/>
  <c r="C8" i="19"/>
  <c r="C10"/>
  <c r="J37" i="20"/>
  <c r="I51"/>
  <c r="G24"/>
  <c r="J24"/>
  <c r="G37"/>
  <c r="C6" i="19"/>
  <c r="C11" s="1"/>
  <c r="E11" s="1"/>
  <c r="M12" i="23"/>
  <c r="B66" i="15" s="1"/>
  <c r="K12" i="23"/>
  <c r="F11" s="1"/>
  <c r="B11" i="19"/>
  <c r="B40" i="15"/>
  <c r="B14" i="19"/>
  <c r="B47" i="15"/>
  <c r="D46" i="19"/>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<sst xmlns="http://schemas.openxmlformats.org/spreadsheetml/2006/main" count="1780" uniqueCount="927">
  <si>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</si>
  <si>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</si>
  <si>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</si>
  <si>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</si>
  <si>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</si>
  <si>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</si>
  <si>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</si>
  <si>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</si>
  <si>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</si>
  <si>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</si>
  <si>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</si>
  <si>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</si>
  <si>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</si>
  <si>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</si>
  <si>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</si>
  <si>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</si>
  <si>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</si>
  <si>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</si>
  <si>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</si>
  <si>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</si>
  <si>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</si>
  <si>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</si>
  <si>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</si>
  <si>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</si>
  <si>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</si>
  <si>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</si>
  <si>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</si>
  <si>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</si>
  <si>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</si>
  <si>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</si>
  <si>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</si>
  <si>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</si>
  <si>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</si>
  <si>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</si>
  <si>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</si>
  <si>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</si>
  <si>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</si>
  <si>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</si>
  <si>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</si>
  <si>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</si>
  <si>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</si>
  <si>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</si>
  <si>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</si>
  <si>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</si>
  <si>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</si>
  <si>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</si>
  <si>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</si>
  <si>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</si>
  <si>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</si>
  <si>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</si>
  <si>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</si>
  <si>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</si>
  <si>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</si>
  <si>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</si>
  <si>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</si>
  <si>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</si>
  <si>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</si>
  <si>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</si>
  <si>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</si>
  <si>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</si>
  <si>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</si>
  <si>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</si>
  <si>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</si>
  <si>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</si>
  <si>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</si>
  <si>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</si>
  <si>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</si>
  <si>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</si>
  <si>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</si>
  <si>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</si>
  <si>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</si>
  <si>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</si>
  <si>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</si>
  <si>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</si>
  <si>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</si>
  <si>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</si>
  <si>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</si>
  <si>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</si>
  <si>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</si>
  <si>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</si>
  <si>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</si>
  <si>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</si>
  <si>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</si>
  <si>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</si>
  <si>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</si>
  <si>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</si>
  <si>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</si>
  <si>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</si>
  <si>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</si>
  <si>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</si>
  <si>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</si>
  <si>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</si>
  <si>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</si>
  <si>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</si>
  <si>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</si>
  <si>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</si>
  <si>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</si>
  <si>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</si>
  <si>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</si>
  <si>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</si>
  <si>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</si>
  <si>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</si>
  <si>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</si>
  <si>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</si>
  <si>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</si>
  <si>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</si>
  <si>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</si>
  <si>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</si>
  <si>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</si>
  <si>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</si>
  <si>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</si>
  <si>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</si>
  <si>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</si>
  <si>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</si>
  <si>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</si>
  <si>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</si>
  <si>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</si>
  <si>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</si>
  <si>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</si>
  <si>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</si>
  <si>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</si>
  <si>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</si>
  <si>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</si>
  <si>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</si>
  <si>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</si>
  <si>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</si>
  <si>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</si>
  <si>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</si>
  <si>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</si>
  <si>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</si>
  <si>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</si>
  <si>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</si>
  <si>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</si>
  <si>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</si>
  <si>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</si>
  <si>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</si>
  <si>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</si>
  <si>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</si>
  <si>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</si>
  <si>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</si>
  <si>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</si>
  <si>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</si>
  <si>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</si>
  <si>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</si>
  <si>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</si>
  <si>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</si>
  <si>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</si>
  <si>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</si>
  <si>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</si>
  <si>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</si>
  <si>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</si>
  <si>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</si>
  <si>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</si>
  <si>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</si>
  <si>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</si>
  <si>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</si>
  <si>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</si>
  <si>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</si>
  <si>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</si>
  <si>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</si>
  <si>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</si>
  <si>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</si>
  <si>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</si>
  <si>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</si>
  <si>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</si>
  <si>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</si>
  <si>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</si>
  <si>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</si>
  <si>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</si>
  <si>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</si>
  <si>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</si>
  <si>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</si>
  <si>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</si>
  <si>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</si>
  <si>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</si>
  <si>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</si>
  <si>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</si>
  <si>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</si>
  <si>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</si>
  <si>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</si>
  <si>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</si>
  <si>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</si>
  <si>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</si>
  <si>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</si>
  <si>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</si>
  <si>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</si>
  <si>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</si>
  <si>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</si>
  <si>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</si>
  <si>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</si>
  <si>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</si>
  <si>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</si>
  <si>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</si>
  <si>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</si>
  <si>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</si>
  <si>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</si>
  <si>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</si>
  <si>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</si>
  <si>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</si>
  <si>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</si>
  <si>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</si>
  <si>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</si>
  <si>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</si>
  <si>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</si>
  <si>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</si>
  <si>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</si>
  <si>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</si>
  <si>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</si>
  <si>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</si>
  <si>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</si>
  <si>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</si>
  <si>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</si>
  <si>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</si>
  <si>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</si>
  <si>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</si>
  <si>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</si>
  <si>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</si>
  <si>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</si>
  <si>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</si>
  <si>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</si>
  <si>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</si>
  <si>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</si>
  <si>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</si>
  <si>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</si>
  <si>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</si>
  <si>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</si>
  <si>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</si>
  <si>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</si>
  <si>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</si>
  <si>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</si>
  <si>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</si>
  <si>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</si>
  <si>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</si>
  <si>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</si>
  <si>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</si>
  <si>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</si>
  <si>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</si>
  <si>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</si>
  <si>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</si>
  <si>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</si>
  <si>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</si>
  <si>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</si>
  <si>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</si>
  <si>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</si>
  <si>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</si>
  <si>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</si>
  <si>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</si>
  <si>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</si>
  <si>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</si>
  <si>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</si>
  <si>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</si>
  <si>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</si>
  <si>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</si>
  <si>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</si>
  <si>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</si>
  <si>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</si>
  <si>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</si>
  <si>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</si>
  <si>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</si>
  <si>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</si>
  <si>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</si>
  <si>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</si>
  <si>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</si>
  <si>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</si>
  <si>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</si>
  <si>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</si>
  <si>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</si>
  <si>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</si>
  <si>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</si>
  <si>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</si>
  <si>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</si>
  <si>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</si>
  <si>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</si>
  <si>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</si>
  <si>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</si>
  <si>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</si>
  <si>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</si>
  <si>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</si>
  <si>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</si>
  <si>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</si>
  <si>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</si>
  <si>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</si>
  <si>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</si>
  <si>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</si>
  <si>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</si>
  <si>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</si>
  <si>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</si>
  <si>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</si>
  <si>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</si>
  <si>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</si>
  <si>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</si>
  <si>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</si>
  <si>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</si>
  <si>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</si>
  <si>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</si>
  <si>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</si>
  <si>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</si>
  <si>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</si>
  <si>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</si>
  <si>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</si>
  <si>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</si>
  <si>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</si>
  <si>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</si>
  <si>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</si>
  <si>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</si>
  <si>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</si>
  <si>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</si>
  <si>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</si>
  <si>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</si>
  <si>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</si>
  <si>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</si>
  <si>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</si>
  <si>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</si>
  <si>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</si>
  <si>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</si>
  <si>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</si>
  <si>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</si>
  <si>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</si>
  <si>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</si>
  <si>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</si>
  <si>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</si>
  <si>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</si>
  <si>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</si>
  <si>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</si>
  <si>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</si>
  <si>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</si>
  <si>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</si>
  <si>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</si>
  <si>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</si>
  <si>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</si>
  <si>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</si>
  <si>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</si>
  <si>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</si>
  <si>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</si>
  <si>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</si>
  <si>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</si>
  <si>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</si>
  <si>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</si>
  <si>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</si>
  <si>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</si>
  <si>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</si>
  <si>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</si>
  <si>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</si>
  <si>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</si>
  <si>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</si>
  <si>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</si>
  <si>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</si>
  <si>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</si>
  <si>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</si>
  <si>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</si>
  <si>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</si>
  <si>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</si>
  <si>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</si>
  <si>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</si>
  <si>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</si>
  <si>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</si>
  <si>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</si>
  <si>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</si>
  <si>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</si>
  <si>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</si>
  <si>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</si>
  <si>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</si>
  <si>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</si>
  <si>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</si>
  <si>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</si>
  <si>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</si>
  <si>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</si>
  <si>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</si>
  <si>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</si>
  <si>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</si>
  <si>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</si>
  <si>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</si>
  <si>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</si>
  <si>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</si>
  <si>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</si>
  <si>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</si>
  <si>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</si>
  <si>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</si>
  <si>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</si>
  <si>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</si>
  <si>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</si>
  <si>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</si>
  <si>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</si>
  <si>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</si>
  <si>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</si>
  <si>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</si>
  <si>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</si>
  <si>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</si>
  <si>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</si>
  <si>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</si>
  <si>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</si>
  <si>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</si>
  <si>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</si>
  <si>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</si>
  <si>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</si>
  <si>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</si>
  <si>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</si>
  <si>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</si>
  <si>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</si>
  <si>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</si>
  <si>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</si>
  <si>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</si>
  <si>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</si>
  <si>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</si>
  <si>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</si>
  <si>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</si>
  <si>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</si>
  <si>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</si>
  <si>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</si>
  <si>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</si>
  <si>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</si>
  <si>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</si>
  <si>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</si>
  <si>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</si>
  <si>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</si>
  <si>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</si>
  <si>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</si>
  <si>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</si>
  <si>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</si>
  <si>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</si>
  <si>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</si>
  <si>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</si>
  <si>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</si>
  <si>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</si>
  <si>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</si>
  <si>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</si>
  <si>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</si>
  <si>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</si>
  <si>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</si>
  <si>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</si>
  <si>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</si>
  <si>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</si>
  <si>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</si>
  <si>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</si>
  <si>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</si>
  <si>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</si>
  <si>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</si>
  <si>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</si>
  <si>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</si>
  <si>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</si>
  <si>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</si>
  <si>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</si>
  <si>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</si>
  <si>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</si>
  <si>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</si>
  <si>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</si>
  <si>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</si>
  <si>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</si>
  <si>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</si>
  <si>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</si>
  <si>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</si>
  <si>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</si>
  <si>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</si>
  <si>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</si>
  <si>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</si>
  <si>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</si>
  <si>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</si>
  <si>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</si>
  <si>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</si>
  <si>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</si>
  <si>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</si>
  <si>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</si>
  <si>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</si>
  <si>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</si>
  <si>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</si>
  <si>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</si>
  <si>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</si>
  <si>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</si>
  <si>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</si>
  <si>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</si>
  <si>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</si>
  <si>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</si>
  <si>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</si>
  <si>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</si>
  <si>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</si>
  <si>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</si>
  <si>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</si>
  <si>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</si>
  <si>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</si>
  <si>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</si>
  <si>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</si>
  <si>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</si>
  <si>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</si>
  <si>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</si>
  <si>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</si>
  <si>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</si>
  <si>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</si>
  <si>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</si>
  <si>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</si>
  <si>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</si>
  <si>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</si>
  <si>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</si>
  <si>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</si>
  <si>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</si>
  <si>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</si>
  <si>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</si>
  <si>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</si>
  <si>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</si>
  <si>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</si>
  <si>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</si>
  <si>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</si>
  <si>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</si>
  <si>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</si>
  <si>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</si>
  <si>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</si>
  <si>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</si>
  <si>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</si>
  <si>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</si>
  <si>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</si>
  <si>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</si>
  <si>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</si>
  <si>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</si>
  <si>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</si>
  <si>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</si>
  <si>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</si>
  <si>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</si>
  <si>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</si>
  <si>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</si>
  <si>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</si>
  <si>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</si>
  <si>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</si>
  <si>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</si>
  <si>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</si>
  <si>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</si>
  <si>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</si>
  <si>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</si>
  <si>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</si>
  <si>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</si>
  <si>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</si>
  <si>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</si>
  <si>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</si>
  <si>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</si>
  <si>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</si>
  <si>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</si>
  <si>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</si>
  <si>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</si>
  <si>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</si>
  <si>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</si>
  <si>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</si>
  <si>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</si>
  <si>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</si>
  <si>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</si>
  <si>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</si>
  <si>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</si>
  <si>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</si>
  <si>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</si>
  <si>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</si>
  <si>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</si>
  <si>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</si>
  <si>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</si>
  <si>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</si>
  <si>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</si>
  <si>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</si>
  <si>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</si>
  <si>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</si>
  <si>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</si>
  <si>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</si>
  <si>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</si>
  <si>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</si>
  <si>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</si>
  <si>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</si>
  <si>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</si>
  <si>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</si>
  <si>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</si>
  <si>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</si>
  <si>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</si>
  <si>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</si>
  <si>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</si>
  <si>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</si>
  <si>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</si>
  <si>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</si>
  <si>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</si>
  <si>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</si>
  <si>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</si>
  <si>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</si>
  <si>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</si>
  <si>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</si>
  <si>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</si>
  <si>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</si>
  <si>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</si>
  <si>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</si>
  <si>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</si>
  <si>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</si>
  <si>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</si>
  <si>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</si>
  <si>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</si>
  <si>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</si>
  <si>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</si>
  <si>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</si>
  <si>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</si>
  <si>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</si>
  <si>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</si>
  <si>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</si>
  <si>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</si>
  <si>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</si>
  <si>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</si>
  <si>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</si>
  <si>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</si>
  <si>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</si>
  <si>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</si>
  <si>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</si>
  <si>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</si>
  <si>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</si>
  <si>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</si>
  <si>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</si>
  <si>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</si>
  <si>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</si>
  <si>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</si>
  <si>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</si>
  <si>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</si>
  <si>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</si>
  <si>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</si>
  <si>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</si>
  <si>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</si>
  <si>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</si>
  <si>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</si>
  <si>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</si>
  <si>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</si>
  <si>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</si>
  <si>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</si>
  <si>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</si>
  <si>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</si>
  <si>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</si>
  <si>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</si>
  <si>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</si>
  <si>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</si>
  <si>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</si>
  <si>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</si>
  <si>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</si>
  <si>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</si>
  <si>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</si>
  <si>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</si>
  <si>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</si>
  <si>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</si>
  <si>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</si>
  <si>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</si>
  <si>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</si>
  <si>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</si>
  <si>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</si>
  <si>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</si>
  <si>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</si>
  <si>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</si>
  <si>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</si>
  <si>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</si>
  <si>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</si>
  <si>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</si>
  <si>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</si>
  <si>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</si>
  <si>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</si>
  <si>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</si>
  <si>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</si>
  <si>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</si>
  <si>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</si>
  <si>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</si>
  <si>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</si>
  <si>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</si>
  <si>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</si>
  <si>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</si>
  <si>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</si>
  <si>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</si>
  <si>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</si>
  <si>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</si>
  <si>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</si>
  <si>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</si>
  <si>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</si>
  <si>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</si>
  <si>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</si>
  <si>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</si>
  <si>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</si>
  <si>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</si>
  <si>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</si>
  <si>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</si>
  <si>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</si>
  <si>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</si>
  <si>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</si>
  <si>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</si>
  <si>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</si>
  <si>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</si>
  <si>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</si>
  <si>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</si>
  <si>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</si>
  <si>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</si>
  <si>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</si>
  <si>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</si>
  <si>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</si>
  <si>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</si>
  <si>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</si>
  <si>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</si>
  <si>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</si>
  <si>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</si>
  <si>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</si>
  <si>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</si>
  <si>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</si>
  <si>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</si>
  <si>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</si>
  <si>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</si>
  <si>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</si>
  <si>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</si>
  <si>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</si>
  <si>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</si>
  <si>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</si>
  <si>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</si>
  <si>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</si>
  <si>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</si>
  <si>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</si>
  <si>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</si>
  <si>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</si>
  <si>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</si>
  <si>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</si>
  <si>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</si>
  <si>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</si>
  <si>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</si>
  <si>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</si>
  <si>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</si>
  <si>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</si>
  <si>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</si>
  <si>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</si>
  <si>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</si>
  <si>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</si>
  <si>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</si>
  <si>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</si>
  <si>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</si>
  <si>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</si>
  <si>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</si>
  <si>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</si>
  <si>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</si>
  <si>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</si>
  <si>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</si>
  <si>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</si>
  <si>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</si>
  <si>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</si>
  <si>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</si>
  <si>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</si>
  <si>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</si>
  <si>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</si>
  <si>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</si>
  <si>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</si>
  <si>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</si>
  <si>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</si>
  <si>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</si>
  <si>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</si>
  <si>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</si>
  <si>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</si>
  <si>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</si>
  <si>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</si>
  <si>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</si>
  <si>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</si>
  <si>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</si>
  <si>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</si>
  <si>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</si>
  <si>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</si>
  <si>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</si>
  <si>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</si>
  <si>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</si>
  <si>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</si>
  <si>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</si>
  <si>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</si>
  <si>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</si>
  <si>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</si>
  <si>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</si>
  <si>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</si>
  <si>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</si>
  <si>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</si>
  <si>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</si>
  <si>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</si>
  <si>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</si>
  <si>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</si>
  <si>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</si>
  <si>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</si>
  <si>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</si>
  <si>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</si>
  <si>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</si>
  <si>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</si>
  <si>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</si>
  <si>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</si>
  <si>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</si>
  <si>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</si>
  <si>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</si>
  <si>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</si>
  <si>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</si>
  <si>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</si>
  <si>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</si>
  <si>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</si>
  <si>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</si>
  <si>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</si>
  <si>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</si>
  <si>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</si>
  <si>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</si>
  <si>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</si>
  <si>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</si>
  <si>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</si>
  <si>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</si>
  <si>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</si>
  <si>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</si>
  <si>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</si>
  <si>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</si>
  <si>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</si>
  <si>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</si>
  <si>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</si>
  <si>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</si>
  <si>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</si>
  <si>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</si>
  <si>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</si>
  <si>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</si>
  <si>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</si>
  <si>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</si>
  <si>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</si>
  <si>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</si>
  <si>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</si>
  <si>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</si>
  <si>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</si>
  <si>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</si>
  <si>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</si>
  <si>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</si>
  <si>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</si>
  <si>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</si>
  <si>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</si>
  <si>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</si>
  <si>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</si>
  <si>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</si>
  <si>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</si>
  <si>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</si>
  <si>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</si>
  <si>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</si>
  <si>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</si>
  <si>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</si>
  <si>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</si>
  <si>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</si>
  <si>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</si>
  <si>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</si>
  <si>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</si>
  <si>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</si>
  <si>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</si>
  <si>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</si>
  <si>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</si>
  <si>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</si>
  <si>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</si>
  <si>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</si>
  <si>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</si>
  <si>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</si>
  <si>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</si>
  <si>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</si>
  <si>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</si>
  <si>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</si>
  <si>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</si>
  <si>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</si>
  <si>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</si>
  <si>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</si>
  <si>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</si>
  <si>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</si>
  <si>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</si>
  <si>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</si>
  <si>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</si>
  <si>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</si>
  <si>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</si>
  <si>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</si>
  <si>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</si>
  <si>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</si>
  <si>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</si>
  <si>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</si>
  <si>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</si>
  <si>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</si>
  <si>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</si>
  <si>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</si>
  <si>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</si>
  <si>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</si>
  <si>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</si>
  <si>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</si>
  <si>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</si>
  <si>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FS</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</si>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</sst>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3">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0">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9" t="s">
        <v>190</v>
      </c>
      <c r="B2" s="189"/>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2" t="s">
        <v>21</v>
      </c>
      <c r="B24" s="13" t="s">
        <v>20</v>
      </c>
      <c r="C24" s="5" t="str">
        <f t="shared" si="1"/>
        <v>!</v>
      </c>
    </row>
    <row r="25" spans="1:3">
      <c r="A25" s="183"/>
      <c r="B25" s="12" t="s">
        <v>323</v>
      </c>
      <c r="C25" s="5" t="str">
        <f t="shared" si="1"/>
        <v>!</v>
      </c>
    </row>
    <row r="26" spans="1:3">
      <c r="A26" s="183"/>
      <c r="B26" s="147" t="s">
        <v>323</v>
      </c>
      <c r="C26" s="5" t="str">
        <f t="shared" si="1"/>
        <v>!</v>
      </c>
    </row>
    <row r="27" spans="1:3">
      <c r="A27" s="183"/>
      <c r="B27" s="12" t="s">
        <v>537</v>
      </c>
      <c r="C27" s="5" t="str">
        <f t="shared" si="1"/>
        <v/>
      </c>
    </row>
    <row r="28" spans="1:3">
      <c r="A28" s="183"/>
      <c r="B28" s="12" t="s">
        <v>538</v>
      </c>
      <c r="C28" s="5" t="str">
        <f t="shared" si="1"/>
        <v/>
      </c>
    </row>
    <row r="29" spans="1:3">
      <c r="A29" s="183"/>
      <c r="B29" s="12"/>
      <c r="C29" s="5" t="str">
        <f t="shared" si="1"/>
        <v/>
      </c>
    </row>
    <row r="30" spans="1:3" ht="38.25">
      <c r="A30" s="183"/>
      <c r="B30" s="11" t="s">
        <v>400</v>
      </c>
      <c r="C30" s="5" t="str">
        <f t="shared" si="1"/>
        <v/>
      </c>
    </row>
    <row r="31" spans="1:3" s="9" customFormat="1"/>
    <row r="32" spans="1:3" s="9" customFormat="1" ht="21">
      <c r="A32" s="10" t="s">
        <v>19</v>
      </c>
    </row>
    <row r="34" spans="1:3">
      <c r="A34" s="184" t="s">
        <v>18</v>
      </c>
      <c r="B34" s="8" t="s">
        <v>518</v>
      </c>
      <c r="C34" s="5" t="str">
        <f>IF(OR(LEFT(B34,1)="&lt;",COUNTIF(Blanks,B34)&gt;0),CheckErr,CheckOK)</f>
        <v/>
      </c>
    </row>
    <row r="35" spans="1:3">
      <c r="A35" s="185"/>
      <c r="B35" s="158"/>
    </row>
    <row r="36" spans="1:3">
      <c r="A36" s="185"/>
      <c r="B36" s="158"/>
    </row>
    <row r="37" spans="1:3">
      <c r="A37" s="185"/>
      <c r="B37" s="158"/>
    </row>
    <row r="38" spans="1:3">
      <c r="A38" s="185"/>
      <c r="B38" s="158"/>
    </row>
    <row r="39" spans="1:3">
      <c r="A39" s="185"/>
      <c r="B39" s="158"/>
    </row>
    <row r="40" spans="1:3">
      <c r="A40" s="185"/>
      <c r="B40" s="158"/>
    </row>
    <row r="41" spans="1:3">
      <c r="A41" s="185"/>
      <c r="B41" s="158"/>
    </row>
    <row r="42" spans="1:3">
      <c r="A42" s="186"/>
      <c r="B42" s="159"/>
    </row>
    <row r="44" spans="1:3">
      <c r="A44" s="187" t="s">
        <v>17</v>
      </c>
      <c r="B44" s="8" t="s">
        <v>16</v>
      </c>
      <c r="C44" s="5" t="str">
        <f>IF(OR(LEFT(B44,1)="&lt;",COUNTIF(Blanks,B44)&gt;0),CheckErr,CheckOK)</f>
        <v>!</v>
      </c>
    </row>
    <row r="45" spans="1:3">
      <c r="A45" s="188"/>
      <c r="B45" s="7"/>
      <c r="C45" s="5" t="str">
        <f>IF(OR(LEFT(B45,1)="&lt;",COUNTIF(Blanks,B45)&gt;0),CheckErr,CheckOK)</f>
        <v/>
      </c>
    </row>
    <row r="47" spans="1:3">
      <c r="A47" s="187" t="s">
        <v>15</v>
      </c>
      <c r="B47" s="8" t="s">
        <v>14</v>
      </c>
      <c r="C47" s="5" t="str">
        <f>IF(OR(LEFT(B47,1)="&lt;",COUNTIF(Blanks,B47)&gt;0),CheckErr,CheckOK)</f>
        <v>!</v>
      </c>
    </row>
    <row r="48" spans="1:3">
      <c r="A48" s="188"/>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19" priority="7" stopIfTrue="1" operator="equal">
      <formula>CheckErr</formula>
    </cfRule>
  </conditionalFormatting>
  <conditionalFormatting sqref="B1:B1048576">
    <cfRule type="expression" dxfId="18"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17" priority="5" stopIfTrue="1">
      <formula>D1=CheckErr</formula>
    </cfRule>
  </conditionalFormatting>
  <conditionalFormatting sqref="C1:C1048576">
    <cfRule type="expression" dxfId="16" priority="1" stopIfTrue="1">
      <formula>$E1=CheckErr</formula>
    </cfRule>
  </conditionalFormatting>
  <conditionalFormatting sqref="A1:B1048576">
    <cfRule type="expression" dxfId="15"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F1" zoomScaleNormal="100" workbookViewId="0">
      <pane ySplit="13" topLeftCell="A21" activePane="bottomLeft" state="frozen"/>
      <selection activeCell="A6" sqref="A6"/>
      <selection pane="bottomLeft" activeCell="I24" sqref="I24"/>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6" t="s">
        <v>89</v>
      </c>
      <c r="B3" s="197"/>
      <c r="C3" s="197"/>
      <c r="D3" s="204"/>
      <c r="E3" s="204"/>
      <c r="F3" s="204"/>
      <c r="G3" s="204"/>
      <c r="H3" s="204"/>
      <c r="I3" s="204"/>
      <c r="J3" s="205"/>
      <c r="N3" s="169"/>
    </row>
    <row r="4" spans="1:18" s="70" customFormat="1" ht="12.75" customHeight="1" outlineLevel="1">
      <c r="A4" s="207" t="s">
        <v>127</v>
      </c>
      <c r="B4" s="208"/>
      <c r="C4" s="208"/>
      <c r="D4" s="193"/>
      <c r="E4" s="193"/>
      <c r="F4" s="194"/>
      <c r="G4" s="77"/>
      <c r="H4" s="77"/>
      <c r="I4" s="154"/>
      <c r="J4" s="77"/>
      <c r="N4" s="51" t="e">
        <f>IF(AND(OR(LEFT(#REF!,1)="&lt;",COUNTIF(Blanks,#REF!)&gt;0)),CheckErr,CheckOK)</f>
        <v>#REF!</v>
      </c>
    </row>
    <row r="5" spans="1:18" ht="12.75" customHeight="1" outlineLevel="1">
      <c r="A5" s="202" t="s">
        <v>115</v>
      </c>
      <c r="B5" s="203"/>
      <c r="C5" s="203"/>
      <c r="D5" s="193"/>
      <c r="E5" s="193"/>
      <c r="F5" s="194"/>
      <c r="G5" s="76"/>
      <c r="H5" s="76"/>
      <c r="I5" s="155"/>
      <c r="J5" s="76"/>
      <c r="N5" s="51" t="e">
        <f>IF(AND(OR(LEFT(#REF!,1)="&lt;",COUNTIF(Blanks,#REF!)&gt;0)),CheckErr,CheckOK)</f>
        <v>#REF!</v>
      </c>
    </row>
    <row r="6" spans="1:18" s="70" customFormat="1" hidden="1" outlineLevel="2">
      <c r="A6" s="196" t="s">
        <v>99</v>
      </c>
      <c r="B6" s="197"/>
      <c r="C6" s="197"/>
      <c r="D6" s="195"/>
      <c r="E6" s="195"/>
      <c r="F6" s="195"/>
      <c r="G6" s="75"/>
      <c r="H6" s="75"/>
      <c r="I6" s="156"/>
      <c r="J6" s="75"/>
      <c r="N6" s="51"/>
    </row>
    <row r="7" spans="1:18" s="70" customFormat="1" hidden="1" outlineLevel="2">
      <c r="A7" s="196" t="s">
        <v>128</v>
      </c>
      <c r="B7" s="197"/>
      <c r="C7" s="197"/>
      <c r="D7" s="195"/>
      <c r="E7" s="195"/>
      <c r="F7" s="195"/>
      <c r="G7" s="75"/>
      <c r="H7" s="75"/>
      <c r="I7" s="156"/>
      <c r="J7" s="75"/>
      <c r="O7" s="51"/>
    </row>
    <row r="8" spans="1:18" s="70" customFormat="1" hidden="1" outlineLevel="2">
      <c r="A8" s="196" t="s">
        <v>129</v>
      </c>
      <c r="B8" s="197"/>
      <c r="C8" s="197"/>
      <c r="D8" s="195"/>
      <c r="E8" s="195"/>
      <c r="F8" s="195"/>
      <c r="G8" s="75"/>
      <c r="H8" s="75"/>
      <c r="I8" s="156"/>
      <c r="J8" s="75"/>
      <c r="P8" s="51"/>
    </row>
    <row r="9" spans="1:18" s="70" customFormat="1" ht="12.75" customHeight="1" outlineLevel="1" collapsed="1">
      <c r="A9" s="192" t="s">
        <v>126</v>
      </c>
      <c r="B9" s="192"/>
      <c r="C9" s="192"/>
      <c r="D9" s="191"/>
      <c r="E9" s="168"/>
      <c r="F9" s="164"/>
      <c r="G9" s="164"/>
      <c r="H9" s="164"/>
      <c r="I9" s="164"/>
      <c r="J9" s="164"/>
      <c r="N9" s="164"/>
    </row>
    <row r="10" spans="1:18" s="70" customFormat="1" ht="12.75" customHeight="1" outlineLevel="1">
      <c r="D10" s="206"/>
      <c r="E10" s="206"/>
      <c r="F10" s="206"/>
      <c r="G10" s="206"/>
      <c r="H10" s="206"/>
      <c r="I10" s="206"/>
      <c r="J10" s="206"/>
      <c r="N10" s="167"/>
    </row>
    <row r="11" spans="1:18" s="70" customFormat="1" ht="15.75" customHeight="1" outlineLevel="1">
      <c r="A11" s="74"/>
      <c r="B11" s="74"/>
      <c r="C11" s="74"/>
      <c r="D11" s="198"/>
      <c r="E11" s="198"/>
      <c r="F11" s="165" t="str">
        <f>"Comments to action: "&amp;CommentsToAction</f>
        <v>Comments to action: 1</v>
      </c>
      <c r="G11" s="166"/>
      <c r="H11" s="199" t="str">
        <f>"Comments to sign-off: " &amp; CommentsToSignOff</f>
        <v>Comments to sign-off: 1</v>
      </c>
      <c r="I11" s="200"/>
      <c r="J11" s="201"/>
      <c r="M11" s="167"/>
      <c r="N11" s="168"/>
      <c r="O11" s="167"/>
      <c r="P11" s="167"/>
    </row>
    <row r="12" spans="1:18" s="70" customFormat="1" ht="27" customHeight="1" outlineLevel="1">
      <c r="A12" s="73" t="s">
        <v>114</v>
      </c>
      <c r="B12" s="73"/>
      <c r="C12" s="73"/>
      <c r="F12" s="150">
        <f>COUNTA(F14:F1075)</f>
        <v>95</v>
      </c>
      <c r="G12" s="108"/>
      <c r="H12" s="108"/>
      <c r="I12" s="150"/>
      <c r="J12" s="110"/>
      <c r="K12" s="108">
        <f>COUNTIF($O14:$O1075,CheckErr)</f>
        <v>1</v>
      </c>
      <c r="L12" s="108"/>
      <c r="M12" s="108">
        <f>COUNTIF($P14:$P1075,CheckErr)</f>
        <v>1</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877</v>
      </c>
      <c r="C14" s="68" t="s">
        <v>574</v>
      </c>
      <c r="D14" s="68" t="s">
        <v>575</v>
      </c>
      <c r="E14" s="68" t="s">
        <v>575</v>
      </c>
      <c r="F14" s="152" t="s">
        <v>872</v>
      </c>
      <c r="G14"/>
      <c r="H14" s="177" t="s">
        <v>885</v>
      </c>
      <c r="I14" s="4" t="s">
        <v>908</v>
      </c>
      <c r="J14" s="91" t="s">
        <v>87</v>
      </c>
      <c r="K14" s="91" t="s">
        <v>884</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877</v>
      </c>
      <c r="C15" s="68" t="s">
        <v>576</v>
      </c>
      <c r="D15" s="68">
        <v>1.4</v>
      </c>
      <c r="E15" s="68" t="s">
        <v>577</v>
      </c>
      <c r="F15" s="152" t="s">
        <v>578</v>
      </c>
      <c r="G15"/>
      <c r="H15" s="177" t="s">
        <v>885</v>
      </c>
      <c r="I15" s="91" t="s">
        <v>901</v>
      </c>
      <c r="J15" s="91" t="s">
        <v>87</v>
      </c>
      <c r="K15" s="178" t="s">
        <v>884</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c r="A16" s="57">
        <f t="shared" si="0"/>
        <v>3</v>
      </c>
      <c r="B16" s="68" t="s">
        <v>877</v>
      </c>
      <c r="C16" s="68" t="s">
        <v>579</v>
      </c>
      <c r="D16" s="68">
        <v>1.5</v>
      </c>
      <c r="E16" s="68" t="s">
        <v>580</v>
      </c>
      <c r="F16" s="152" t="s">
        <v>873</v>
      </c>
      <c r="G16"/>
      <c r="H16"/>
      <c r="I16"/>
      <c r="J16"/>
      <c r="K16"/>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877</v>
      </c>
      <c r="C17" s="68" t="s">
        <v>581</v>
      </c>
      <c r="D17" s="68" t="s">
        <v>582</v>
      </c>
      <c r="E17" s="68" t="s">
        <v>583</v>
      </c>
      <c r="F17" s="152" t="s">
        <v>584</v>
      </c>
      <c r="G17"/>
      <c r="H17" s="177" t="s">
        <v>885</v>
      </c>
      <c r="I17" s="91" t="s">
        <v>886</v>
      </c>
      <c r="J17" s="91" t="s">
        <v>87</v>
      </c>
      <c r="K17" s="178" t="s">
        <v>884</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877</v>
      </c>
      <c r="C18" s="68" t="s">
        <v>585</v>
      </c>
      <c r="D18" s="68" t="s">
        <v>586</v>
      </c>
      <c r="E18" s="68" t="s">
        <v>587</v>
      </c>
      <c r="F18" s="152" t="s">
        <v>588</v>
      </c>
      <c r="G18"/>
      <c r="H18" s="177" t="s">
        <v>885</v>
      </c>
      <c r="I18" s="91" t="s">
        <v>886</v>
      </c>
      <c r="J18" s="91" t="s">
        <v>87</v>
      </c>
      <c r="K18" s="178" t="s">
        <v>884</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877</v>
      </c>
      <c r="C19" s="68" t="s">
        <v>589</v>
      </c>
      <c r="D19" s="68" t="s">
        <v>586</v>
      </c>
      <c r="E19" s="68" t="s">
        <v>590</v>
      </c>
      <c r="F19" s="152" t="s">
        <v>874</v>
      </c>
      <c r="G19"/>
      <c r="H19" s="177" t="s">
        <v>885</v>
      </c>
      <c r="I19" s="4" t="s">
        <v>909</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877</v>
      </c>
      <c r="C20" s="68" t="s">
        <v>591</v>
      </c>
      <c r="D20" s="68" t="s">
        <v>592</v>
      </c>
      <c r="E20" s="68" t="s">
        <v>593</v>
      </c>
      <c r="F20" s="152" t="s">
        <v>875</v>
      </c>
      <c r="G20"/>
      <c r="H20" s="179" t="s">
        <v>885</v>
      </c>
      <c r="I20" s="178" t="s">
        <v>902</v>
      </c>
      <c r="J20" s="178" t="s">
        <v>87</v>
      </c>
      <c r="K20" s="178" t="s">
        <v>884</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877</v>
      </c>
      <c r="C21" s="68" t="s">
        <v>594</v>
      </c>
      <c r="D21" s="68" t="s">
        <v>595</v>
      </c>
      <c r="E21" s="68" t="s">
        <v>596</v>
      </c>
      <c r="F21" s="152" t="s">
        <v>876</v>
      </c>
      <c r="G21"/>
      <c r="H21"/>
      <c r="I21"/>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877</v>
      </c>
      <c r="C22" s="68" t="s">
        <v>597</v>
      </c>
      <c r="D22" s="68" t="s">
        <v>598</v>
      </c>
      <c r="E22" s="68" t="s">
        <v>599</v>
      </c>
      <c r="F22" s="152" t="s">
        <v>600</v>
      </c>
      <c r="G22"/>
      <c r="H22" s="179" t="s">
        <v>885</v>
      </c>
      <c r="I22" s="4" t="s">
        <v>910</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877</v>
      </c>
      <c r="C23" s="68" t="s">
        <v>601</v>
      </c>
      <c r="D23" s="68">
        <v>3.9</v>
      </c>
      <c r="E23" s="68" t="s">
        <v>602</v>
      </c>
      <c r="F23" s="152" t="s">
        <v>603</v>
      </c>
      <c r="G23"/>
      <c r="H23" s="177" t="s">
        <v>885</v>
      </c>
      <c r="I23" s="3" t="s">
        <v>899</v>
      </c>
      <c r="J23" t="s">
        <v>87</v>
      </c>
      <c r="K23" t="s">
        <v>884</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877</v>
      </c>
      <c r="C24" s="68" t="s">
        <v>604</v>
      </c>
      <c r="D24" s="68" t="s">
        <v>605</v>
      </c>
      <c r="E24" s="68" t="s">
        <v>606</v>
      </c>
      <c r="F24" s="152" t="s">
        <v>882</v>
      </c>
      <c r="G24"/>
      <c r="H24"/>
      <c r="I24"/>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877</v>
      </c>
      <c r="C25" s="68" t="s">
        <v>607</v>
      </c>
      <c r="D25" s="68">
        <v>6.1</v>
      </c>
      <c r="E25" s="68" t="s">
        <v>608</v>
      </c>
      <c r="F25" s="152" t="s">
        <v>609</v>
      </c>
      <c r="G25"/>
      <c r="H25" s="177" t="s">
        <v>885</v>
      </c>
      <c r="I25" t="s">
        <v>889</v>
      </c>
      <c r="J25" s="176" t="s">
        <v>87</v>
      </c>
      <c r="K25" s="176" t="s">
        <v>884</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877</v>
      </c>
      <c r="C26" s="68" t="s">
        <v>610</v>
      </c>
      <c r="D26" s="68" t="s">
        <v>611</v>
      </c>
      <c r="E26" s="68" t="s">
        <v>612</v>
      </c>
      <c r="F26" s="152" t="s">
        <v>613</v>
      </c>
      <c r="G26"/>
      <c r="H26"/>
      <c r="I26"/>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877</v>
      </c>
      <c r="C27" s="68" t="s">
        <v>614</v>
      </c>
      <c r="D27" s="68" t="s">
        <v>615</v>
      </c>
      <c r="E27" s="68" t="s">
        <v>616</v>
      </c>
      <c r="F27" s="152" t="s">
        <v>617</v>
      </c>
      <c r="G27"/>
      <c r="H27" s="177" t="s">
        <v>885</v>
      </c>
      <c r="I27" s="4" t="s">
        <v>918</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877</v>
      </c>
      <c r="C28" s="68" t="s">
        <v>618</v>
      </c>
      <c r="D28" s="68" t="s">
        <v>615</v>
      </c>
      <c r="E28" s="68" t="s">
        <v>619</v>
      </c>
      <c r="F28" s="152" t="s">
        <v>620</v>
      </c>
      <c r="G28"/>
      <c r="H28" s="177" t="s">
        <v>885</v>
      </c>
      <c r="I28" t="s">
        <v>889</v>
      </c>
      <c r="J28" s="176" t="s">
        <v>87</v>
      </c>
      <c r="K28" s="176" t="s">
        <v>884</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877</v>
      </c>
      <c r="C29" s="68" t="s">
        <v>621</v>
      </c>
      <c r="D29" s="68" t="s">
        <v>622</v>
      </c>
      <c r="E29" s="68" t="s">
        <v>623</v>
      </c>
      <c r="F29" s="152" t="s">
        <v>624</v>
      </c>
      <c r="G29"/>
      <c r="H29" s="177" t="s">
        <v>885</v>
      </c>
      <c r="I29" s="4" t="s">
        <v>919</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877</v>
      </c>
      <c r="C30" s="68" t="s">
        <v>625</v>
      </c>
      <c r="D30" s="68" t="s">
        <v>626</v>
      </c>
      <c r="E30" s="68" t="s">
        <v>627</v>
      </c>
      <c r="F30" s="152" t="s">
        <v>628</v>
      </c>
      <c r="G30"/>
      <c r="H30" s="177" t="s">
        <v>885</v>
      </c>
      <c r="I30" t="s">
        <v>896</v>
      </c>
      <c r="J30" t="s">
        <v>87</v>
      </c>
      <c r="K30" s="176" t="s">
        <v>884</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877</v>
      </c>
      <c r="C31" s="68" t="s">
        <v>629</v>
      </c>
      <c r="D31" s="68" t="s">
        <v>630</v>
      </c>
      <c r="E31" s="68" t="s">
        <v>631</v>
      </c>
      <c r="F31" s="152" t="s">
        <v>632</v>
      </c>
      <c r="G31"/>
      <c r="H31" s="177" t="s">
        <v>885</v>
      </c>
      <c r="I31" t="s">
        <v>888</v>
      </c>
      <c r="J31" s="176" t="s">
        <v>87</v>
      </c>
      <c r="K31" s="176" t="s">
        <v>884</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c r="A32" s="57">
        <f t="shared" si="0"/>
        <v>19</v>
      </c>
      <c r="B32" s="68" t="s">
        <v>877</v>
      </c>
      <c r="C32" s="68" t="s">
        <v>633</v>
      </c>
      <c r="D32" s="68" t="s">
        <v>630</v>
      </c>
      <c r="E32" s="68" t="s">
        <v>575</v>
      </c>
      <c r="F32" s="152" t="s">
        <v>634</v>
      </c>
      <c r="G32"/>
      <c r="H32"/>
      <c r="I32"/>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877</v>
      </c>
      <c r="C33" s="68" t="s">
        <v>635</v>
      </c>
      <c r="D33" s="68" t="s">
        <v>636</v>
      </c>
      <c r="E33" s="68" t="s">
        <v>637</v>
      </c>
      <c r="F33" s="152" t="s">
        <v>638</v>
      </c>
      <c r="G33"/>
      <c r="H33" s="177" t="s">
        <v>885</v>
      </c>
      <c r="I33" s="91" t="s">
        <v>886</v>
      </c>
      <c r="J33" s="91" t="s">
        <v>87</v>
      </c>
      <c r="K33" s="178" t="s">
        <v>884</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877</v>
      </c>
      <c r="C34" s="68" t="s">
        <v>639</v>
      </c>
      <c r="D34" s="68" t="s">
        <v>640</v>
      </c>
      <c r="E34" s="68" t="s">
        <v>641</v>
      </c>
      <c r="F34" s="152" t="s">
        <v>642</v>
      </c>
      <c r="G34"/>
      <c r="H34" s="177" t="s">
        <v>885</v>
      </c>
      <c r="I34" s="4" t="s">
        <v>917</v>
      </c>
      <c r="J34" s="91" t="s">
        <v>87</v>
      </c>
      <c r="K34" s="91" t="s">
        <v>884</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877</v>
      </c>
      <c r="C35" s="68" t="s">
        <v>643</v>
      </c>
      <c r="D35" s="68" t="s">
        <v>640</v>
      </c>
      <c r="E35" s="68" t="s">
        <v>644</v>
      </c>
      <c r="F35" s="152" t="s">
        <v>645</v>
      </c>
      <c r="G35"/>
      <c r="H35" s="177" t="s">
        <v>885</v>
      </c>
      <c r="I35" s="3" t="s">
        <v>890</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877</v>
      </c>
      <c r="C36" s="68" t="s">
        <v>646</v>
      </c>
      <c r="D36" s="68">
        <v>10</v>
      </c>
      <c r="E36" s="68" t="s">
        <v>647</v>
      </c>
      <c r="F36" s="152" t="s">
        <v>648</v>
      </c>
      <c r="G36"/>
      <c r="H36"/>
      <c r="I36"/>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27">
      <c r="A37" s="57">
        <f t="shared" si="0"/>
        <v>24</v>
      </c>
      <c r="B37" s="68" t="s">
        <v>877</v>
      </c>
      <c r="C37" s="68" t="s">
        <v>649</v>
      </c>
      <c r="D37" s="68">
        <v>11.1</v>
      </c>
      <c r="E37" s="68" t="s">
        <v>650</v>
      </c>
      <c r="F37" s="152" t="s">
        <v>651</v>
      </c>
      <c r="G37"/>
      <c r="H37"/>
      <c r="I37"/>
      <c r="J37"/>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c r="A38" s="57">
        <f t="shared" si="0"/>
        <v>25</v>
      </c>
      <c r="B38" s="68" t="s">
        <v>877</v>
      </c>
      <c r="C38" s="68" t="s">
        <v>652</v>
      </c>
      <c r="D38" s="68">
        <v>11.2</v>
      </c>
      <c r="E38" s="68" t="s">
        <v>653</v>
      </c>
      <c r="F38" s="152" t="s">
        <v>881</v>
      </c>
      <c r="G38"/>
      <c r="H38"/>
      <c r="I38"/>
      <c r="J38"/>
      <c r="K38"/>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877</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c r="A40" s="57">
        <f t="shared" si="0"/>
        <v>27</v>
      </c>
      <c r="B40" s="68" t="s">
        <v>877</v>
      </c>
      <c r="C40" s="68" t="s">
        <v>657</v>
      </c>
      <c r="D40" s="68" t="s">
        <v>575</v>
      </c>
      <c r="E40" s="68" t="s">
        <v>612</v>
      </c>
      <c r="F40" s="152" t="s">
        <v>658</v>
      </c>
      <c r="G40"/>
      <c r="H40"/>
      <c r="I40"/>
      <c r="J40"/>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c r="A41" s="57">
        <f t="shared" si="0"/>
        <v>28</v>
      </c>
      <c r="B41" s="68" t="s">
        <v>877</v>
      </c>
      <c r="C41" s="68" t="s">
        <v>659</v>
      </c>
      <c r="D41" s="68" t="s">
        <v>575</v>
      </c>
      <c r="E41" s="68" t="s">
        <v>612</v>
      </c>
      <c r="F41" s="152" t="s">
        <v>660</v>
      </c>
      <c r="G41"/>
      <c r="H41"/>
      <c r="I41"/>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878</v>
      </c>
      <c r="C42" s="68" t="s">
        <v>661</v>
      </c>
      <c r="D42" s="68" t="s">
        <v>662</v>
      </c>
      <c r="E42" s="68">
        <v>1</v>
      </c>
      <c r="F42" s="152" t="s">
        <v>663</v>
      </c>
      <c r="G42"/>
      <c r="H42" s="177" t="s">
        <v>885</v>
      </c>
      <c r="I42" s="91" t="s">
        <v>886</v>
      </c>
      <c r="J42" t="s">
        <v>87</v>
      </c>
      <c r="K42" s="176" t="s">
        <v>884</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c r="A43" s="57">
        <f t="shared" si="0"/>
        <v>30</v>
      </c>
      <c r="B43" s="68" t="s">
        <v>878</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878</v>
      </c>
      <c r="C44" s="68" t="s">
        <v>666</v>
      </c>
      <c r="D44" s="68" t="s">
        <v>667</v>
      </c>
      <c r="E44" s="68" t="s">
        <v>668</v>
      </c>
      <c r="F44" s="152" t="s">
        <v>669</v>
      </c>
      <c r="G44"/>
      <c r="H44" s="177" t="s">
        <v>885</v>
      </c>
      <c r="I44" s="91" t="s">
        <v>914</v>
      </c>
      <c r="J44" s="91" t="s">
        <v>87</v>
      </c>
      <c r="K44" s="178" t="s">
        <v>884</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878</v>
      </c>
      <c r="C45" s="68" t="s">
        <v>670</v>
      </c>
      <c r="D45" s="68" t="s">
        <v>667</v>
      </c>
      <c r="E45" s="68" t="s">
        <v>671</v>
      </c>
      <c r="F45" s="152" t="s">
        <v>672</v>
      </c>
      <c r="G45"/>
      <c r="H45" s="177" t="s">
        <v>885</v>
      </c>
      <c r="I45" s="91" t="s">
        <v>889</v>
      </c>
      <c r="J45" s="91" t="s">
        <v>87</v>
      </c>
      <c r="K45" s="178" t="s">
        <v>884</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878</v>
      </c>
      <c r="C46" s="68" t="s">
        <v>673</v>
      </c>
      <c r="D46" s="68">
        <v>1.1000000000000001</v>
      </c>
      <c r="E46" s="68" t="s">
        <v>674</v>
      </c>
      <c r="F46" s="152" t="s">
        <v>675</v>
      </c>
      <c r="G46"/>
      <c r="H46" s="177" t="s">
        <v>885</v>
      </c>
      <c r="I46" s="91" t="s">
        <v>902</v>
      </c>
      <c r="J46" s="91" t="s">
        <v>87</v>
      </c>
      <c r="K46" s="178" t="s">
        <v>884</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878</v>
      </c>
      <c r="C47" s="68" t="s">
        <v>676</v>
      </c>
      <c r="D47" s="68">
        <v>1.4</v>
      </c>
      <c r="E47" s="68" t="s">
        <v>677</v>
      </c>
      <c r="F47" s="152" t="s">
        <v>678</v>
      </c>
      <c r="G47"/>
      <c r="H47" s="177" t="s">
        <v>885</v>
      </c>
      <c r="I47" s="4" t="s">
        <v>903</v>
      </c>
      <c r="J47" s="91" t="s">
        <v>87</v>
      </c>
      <c r="K47" s="91" t="s">
        <v>884</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c r="A48" s="57">
        <f t="shared" si="1"/>
        <v>35</v>
      </c>
      <c r="B48" s="68" t="s">
        <v>878</v>
      </c>
      <c r="C48" s="68" t="s">
        <v>679</v>
      </c>
      <c r="D48" s="68">
        <v>1.4</v>
      </c>
      <c r="E48" s="68" t="s">
        <v>677</v>
      </c>
      <c r="F48" s="152" t="s">
        <v>680</v>
      </c>
      <c r="G48"/>
      <c r="H48"/>
      <c r="I48"/>
      <c r="J48"/>
      <c r="K48"/>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878</v>
      </c>
      <c r="C49" s="68" t="s">
        <v>681</v>
      </c>
      <c r="D49" s="68">
        <v>1.5</v>
      </c>
      <c r="E49" s="68" t="s">
        <v>682</v>
      </c>
      <c r="F49" s="152" t="s">
        <v>683</v>
      </c>
      <c r="G49"/>
      <c r="H49" s="177" t="s">
        <v>885</v>
      </c>
      <c r="I49" s="91" t="s">
        <v>902</v>
      </c>
      <c r="J49" s="91" t="s">
        <v>87</v>
      </c>
      <c r="K49" s="178" t="s">
        <v>884</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878</v>
      </c>
      <c r="C50" s="68" t="s">
        <v>684</v>
      </c>
      <c r="D50" s="68">
        <v>1.5</v>
      </c>
      <c r="E50" s="68" t="s">
        <v>685</v>
      </c>
      <c r="F50" s="152" t="s">
        <v>686</v>
      </c>
      <c r="G50"/>
      <c r="H50"/>
      <c r="I50"/>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c r="A51" s="57">
        <f t="shared" si="1"/>
        <v>38</v>
      </c>
      <c r="B51" s="68" t="s">
        <v>878</v>
      </c>
      <c r="C51" s="68" t="s">
        <v>687</v>
      </c>
      <c r="D51" s="68" t="s">
        <v>688</v>
      </c>
      <c r="E51" s="68" t="s">
        <v>689</v>
      </c>
      <c r="F51" s="152" t="s">
        <v>690</v>
      </c>
      <c r="G51"/>
      <c r="H51"/>
      <c r="I51"/>
      <c r="J51"/>
      <c r="K51"/>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27">
      <c r="A52" s="57">
        <f t="shared" si="1"/>
        <v>39</v>
      </c>
      <c r="B52" s="68" t="s">
        <v>878</v>
      </c>
      <c r="C52" s="68" t="s">
        <v>691</v>
      </c>
      <c r="D52" s="68" t="s">
        <v>692</v>
      </c>
      <c r="E52" s="68" t="s">
        <v>693</v>
      </c>
      <c r="F52" s="152" t="s">
        <v>694</v>
      </c>
      <c r="G52"/>
      <c r="H52" s="177"/>
      <c r="I52"/>
      <c r="J52"/>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878</v>
      </c>
      <c r="C53" s="68" t="s">
        <v>695</v>
      </c>
      <c r="D53" s="68" t="s">
        <v>692</v>
      </c>
      <c r="E53" s="68" t="s">
        <v>696</v>
      </c>
      <c r="F53" s="152" t="s">
        <v>697</v>
      </c>
      <c r="G53"/>
      <c r="H53" s="177" t="s">
        <v>885</v>
      </c>
      <c r="I53" s="91" t="s">
        <v>902</v>
      </c>
      <c r="J53" s="91" t="s">
        <v>87</v>
      </c>
      <c r="K53" s="178" t="s">
        <v>884</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878</v>
      </c>
      <c r="C54" s="68" t="s">
        <v>698</v>
      </c>
      <c r="D54" s="68">
        <v>1.6</v>
      </c>
      <c r="E54" s="68" t="s">
        <v>699</v>
      </c>
      <c r="F54" s="152" t="s">
        <v>700</v>
      </c>
      <c r="G54"/>
      <c r="H54" s="177" t="s">
        <v>885</v>
      </c>
      <c r="I54" s="4" t="s">
        <v>902</v>
      </c>
      <c r="J54" s="91" t="s">
        <v>87</v>
      </c>
      <c r="K54" s="91" t="s">
        <v>884</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878</v>
      </c>
      <c r="C55" s="68" t="s">
        <v>701</v>
      </c>
      <c r="D55" s="68" t="s">
        <v>702</v>
      </c>
      <c r="E55" s="68">
        <v>6</v>
      </c>
      <c r="F55" s="152" t="s">
        <v>703</v>
      </c>
      <c r="G55"/>
      <c r="H55" s="177" t="s">
        <v>885</v>
      </c>
      <c r="I55" s="91" t="s">
        <v>889</v>
      </c>
      <c r="J55" s="91" t="s">
        <v>87</v>
      </c>
      <c r="K55" s="178" t="s">
        <v>884</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878</v>
      </c>
      <c r="C56" s="68" t="s">
        <v>704</v>
      </c>
      <c r="D56" s="68" t="s">
        <v>667</v>
      </c>
      <c r="E56" s="68" t="s">
        <v>705</v>
      </c>
      <c r="F56" s="152" t="s">
        <v>706</v>
      </c>
      <c r="G56"/>
      <c r="H56" s="177" t="s">
        <v>885</v>
      </c>
      <c r="I56" s="4" t="s">
        <v>920</v>
      </c>
      <c r="J56" t="s">
        <v>85</v>
      </c>
      <c r="K56" s="91" t="s">
        <v>884</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878</v>
      </c>
      <c r="C57" s="68" t="s">
        <v>707</v>
      </c>
      <c r="D57" s="68">
        <v>1.8</v>
      </c>
      <c r="E57" s="68" t="s">
        <v>708</v>
      </c>
      <c r="F57" s="152" t="s">
        <v>709</v>
      </c>
      <c r="G57"/>
      <c r="H57" s="177" t="s">
        <v>885</v>
      </c>
      <c r="I57" s="91" t="s">
        <v>889</v>
      </c>
      <c r="J57" s="91" t="s">
        <v>87</v>
      </c>
      <c r="K57" s="178" t="s">
        <v>884</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878</v>
      </c>
      <c r="C58" s="68" t="s">
        <v>710</v>
      </c>
      <c r="D58" s="68">
        <v>1.8</v>
      </c>
      <c r="E58" s="68" t="s">
        <v>711</v>
      </c>
      <c r="F58" s="152" t="s">
        <v>712</v>
      </c>
      <c r="G58"/>
      <c r="H58" s="177" t="s">
        <v>885</v>
      </c>
      <c r="I58" s="4" t="s">
        <v>921</v>
      </c>
      <c r="J58" s="91" t="s">
        <v>87</v>
      </c>
      <c r="K58" s="91" t="s">
        <v>884</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c r="A59" s="57">
        <f t="shared" si="1"/>
        <v>46</v>
      </c>
      <c r="B59" s="68" t="s">
        <v>878</v>
      </c>
      <c r="C59" s="68" t="s">
        <v>713</v>
      </c>
      <c r="D59" s="68" t="s">
        <v>714</v>
      </c>
      <c r="E59" s="68" t="s">
        <v>715</v>
      </c>
      <c r="F59" s="152" t="s">
        <v>716</v>
      </c>
      <c r="G59"/>
      <c r="H59" s="177"/>
      <c r="I59"/>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878</v>
      </c>
      <c r="C60" s="68" t="s">
        <v>717</v>
      </c>
      <c r="D60" s="68" t="s">
        <v>718</v>
      </c>
      <c r="E60" s="68" t="s">
        <v>719</v>
      </c>
      <c r="F60" s="152" t="s">
        <v>720</v>
      </c>
      <c r="G60"/>
      <c r="H60" s="177" t="s">
        <v>885</v>
      </c>
      <c r="I60" s="91" t="s">
        <v>886</v>
      </c>
      <c r="J60" s="91" t="s">
        <v>87</v>
      </c>
      <c r="K60" s="178" t="s">
        <v>884</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878</v>
      </c>
      <c r="C61" s="68" t="s">
        <v>721</v>
      </c>
      <c r="D61" s="68" t="s">
        <v>722</v>
      </c>
      <c r="E61" s="68" t="s">
        <v>723</v>
      </c>
      <c r="F61" s="152" t="s">
        <v>724</v>
      </c>
      <c r="G61"/>
      <c r="H61" s="177" t="s">
        <v>885</v>
      </c>
      <c r="I61" s="91" t="s">
        <v>886</v>
      </c>
      <c r="J61" s="91" t="s">
        <v>87</v>
      </c>
      <c r="K61" s="178" t="s">
        <v>884</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878</v>
      </c>
      <c r="C62" s="68" t="s">
        <v>725</v>
      </c>
      <c r="D62" s="68" t="s">
        <v>726</v>
      </c>
      <c r="E62" s="68" t="s">
        <v>727</v>
      </c>
      <c r="F62" s="152" t="s">
        <v>728</v>
      </c>
      <c r="G62"/>
      <c r="H62" s="177" t="s">
        <v>885</v>
      </c>
      <c r="I62" s="91" t="s">
        <v>922</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878</v>
      </c>
      <c r="C63" s="68" t="s">
        <v>729</v>
      </c>
      <c r="D63" s="68" t="s">
        <v>730</v>
      </c>
      <c r="E63" s="68" t="s">
        <v>731</v>
      </c>
      <c r="F63" s="152" t="s">
        <v>732</v>
      </c>
      <c r="G63"/>
      <c r="H63" s="177" t="s">
        <v>885</v>
      </c>
      <c r="I63" s="91" t="s">
        <v>923</v>
      </c>
      <c r="J63" s="91" t="s">
        <v>85</v>
      </c>
      <c r="K63" s="178" t="s">
        <v>884</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878</v>
      </c>
      <c r="C64" s="68" t="s">
        <v>733</v>
      </c>
      <c r="D64" s="68" t="s">
        <v>734</v>
      </c>
      <c r="E64" s="68">
        <v>14</v>
      </c>
      <c r="F64" s="152" t="s">
        <v>735</v>
      </c>
      <c r="G64"/>
      <c r="H64" s="177" t="s">
        <v>885</v>
      </c>
      <c r="I64" s="4" t="s">
        <v>916</v>
      </c>
      <c r="J64" s="91" t="s">
        <v>87</v>
      </c>
      <c r="K64" s="91" t="s">
        <v>884</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878</v>
      </c>
      <c r="C65" s="68" t="s">
        <v>736</v>
      </c>
      <c r="D65" s="68">
        <v>1.1100000000000001</v>
      </c>
      <c r="E65" s="68">
        <v>15</v>
      </c>
      <c r="F65" s="152" t="s">
        <v>737</v>
      </c>
      <c r="G65"/>
      <c r="H65" s="91" t="s">
        <v>885</v>
      </c>
      <c r="I65" s="91" t="s">
        <v>915</v>
      </c>
      <c r="J65" s="178" t="s">
        <v>87</v>
      </c>
      <c r="K65" s="178" t="s">
        <v>884</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878</v>
      </c>
      <c r="C66" s="68" t="s">
        <v>738</v>
      </c>
      <c r="D66" s="68">
        <v>11.2</v>
      </c>
      <c r="E66" s="68">
        <v>67</v>
      </c>
      <c r="F66" s="152" t="s">
        <v>739</v>
      </c>
      <c r="G66"/>
      <c r="H66" s="91" t="s">
        <v>885</v>
      </c>
      <c r="I66" s="91" t="s">
        <v>886</v>
      </c>
      <c r="J66" s="178" t="s">
        <v>87</v>
      </c>
      <c r="K66" s="178" t="s">
        <v>884</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c r="A67" s="57">
        <f t="shared" si="1"/>
        <v>54</v>
      </c>
      <c r="B67" s="68" t="s">
        <v>878</v>
      </c>
      <c r="C67" s="68" t="s">
        <v>740</v>
      </c>
      <c r="D67" s="68" t="s">
        <v>741</v>
      </c>
      <c r="E67" s="68">
        <v>66</v>
      </c>
      <c r="F67" s="152" t="s">
        <v>742</v>
      </c>
      <c r="G67"/>
      <c r="H67"/>
      <c r="I67"/>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878</v>
      </c>
      <c r="C68" s="68" t="s">
        <v>743</v>
      </c>
      <c r="D68" s="68">
        <v>9</v>
      </c>
      <c r="E68" s="68">
        <v>63</v>
      </c>
      <c r="F68" s="152" t="s">
        <v>744</v>
      </c>
      <c r="G68"/>
      <c r="H68" s="91" t="s">
        <v>885</v>
      </c>
      <c r="I68" s="4" t="s">
        <v>926</v>
      </c>
      <c r="J68" s="91" t="s">
        <v>87</v>
      </c>
      <c r="K68" s="178" t="s">
        <v>884</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878</v>
      </c>
      <c r="C69" s="68" t="s">
        <v>745</v>
      </c>
      <c r="D69" s="68" t="s">
        <v>746</v>
      </c>
      <c r="E69" s="68" t="s">
        <v>747</v>
      </c>
      <c r="F69" s="152" t="s">
        <v>748</v>
      </c>
      <c r="G69"/>
      <c r="H69" s="177" t="s">
        <v>885</v>
      </c>
      <c r="I69" s="91" t="s">
        <v>887</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879</v>
      </c>
      <c r="C70" s="68" t="s">
        <v>749</v>
      </c>
      <c r="D70" s="68">
        <v>1.2</v>
      </c>
      <c r="E70" s="68" t="s">
        <v>750</v>
      </c>
      <c r="F70" s="152" t="s">
        <v>751</v>
      </c>
      <c r="G70"/>
      <c r="H70" s="177" t="s">
        <v>885</v>
      </c>
      <c r="I70" s="91" t="s">
        <v>902</v>
      </c>
      <c r="J70" s="91" t="s">
        <v>87</v>
      </c>
      <c r="K70" s="178" t="s">
        <v>884</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879</v>
      </c>
      <c r="C71" s="68" t="s">
        <v>752</v>
      </c>
      <c r="D71" s="68">
        <v>1.2</v>
      </c>
      <c r="E71" s="68" t="s">
        <v>753</v>
      </c>
      <c r="F71" s="152" t="s">
        <v>754</v>
      </c>
      <c r="G71"/>
      <c r="H71" s="177" t="s">
        <v>885</v>
      </c>
      <c r="I71" s="4" t="s">
        <v>924</v>
      </c>
      <c r="J71" s="91" t="s">
        <v>87</v>
      </c>
      <c r="K71" s="91" t="s">
        <v>884</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879</v>
      </c>
      <c r="C72" s="68" t="s">
        <v>755</v>
      </c>
      <c r="D72" s="68">
        <v>1.4</v>
      </c>
      <c r="E72" s="68" t="s">
        <v>756</v>
      </c>
      <c r="F72" s="152" t="s">
        <v>757</v>
      </c>
      <c r="G72"/>
      <c r="H72" s="177" t="s">
        <v>885</v>
      </c>
      <c r="I72" s="91" t="s">
        <v>904</v>
      </c>
      <c r="J72" s="91" t="s">
        <v>87</v>
      </c>
      <c r="K72" s="178" t="s">
        <v>884</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879</v>
      </c>
      <c r="C73" s="68" t="s">
        <v>758</v>
      </c>
      <c r="D73" s="68" t="s">
        <v>688</v>
      </c>
      <c r="E73" s="68" t="s">
        <v>688</v>
      </c>
      <c r="F73" s="152" t="s">
        <v>759</v>
      </c>
      <c r="G73"/>
      <c r="H73" s="177" t="s">
        <v>885</v>
      </c>
      <c r="I73" s="91" t="s">
        <v>911</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879</v>
      </c>
      <c r="C74" s="68" t="s">
        <v>760</v>
      </c>
      <c r="D74" s="68" t="s">
        <v>761</v>
      </c>
      <c r="E74" s="68" t="s">
        <v>762</v>
      </c>
      <c r="F74" s="152" t="s">
        <v>763</v>
      </c>
      <c r="G74"/>
      <c r="H74" s="177" t="s">
        <v>885</v>
      </c>
      <c r="I74" s="91" t="s">
        <v>886</v>
      </c>
      <c r="J74" s="91" t="s">
        <v>87</v>
      </c>
      <c r="K74" s="178" t="s">
        <v>884</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879</v>
      </c>
      <c r="C75" s="68" t="s">
        <v>764</v>
      </c>
      <c r="D75" s="68" t="s">
        <v>765</v>
      </c>
      <c r="E75" s="68" t="s">
        <v>766</v>
      </c>
      <c r="F75" s="152" t="s">
        <v>767</v>
      </c>
      <c r="G75"/>
      <c r="H75" s="177" t="s">
        <v>885</v>
      </c>
      <c r="I75" s="91" t="s">
        <v>886</v>
      </c>
      <c r="J75" s="91" t="s">
        <v>87</v>
      </c>
      <c r="K75" s="178" t="s">
        <v>884</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879</v>
      </c>
      <c r="C76" s="68" t="s">
        <v>768</v>
      </c>
      <c r="D76" s="68" t="s">
        <v>769</v>
      </c>
      <c r="E76" s="68" t="s">
        <v>705</v>
      </c>
      <c r="F76" s="152" t="s">
        <v>770</v>
      </c>
      <c r="G76"/>
      <c r="H76" s="177" t="s">
        <v>885</v>
      </c>
      <c r="I76" s="91" t="s">
        <v>889</v>
      </c>
      <c r="J76" s="91" t="s">
        <v>87</v>
      </c>
      <c r="K76" s="178" t="s">
        <v>884</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879</v>
      </c>
      <c r="C77" s="68" t="s">
        <v>771</v>
      </c>
      <c r="D77" s="68">
        <v>1.8</v>
      </c>
      <c r="E77" s="68" t="s">
        <v>772</v>
      </c>
      <c r="F77" s="152" t="s">
        <v>773</v>
      </c>
      <c r="G77"/>
      <c r="H77" s="177" t="s">
        <v>885</v>
      </c>
      <c r="I77" s="91" t="s">
        <v>888</v>
      </c>
      <c r="J77" s="91" t="s">
        <v>87</v>
      </c>
      <c r="K77" s="178" t="s">
        <v>884</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879</v>
      </c>
      <c r="C78" s="68" t="s">
        <v>774</v>
      </c>
      <c r="D78" s="68">
        <v>1.8</v>
      </c>
      <c r="E78" s="68" t="s">
        <v>775</v>
      </c>
      <c r="F78" s="152" t="s">
        <v>776</v>
      </c>
      <c r="G78"/>
      <c r="H78" s="177" t="s">
        <v>885</v>
      </c>
      <c r="I78" s="91" t="s">
        <v>886</v>
      </c>
      <c r="J78" s="91" t="s">
        <v>87</v>
      </c>
      <c r="K78" s="178" t="s">
        <v>884</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879</v>
      </c>
      <c r="C79" s="68" t="s">
        <v>777</v>
      </c>
      <c r="D79" s="68">
        <v>1.8</v>
      </c>
      <c r="E79" s="68" t="s">
        <v>778</v>
      </c>
      <c r="F79" s="152" t="s">
        <v>779</v>
      </c>
      <c r="G79"/>
      <c r="H79" s="177" t="s">
        <v>885</v>
      </c>
      <c r="I79" s="91" t="s">
        <v>888</v>
      </c>
      <c r="J79" s="91" t="s">
        <v>87</v>
      </c>
      <c r="K79" s="178" t="s">
        <v>884</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879</v>
      </c>
      <c r="C80" s="68" t="s">
        <v>780</v>
      </c>
      <c r="D80" s="68">
        <v>1.8</v>
      </c>
      <c r="E80" s="68" t="s">
        <v>781</v>
      </c>
      <c r="F80" s="152" t="s">
        <v>782</v>
      </c>
      <c r="G80"/>
      <c r="H80" s="177"/>
      <c r="I80"/>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879</v>
      </c>
      <c r="C81" s="68" t="s">
        <v>783</v>
      </c>
      <c r="D81" s="68">
        <v>1.8</v>
      </c>
      <c r="E81" s="68" t="s">
        <v>784</v>
      </c>
      <c r="F81" s="152" t="s">
        <v>785</v>
      </c>
      <c r="G81"/>
      <c r="H81" s="177" t="s">
        <v>885</v>
      </c>
      <c r="I81" s="91" t="s">
        <v>913</v>
      </c>
      <c r="J81" s="91" t="s">
        <v>87</v>
      </c>
      <c r="K81" s="178" t="s">
        <v>884</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879</v>
      </c>
      <c r="C82" s="68" t="s">
        <v>786</v>
      </c>
      <c r="D82" s="68">
        <v>1.2</v>
      </c>
      <c r="E82" s="68" t="s">
        <v>705</v>
      </c>
      <c r="F82" s="152" t="s">
        <v>787</v>
      </c>
      <c r="G82"/>
      <c r="H82" s="91" t="s">
        <v>885</v>
      </c>
      <c r="I82" s="91" t="s">
        <v>912</v>
      </c>
      <c r="J82" s="178" t="s">
        <v>87</v>
      </c>
      <c r="K82" s="178" t="s">
        <v>884</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27">
      <c r="A83" s="57">
        <f t="shared" si="2"/>
        <v>70</v>
      </c>
      <c r="B83" s="68" t="s">
        <v>879</v>
      </c>
      <c r="C83" s="68" t="s">
        <v>788</v>
      </c>
      <c r="D83" s="68" t="s">
        <v>726</v>
      </c>
      <c r="E83" s="68" t="s">
        <v>688</v>
      </c>
      <c r="F83" s="152" t="s">
        <v>789</v>
      </c>
      <c r="G83"/>
      <c r="H83" s="177"/>
      <c r="I83"/>
      <c r="J83"/>
      <c r="K83"/>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879</v>
      </c>
      <c r="C84" s="68" t="s">
        <v>790</v>
      </c>
      <c r="D84" s="68" t="s">
        <v>791</v>
      </c>
      <c r="E84" s="68" t="s">
        <v>792</v>
      </c>
      <c r="F84" s="152" t="s">
        <v>793</v>
      </c>
      <c r="G84"/>
      <c r="H84" s="177" t="s">
        <v>885</v>
      </c>
      <c r="I84" s="3" t="s">
        <v>900</v>
      </c>
      <c r="J84" t="s">
        <v>87</v>
      </c>
      <c r="K84" t="s">
        <v>884</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879</v>
      </c>
      <c r="C85" s="68" t="s">
        <v>794</v>
      </c>
      <c r="D85" s="68" t="s">
        <v>795</v>
      </c>
      <c r="E85" s="68" t="s">
        <v>688</v>
      </c>
      <c r="F85" s="152" t="s">
        <v>796</v>
      </c>
      <c r="G85"/>
      <c r="H85"/>
      <c r="I85"/>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879</v>
      </c>
      <c r="C86" s="68" t="s">
        <v>797</v>
      </c>
      <c r="D86" s="68">
        <v>5.0999999999999996</v>
      </c>
      <c r="E86" s="68" t="s">
        <v>798</v>
      </c>
      <c r="F86" s="152" t="s">
        <v>799</v>
      </c>
      <c r="G86"/>
      <c r="H86" s="177" t="s">
        <v>885</v>
      </c>
      <c r="I86" t="s">
        <v>889</v>
      </c>
      <c r="J86" t="s">
        <v>87</v>
      </c>
      <c r="K86" s="176" t="s">
        <v>884</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879</v>
      </c>
      <c r="C87" s="68" t="s">
        <v>800</v>
      </c>
      <c r="D87" s="68">
        <v>6.1</v>
      </c>
      <c r="E87" s="68" t="s">
        <v>801</v>
      </c>
      <c r="F87" s="152" t="s">
        <v>802</v>
      </c>
      <c r="G87"/>
      <c r="H87" s="177" t="s">
        <v>885</v>
      </c>
      <c r="I87" t="s">
        <v>895</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879</v>
      </c>
      <c r="C88" s="68" t="s">
        <v>800</v>
      </c>
      <c r="D88" s="68" t="s">
        <v>803</v>
      </c>
      <c r="E88" s="68" t="s">
        <v>804</v>
      </c>
      <c r="F88" s="152" t="s">
        <v>805</v>
      </c>
      <c r="G88"/>
      <c r="H88" s="177" t="s">
        <v>885</v>
      </c>
      <c r="I88" s="4" t="s">
        <v>925</v>
      </c>
      <c r="J88" s="91" t="s">
        <v>87</v>
      </c>
      <c r="K88" s="91" t="s">
        <v>884</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879</v>
      </c>
      <c r="C89" s="68" t="s">
        <v>806</v>
      </c>
      <c r="D89" s="68" t="s">
        <v>807</v>
      </c>
      <c r="E89" s="68" t="s">
        <v>808</v>
      </c>
      <c r="F89" s="152" t="s">
        <v>809</v>
      </c>
      <c r="G89"/>
      <c r="H89" s="177" t="s">
        <v>885</v>
      </c>
      <c r="I89" t="s">
        <v>886</v>
      </c>
      <c r="J89" t="s">
        <v>87</v>
      </c>
      <c r="K89" s="176" t="s">
        <v>884</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879</v>
      </c>
      <c r="C90" s="68" t="s">
        <v>810</v>
      </c>
      <c r="D90" s="68" t="s">
        <v>811</v>
      </c>
      <c r="E90" s="68" t="s">
        <v>812</v>
      </c>
      <c r="F90" s="152" t="s">
        <v>813</v>
      </c>
      <c r="G90"/>
      <c r="H90" s="177" t="s">
        <v>885</v>
      </c>
      <c r="I90" t="s">
        <v>898</v>
      </c>
      <c r="J90" t="s">
        <v>87</v>
      </c>
      <c r="K90" s="176" t="s">
        <v>884</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879</v>
      </c>
      <c r="C91" s="68" t="s">
        <v>814</v>
      </c>
      <c r="D91" s="68" t="s">
        <v>811</v>
      </c>
      <c r="E91" s="68" t="s">
        <v>815</v>
      </c>
      <c r="F91" s="152" t="s">
        <v>816</v>
      </c>
      <c r="G91"/>
      <c r="H91" s="177" t="s">
        <v>885</v>
      </c>
      <c r="I91" s="3" t="s">
        <v>897</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879</v>
      </c>
      <c r="C92" s="68" t="s">
        <v>817</v>
      </c>
      <c r="D92" s="68" t="s">
        <v>811</v>
      </c>
      <c r="E92" s="68" t="s">
        <v>818</v>
      </c>
      <c r="F92" s="152" t="s">
        <v>819</v>
      </c>
      <c r="G92"/>
      <c r="H92" s="177" t="s">
        <v>885</v>
      </c>
      <c r="I92" t="s">
        <v>886</v>
      </c>
      <c r="J92" t="s">
        <v>87</v>
      </c>
      <c r="K92" s="176" t="s">
        <v>884</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879</v>
      </c>
      <c r="C93" s="68" t="s">
        <v>820</v>
      </c>
      <c r="D93" s="68" t="s">
        <v>821</v>
      </c>
      <c r="E93" s="68" t="s">
        <v>822</v>
      </c>
      <c r="F93" s="152" t="s">
        <v>823</v>
      </c>
      <c r="G93"/>
      <c r="H93" s="177" t="s">
        <v>885</v>
      </c>
      <c r="I93" t="s">
        <v>892</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879</v>
      </c>
      <c r="C94" s="68" t="s">
        <v>824</v>
      </c>
      <c r="D94" s="68" t="s">
        <v>825</v>
      </c>
      <c r="E94" s="68" t="s">
        <v>688</v>
      </c>
      <c r="F94" s="152" t="s">
        <v>826</v>
      </c>
      <c r="G94"/>
      <c r="H94"/>
      <c r="I94"/>
      <c r="J94" t="s">
        <v>85</v>
      </c>
      <c r="K94" t="s">
        <v>884</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879</v>
      </c>
      <c r="C95" s="68" t="s">
        <v>827</v>
      </c>
      <c r="D95" s="68" t="s">
        <v>828</v>
      </c>
      <c r="E95" s="68" t="s">
        <v>829</v>
      </c>
      <c r="F95" s="152" t="s">
        <v>830</v>
      </c>
      <c r="G95"/>
      <c r="H95" s="177" t="s">
        <v>885</v>
      </c>
      <c r="I95" s="91" t="s">
        <v>891</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879</v>
      </c>
      <c r="C96" s="68" t="s">
        <v>831</v>
      </c>
      <c r="D96" s="68" t="s">
        <v>832</v>
      </c>
      <c r="E96" s="68" t="s">
        <v>833</v>
      </c>
      <c r="F96" s="152" t="s">
        <v>834</v>
      </c>
      <c r="G96"/>
      <c r="H96" s="177" t="s">
        <v>885</v>
      </c>
      <c r="I96" t="s">
        <v>886</v>
      </c>
      <c r="J96" t="s">
        <v>87</v>
      </c>
      <c r="K96" s="176" t="s">
        <v>884</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879</v>
      </c>
      <c r="C97" s="68" t="s">
        <v>835</v>
      </c>
      <c r="D97" s="68">
        <v>7</v>
      </c>
      <c r="E97" s="68" t="s">
        <v>836</v>
      </c>
      <c r="F97" s="152" t="s">
        <v>837</v>
      </c>
      <c r="G97"/>
      <c r="H97" s="177" t="s">
        <v>885</v>
      </c>
      <c r="I97" t="s">
        <v>886</v>
      </c>
      <c r="J97" t="s">
        <v>87</v>
      </c>
      <c r="K97" s="176" t="s">
        <v>884</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879</v>
      </c>
      <c r="C98" s="68" t="s">
        <v>838</v>
      </c>
      <c r="D98" s="68" t="s">
        <v>839</v>
      </c>
      <c r="E98" s="68" t="s">
        <v>840</v>
      </c>
      <c r="F98" s="152" t="s">
        <v>841</v>
      </c>
      <c r="G98"/>
      <c r="H98" s="177" t="s">
        <v>885</v>
      </c>
      <c r="I98" t="s">
        <v>886</v>
      </c>
      <c r="J98" t="s">
        <v>87</v>
      </c>
      <c r="K98" s="176" t="s">
        <v>884</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879</v>
      </c>
      <c r="C99" s="68" t="s">
        <v>842</v>
      </c>
      <c r="D99" s="68" t="s">
        <v>843</v>
      </c>
      <c r="E99" s="68" t="s">
        <v>844</v>
      </c>
      <c r="F99" s="152" t="s">
        <v>845</v>
      </c>
      <c r="G99"/>
      <c r="H99" s="177" t="s">
        <v>885</v>
      </c>
      <c r="I99" t="s">
        <v>889</v>
      </c>
      <c r="J99" t="s">
        <v>87</v>
      </c>
      <c r="K99" s="176" t="s">
        <v>884</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879</v>
      </c>
      <c r="C100" s="68" t="s">
        <v>846</v>
      </c>
      <c r="D100" s="68">
        <v>7.1</v>
      </c>
      <c r="E100" s="68" t="s">
        <v>847</v>
      </c>
      <c r="F100" s="152" t="s">
        <v>848</v>
      </c>
      <c r="G100"/>
      <c r="H100" s="177" t="s">
        <v>885</v>
      </c>
      <c r="I100" s="3" t="s">
        <v>894</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879</v>
      </c>
      <c r="C101" s="68" t="s">
        <v>849</v>
      </c>
      <c r="D101" s="68">
        <v>7.1</v>
      </c>
      <c r="E101" s="68" t="s">
        <v>850</v>
      </c>
      <c r="F101" s="152" t="s">
        <v>851</v>
      </c>
      <c r="G101"/>
      <c r="H101" s="177" t="s">
        <v>885</v>
      </c>
      <c r="I101" t="s">
        <v>888</v>
      </c>
      <c r="J101" t="s">
        <v>87</v>
      </c>
      <c r="K101" s="176" t="s">
        <v>884</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879</v>
      </c>
      <c r="C102" s="68" t="s">
        <v>852</v>
      </c>
      <c r="D102" s="68">
        <v>7.1</v>
      </c>
      <c r="E102" s="68" t="s">
        <v>853</v>
      </c>
      <c r="F102" s="152" t="s">
        <v>854</v>
      </c>
      <c r="G102"/>
      <c r="H102" s="177" t="s">
        <v>885</v>
      </c>
      <c r="I102" s="3" t="s">
        <v>893</v>
      </c>
      <c r="J102" t="s">
        <v>87</v>
      </c>
      <c r="K102" s="176" t="s">
        <v>884</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879</v>
      </c>
      <c r="C103" s="68" t="s">
        <v>855</v>
      </c>
      <c r="D103" s="68" t="s">
        <v>856</v>
      </c>
      <c r="E103" s="68" t="s">
        <v>857</v>
      </c>
      <c r="F103" s="152" t="s">
        <v>858</v>
      </c>
      <c r="G103"/>
      <c r="H103" s="177" t="s">
        <v>885</v>
      </c>
      <c r="I103" s="91" t="s">
        <v>886</v>
      </c>
      <c r="J103" s="91" t="s">
        <v>87</v>
      </c>
      <c r="K103" s="178" t="s">
        <v>884</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879</v>
      </c>
      <c r="C104" s="68" t="s">
        <v>859</v>
      </c>
      <c r="D104" s="68" t="s">
        <v>860</v>
      </c>
      <c r="E104" s="68" t="s">
        <v>861</v>
      </c>
      <c r="F104" s="152" t="s">
        <v>862</v>
      </c>
      <c r="G104"/>
      <c r="H104" s="177" t="s">
        <v>885</v>
      </c>
      <c r="I104" s="91" t="s">
        <v>888</v>
      </c>
      <c r="J104" t="s">
        <v>87</v>
      </c>
      <c r="K104" s="176" t="s">
        <v>884</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879</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879</v>
      </c>
      <c r="C106" s="68" t="s">
        <v>867</v>
      </c>
      <c r="D106" s="68" t="s">
        <v>688</v>
      </c>
      <c r="E106" s="68" t="s">
        <v>705</v>
      </c>
      <c r="F106" s="152" t="s">
        <v>868</v>
      </c>
      <c r="G106"/>
      <c r="H106"/>
      <c r="I106"/>
      <c r="J106" t="s">
        <v>85</v>
      </c>
      <c r="K106" t="s">
        <v>884</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880</v>
      </c>
      <c r="C107" s="68" t="s">
        <v>869</v>
      </c>
      <c r="D107" s="68" t="s">
        <v>870</v>
      </c>
      <c r="E107" s="68">
        <v>1</v>
      </c>
      <c r="F107" s="152" t="s">
        <v>871</v>
      </c>
      <c r="G107"/>
      <c r="H107" s="177" t="s">
        <v>885</v>
      </c>
      <c r="I107" s="4" t="s">
        <v>883</v>
      </c>
      <c r="J107" t="s">
        <v>87</v>
      </c>
      <c r="K107" s="176" t="s">
        <v>884</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885</v>
      </c>
      <c r="C108" s="68" t="s">
        <v>885</v>
      </c>
      <c r="D108" s="68" t="s">
        <v>905</v>
      </c>
      <c r="E108" s="68" t="s">
        <v>906</v>
      </c>
      <c r="F108" s="152" t="s">
        <v>907</v>
      </c>
      <c r="G108" s="67"/>
      <c r="H108" s="65"/>
      <c r="I108" s="152"/>
      <c r="J108" s="65"/>
      <c r="K108" s="65" t="s">
        <v>106</v>
      </c>
      <c r="L108" s="112"/>
      <c r="M108" s="58"/>
      <c r="N108" s="66" t="e">
        <f>IF(OR(AND(CodeFileListUsed="Yes",#REF!="",COUNTA(B108:C108,D108:F108)&lt;&gt;0),AND(COUNTA(B108:C108,D108:F108)&lt;&gt;0, COUNTA(B108:C108,D108:F108)&lt;&gt;COUNTA(B$13:C$13,D$13:F$13))),CheckErr,CheckOK)</f>
        <v>#REF!</v>
      </c>
      <c r="O108" s="50" t="str">
        <f t="shared" ref="O108:O141" si="3">IF(OR(ISBLANK(F108), AND(NOT(ISBLANK(H108)),OR(AND(J108="Accepted",OR(K108="Y",K108="y")),J108="Noted",J108="Duplicate",AND(J108="Rejected",NOT(ISBLANK(I108)))))),CheckOK,CheckErr)</f>
        <v>!</v>
      </c>
      <c r="P108" s="50" t="str">
        <f t="shared" ref="P108:P141" si="4">IF(OR(ISBLANK(F108),NOT(ISBLANK(L108))),CheckOK,CheckErr)</f>
        <v>!</v>
      </c>
    </row>
    <row r="109" spans="1:16">
      <c r="A109" s="57">
        <f t="shared" si="2"/>
        <v>96</v>
      </c>
      <c r="B109" s="68"/>
      <c r="C109" s="68"/>
      <c r="D109" s="68"/>
      <c r="E109" s="68"/>
      <c r="F109" s="68"/>
      <c r="G109" s="67"/>
      <c r="H109" s="65"/>
      <c r="I109" s="152"/>
      <c r="J109" s="65"/>
      <c r="K109" s="65" t="s">
        <v>106</v>
      </c>
      <c r="L109" s="112"/>
      <c r="M109" s="58"/>
      <c r="N109" s="66" t="e">
        <f>IF(OR(AND(CodeFileListUsed="Yes",#REF!="",COUNTA(B109:C109,D109:F109)&lt;&gt;0),AND(COUNTA(B109:C109,D109:F109)&lt;&gt;0, COUNTA(B109:C109,D109:F109)&lt;&gt;COUNTA(B$13:C$13,D$13:F$13))),CheckErr,CheckOK)</f>
        <v>#REF!</v>
      </c>
      <c r="O109" s="50" t="str">
        <f t="shared" si="3"/>
        <v/>
      </c>
      <c r="P109" s="50" t="str">
        <f t="shared" si="4"/>
        <v/>
      </c>
    </row>
    <row r="110" spans="1:16">
      <c r="A110" s="57">
        <f t="shared" si="2"/>
        <v>97</v>
      </c>
      <c r="B110" s="68"/>
      <c r="C110" s="68"/>
      <c r="D110" s="68"/>
      <c r="E110" s="68"/>
      <c r="F110" s="152"/>
      <c r="G110" s="67"/>
      <c r="H110" s="65"/>
      <c r="I110" s="152"/>
      <c r="J110" s="65"/>
      <c r="K110" s="65" t="s">
        <v>106</v>
      </c>
      <c r="L110" s="112"/>
      <c r="M110" s="58"/>
      <c r="N110" s="66" t="e">
        <f>IF(OR(AND(CodeFileListUsed="Yes",#REF!="",COUNTA(B110:C110,D110:F110)&lt;&gt;0),AND(COUNTA(B110:C110,D110:F110)&lt;&gt;0, COUNTA(B110:C110,D110:F110)&lt;&gt;COUNTA(B$13:C$13,D$13:F$13))),CheckErr,CheckOK)</f>
        <v>#REF!</v>
      </c>
      <c r="O110" s="50" t="str">
        <f t="shared" si="3"/>
        <v/>
      </c>
      <c r="P110" s="50" t="str">
        <f t="shared" si="4"/>
        <v/>
      </c>
    </row>
    <row r="111" spans="1:16">
      <c r="A111" s="57">
        <f t="shared" ref="A111:A142" si="5">A110+1</f>
        <v>98</v>
      </c>
      <c r="B111" s="68"/>
      <c r="C111" s="68"/>
      <c r="D111" s="68"/>
      <c r="E111" s="68"/>
      <c r="F111" s="152"/>
      <c r="G111" s="67"/>
      <c r="H111" s="65"/>
      <c r="I111" s="152"/>
      <c r="J111" s="65"/>
      <c r="K111" s="65" t="s">
        <v>106</v>
      </c>
      <c r="L111" s="112"/>
      <c r="M111" s="58"/>
      <c r="N111" s="66" t="e">
        <f>IF(OR(AND(CodeFileListUsed="Yes",#REF!="",COUNTA(B111:C111,D111:F111)&lt;&gt;0),AND(COUNTA(B111:C111,D111:F111)&lt;&gt;0, COUNTA(B111:C111,D111:F111)&lt;&gt;COUNTA(B$13:C$13,D$13:F$13))),CheckErr,CheckOK)</f>
        <v>#REF!</v>
      </c>
      <c r="O111" s="50" t="str">
        <f t="shared" si="3"/>
        <v/>
      </c>
      <c r="P111" s="50" t="str">
        <f t="shared" si="4"/>
        <v/>
      </c>
    </row>
    <row r="112" spans="1:16">
      <c r="A112" s="57">
        <f t="shared" si="5"/>
        <v>99</v>
      </c>
      <c r="B112" s="68"/>
      <c r="C112" s="68"/>
      <c r="D112" s="68"/>
      <c r="E112" s="68"/>
      <c r="F112" s="152"/>
      <c r="G112" s="67"/>
      <c r="H112" s="65"/>
      <c r="I112" s="152"/>
      <c r="J112" s="65"/>
      <c r="K112" s="65" t="s">
        <v>106</v>
      </c>
      <c r="L112" s="112"/>
      <c r="M112" s="58"/>
      <c r="N112" s="66" t="e">
        <f>IF(OR(AND(CodeFileListUsed="Yes",#REF!="",COUNTA(B112:C112,D112:F112)&lt;&gt;0),AND(COUNTA(B112:C112,D112:F112)&lt;&gt;0, COUNTA(B112:C112,D112:F112)&lt;&gt;COUNTA(B$13:C$13,D$13:F$13))),CheckErr,CheckOK)</f>
        <v>#REF!</v>
      </c>
      <c r="O112" s="50" t="str">
        <f t="shared" si="3"/>
        <v/>
      </c>
      <c r="P112" s="50" t="str">
        <f t="shared" si="4"/>
        <v/>
      </c>
    </row>
    <row r="113" spans="1:16">
      <c r="A113" s="57">
        <f t="shared" si="5"/>
        <v>100</v>
      </c>
      <c r="B113" s="68"/>
      <c r="C113" s="68"/>
      <c r="D113" s="68"/>
      <c r="E113" s="68"/>
      <c r="F113" s="152"/>
      <c r="G113" s="67"/>
      <c r="H113" s="65"/>
      <c r="I113" s="152"/>
      <c r="J113" s="65"/>
      <c r="K113" s="65" t="s">
        <v>106</v>
      </c>
      <c r="L113" s="112"/>
      <c r="M113" s="58"/>
      <c r="N113" s="66" t="e">
        <f>IF(OR(AND(CodeFileListUsed="Yes",#REF!="",COUNTA(B113:C113,D113:F113)&lt;&gt;0),AND(COUNTA(B113:C113,D113:F113)&lt;&gt;0, COUNTA(B113:C113,D113:F113)&lt;&gt;COUNTA(B$13:C$13,D$13:F$13))),CheckErr,CheckOK)</f>
        <v>#REF!</v>
      </c>
      <c r="O113" s="50" t="str">
        <f t="shared" si="3"/>
        <v/>
      </c>
      <c r="P113" s="50" t="str">
        <f t="shared" si="4"/>
        <v/>
      </c>
    </row>
    <row r="114" spans="1:16">
      <c r="A114" s="57">
        <f t="shared" si="5"/>
        <v>101</v>
      </c>
      <c r="B114" s="68"/>
      <c r="C114" s="68"/>
      <c r="D114" s="68"/>
      <c r="E114" s="68"/>
      <c r="F114" s="152"/>
      <c r="G114" s="67"/>
      <c r="H114" s="65"/>
      <c r="I114" s="152"/>
      <c r="J114" s="65"/>
      <c r="K114" s="65" t="s">
        <v>106</v>
      </c>
      <c r="L114" s="112"/>
      <c r="M114" s="58"/>
      <c r="N114" s="66" t="e">
        <f>IF(OR(AND(CodeFileListUsed="Yes",#REF!="",COUNTA(B114:C114,D114:F114)&lt;&gt;0),AND(COUNTA(B114:C114,D114:F114)&lt;&gt;0, COUNTA(B114:C114,D114:F114)&lt;&gt;COUNTA(B$13:C$13,D$13:F$13))),CheckErr,CheckOK)</f>
        <v>#REF!</v>
      </c>
      <c r="O114" s="50" t="str">
        <f t="shared" si="3"/>
        <v/>
      </c>
      <c r="P114" s="50" t="str">
        <f t="shared" si="4"/>
        <v/>
      </c>
    </row>
    <row r="115" spans="1:16">
      <c r="A115" s="57">
        <f t="shared" si="5"/>
        <v>102</v>
      </c>
      <c r="B115" s="68"/>
      <c r="C115" s="68"/>
      <c r="D115" s="68"/>
      <c r="E115" s="68"/>
      <c r="F115" s="152"/>
      <c r="G115" s="67"/>
      <c r="H115" s="65"/>
      <c r="I115" s="152"/>
      <c r="J115" s="65"/>
      <c r="K115" s="65" t="s">
        <v>106</v>
      </c>
      <c r="L115" s="112"/>
      <c r="M115" s="58"/>
      <c r="N115" s="66" t="e">
        <f>IF(OR(AND(CodeFileListUsed="Yes",#REF!="",COUNTA(B115:C115,D115:F115)&lt;&gt;0),AND(COUNTA(B115:C115,D115:F115)&lt;&gt;0, COUNTA(B115:C115,D115:F115)&lt;&gt;COUNTA(B$13:C$13,D$13:F$13))),CheckErr,CheckOK)</f>
        <v>#REF!</v>
      </c>
      <c r="O115" s="50" t="str">
        <f t="shared" si="3"/>
        <v/>
      </c>
      <c r="P115" s="50" t="str">
        <f t="shared" si="4"/>
        <v/>
      </c>
    </row>
    <row r="116" spans="1:16">
      <c r="A116" s="57">
        <f t="shared" si="5"/>
        <v>103</v>
      </c>
      <c r="B116" s="68"/>
      <c r="C116" s="68"/>
      <c r="D116" s="68"/>
      <c r="E116" s="68"/>
      <c r="F116" s="152"/>
      <c r="G116" s="67"/>
      <c r="H116" s="65"/>
      <c r="I116" s="152"/>
      <c r="J116" s="65"/>
      <c r="K116" s="65" t="s">
        <v>106</v>
      </c>
      <c r="L116" s="112"/>
      <c r="M116" s="58"/>
      <c r="N116" s="66" t="e">
        <f>IF(OR(AND(CodeFileListUsed="Yes",#REF!="",COUNTA(B116:C116,D116:F116)&lt;&gt;0),AND(COUNTA(B116:C116,D116:F116)&lt;&gt;0, COUNTA(B116:C116,D116:F116)&lt;&gt;COUNTA(B$13:C$13,D$13:F$13))),CheckErr,CheckOK)</f>
        <v>#REF!</v>
      </c>
      <c r="O116" s="50" t="str">
        <f t="shared" si="3"/>
        <v/>
      </c>
      <c r="P116" s="50" t="str">
        <f t="shared" si="4"/>
        <v/>
      </c>
    </row>
    <row r="117" spans="1:16">
      <c r="A117" s="57">
        <f t="shared" si="5"/>
        <v>104</v>
      </c>
      <c r="B117" s="68"/>
      <c r="C117" s="68"/>
      <c r="D117" s="68"/>
      <c r="E117" s="68"/>
      <c r="F117" s="152"/>
      <c r="G117" s="67"/>
      <c r="H117" s="65"/>
      <c r="I117" s="152"/>
      <c r="J117" s="65"/>
      <c r="K117" s="65" t="s">
        <v>106</v>
      </c>
      <c r="L117" s="112"/>
      <c r="M117" s="58"/>
      <c r="N117" s="66" t="e">
        <f>IF(OR(AND(CodeFileListUsed="Yes",#REF!="",COUNTA(B117:C117,D117:F117)&lt;&gt;0),AND(COUNTA(B117:C117,D117:F117)&lt;&gt;0, COUNTA(B117:C117,D117:F117)&lt;&gt;COUNTA(B$13:C$13,D$13:F$13))),CheckErr,CheckOK)</f>
        <v>#REF!</v>
      </c>
      <c r="O117" s="50" t="str">
        <f t="shared" si="3"/>
        <v/>
      </c>
      <c r="P117" s="50" t="str">
        <f t="shared" si="4"/>
        <v/>
      </c>
    </row>
    <row r="118" spans="1:16">
      <c r="A118" s="57">
        <f t="shared" si="5"/>
        <v>105</v>
      </c>
      <c r="B118" s="68"/>
      <c r="C118" s="68"/>
      <c r="D118" s="68"/>
      <c r="E118" s="68"/>
      <c r="F118" s="152"/>
      <c r="G118" s="67"/>
      <c r="H118" s="65"/>
      <c r="I118" s="152"/>
      <c r="J118" s="65"/>
      <c r="K118" s="65" t="s">
        <v>106</v>
      </c>
      <c r="L118" s="112"/>
      <c r="M118" s="58"/>
      <c r="N118" s="66" t="e">
        <f>IF(OR(AND(CodeFileListUsed="Yes",#REF!="",COUNTA(B118:C118,D118:F118)&lt;&gt;0),AND(COUNTA(B118:C118,D118:F118)&lt;&gt;0, COUNTA(B118:C118,D118:F118)&lt;&gt;COUNTA(B$13:C$13,D$13:F$13))),CheckErr,CheckOK)</f>
        <v>#REF!</v>
      </c>
      <c r="O118" s="50" t="str">
        <f t="shared" si="3"/>
        <v/>
      </c>
      <c r="P118" s="50" t="str">
        <f t="shared" si="4"/>
        <v/>
      </c>
    </row>
    <row r="119" spans="1:16">
      <c r="A119" s="57">
        <f t="shared" si="5"/>
        <v>106</v>
      </c>
      <c r="B119" s="68"/>
      <c r="C119" s="68"/>
      <c r="D119" s="68"/>
      <c r="E119" s="68"/>
      <c r="F119" s="152"/>
      <c r="G119" s="67"/>
      <c r="H119" s="65"/>
      <c r="I119" s="152"/>
      <c r="J119" s="65"/>
      <c r="K119" s="65" t="s">
        <v>106</v>
      </c>
      <c r="L119" s="112"/>
      <c r="M119" s="58"/>
      <c r="N119" s="66" t="e">
        <f>IF(OR(AND(CodeFileListUsed="Yes",#REF!="",COUNTA(B119:C119,D119:F119)&lt;&gt;0),AND(COUNTA(B119:C119,D119:F119)&lt;&gt;0, COUNTA(B119:C119,D119:F119)&lt;&gt;COUNTA(B$13:C$13,D$13:F$13))),CheckErr,CheckOK)</f>
        <v>#REF!</v>
      </c>
      <c r="O119" s="50" t="str">
        <f t="shared" si="3"/>
        <v/>
      </c>
      <c r="P119" s="50" t="str">
        <f t="shared" si="4"/>
        <v/>
      </c>
    </row>
    <row r="120" spans="1:16">
      <c r="A120" s="57">
        <f t="shared" si="5"/>
        <v>107</v>
      </c>
      <c r="B120" s="68"/>
      <c r="C120" s="68"/>
      <c r="D120" s="68"/>
      <c r="E120" s="68"/>
      <c r="F120" s="152"/>
      <c r="G120" s="67"/>
      <c r="H120" s="65"/>
      <c r="I120" s="152"/>
      <c r="J120" s="65"/>
      <c r="K120" s="65" t="s">
        <v>106</v>
      </c>
      <c r="L120" s="112"/>
      <c r="M120" s="58"/>
      <c r="N120" s="66" t="e">
        <f>IF(OR(AND(CodeFileListUsed="Yes",#REF!="",COUNTA(B120:C120,D120:F120)&lt;&gt;0),AND(COUNTA(B120:C120,D120:F120)&lt;&gt;0, COUNTA(B120:C120,D120:F120)&lt;&gt;COUNTA(B$13:C$13,D$13:F$13))),CheckErr,CheckOK)</f>
        <v>#REF!</v>
      </c>
      <c r="O120" s="50" t="str">
        <f t="shared" si="3"/>
        <v/>
      </c>
      <c r="P120" s="50" t="str">
        <f t="shared" si="4"/>
        <v/>
      </c>
    </row>
    <row r="121" spans="1:16">
      <c r="A121" s="57">
        <f t="shared" si="5"/>
        <v>108</v>
      </c>
      <c r="B121" s="68"/>
      <c r="C121" s="68"/>
      <c r="D121" s="68"/>
      <c r="E121" s="68"/>
      <c r="F121" s="152"/>
      <c r="G121" s="67"/>
      <c r="H121" s="65"/>
      <c r="I121" s="152"/>
      <c r="J121" s="65"/>
      <c r="K121" s="65" t="s">
        <v>106</v>
      </c>
      <c r="L121" s="112"/>
      <c r="M121" s="58"/>
      <c r="N121" s="66" t="e">
        <f>IF(OR(AND(CodeFileListUsed="Yes",#REF!="",COUNTA(B121:C121,D121:F121)&lt;&gt;0),AND(COUNTA(B121:C121,D121:F121)&lt;&gt;0, COUNTA(B121:C121,D121:F121)&lt;&gt;COUNTA(B$13:C$13,D$13:F$13))),CheckErr,CheckOK)</f>
        <v>#REF!</v>
      </c>
      <c r="O121" s="50" t="str">
        <f t="shared" si="3"/>
        <v/>
      </c>
      <c r="P121" s="50" t="str">
        <f t="shared" si="4"/>
        <v/>
      </c>
    </row>
    <row r="122" spans="1:16">
      <c r="A122" s="57">
        <f t="shared" si="5"/>
        <v>109</v>
      </c>
      <c r="B122" s="68"/>
      <c r="C122" s="68"/>
      <c r="D122" s="68"/>
      <c r="E122" s="68"/>
      <c r="F122" s="152"/>
      <c r="G122" s="67"/>
      <c r="H122" s="65"/>
      <c r="I122" s="152"/>
      <c r="J122" s="65"/>
      <c r="K122" s="65" t="s">
        <v>106</v>
      </c>
      <c r="L122" s="112"/>
      <c r="M122" s="58"/>
      <c r="N122" s="66" t="e">
        <f>IF(OR(AND(CodeFileListUsed="Yes",#REF!="",COUNTA(B122:C122,D122:F122)&lt;&gt;0),AND(COUNTA(B122:C122,D122:F122)&lt;&gt;0, COUNTA(B122:C122,D122:F122)&lt;&gt;COUNTA(B$13:C$13,D$13:F$13))),CheckErr,CheckOK)</f>
        <v>#REF!</v>
      </c>
      <c r="O122" s="50" t="str">
        <f t="shared" si="3"/>
        <v/>
      </c>
      <c r="P122" s="50" t="str">
        <f t="shared" si="4"/>
        <v/>
      </c>
    </row>
    <row r="123" spans="1:16">
      <c r="A123" s="57">
        <f t="shared" si="5"/>
        <v>110</v>
      </c>
      <c r="B123" s="68"/>
      <c r="C123" s="68"/>
      <c r="D123" s="68"/>
      <c r="E123" s="68"/>
      <c r="F123" s="152"/>
      <c r="G123" s="67"/>
      <c r="H123" s="65"/>
      <c r="I123" s="152"/>
      <c r="J123" s="65"/>
      <c r="K123" s="65" t="s">
        <v>106</v>
      </c>
      <c r="L123" s="112"/>
      <c r="M123" s="58"/>
      <c r="N123" s="66" t="e">
        <f>IF(OR(AND(CodeFileListUsed="Yes",#REF!="",COUNTA(B123:C123,D123:F123)&lt;&gt;0),AND(COUNTA(B123:C123,D123:F123)&lt;&gt;0, COUNTA(B123:C123,D123:F123)&lt;&gt;COUNTA(B$13:C$13,D$13:F$13))),CheckErr,CheckOK)</f>
        <v>#REF!</v>
      </c>
      <c r="O123" s="50" t="str">
        <f t="shared" si="3"/>
        <v/>
      </c>
      <c r="P123" s="50" t="str">
        <f t="shared" si="4"/>
        <v/>
      </c>
    </row>
    <row r="124" spans="1:16">
      <c r="A124" s="57">
        <f t="shared" si="5"/>
        <v>111</v>
      </c>
      <c r="B124" s="68"/>
      <c r="C124" s="68"/>
      <c r="D124" s="68"/>
      <c r="E124" s="68"/>
      <c r="F124" s="152"/>
      <c r="G124" s="67"/>
      <c r="H124" s="65"/>
      <c r="I124" s="152"/>
      <c r="J124" s="65"/>
      <c r="K124" s="65" t="s">
        <v>106</v>
      </c>
      <c r="L124" s="112"/>
      <c r="M124" s="58"/>
      <c r="N124" s="66" t="e">
        <f>IF(OR(AND(CodeFileListUsed="Yes",#REF!="",COUNTA(B124:C124,D124:F124)&lt;&gt;0),AND(COUNTA(B124:C124,D124:F124)&lt;&gt;0, COUNTA(B124:C124,D124:F124)&lt;&gt;COUNTA(B$13:C$13,D$13:F$13))),CheckErr,CheckOK)</f>
        <v>#REF!</v>
      </c>
      <c r="O124" s="50" t="str">
        <f t="shared" si="3"/>
        <v/>
      </c>
      <c r="P124" s="50" t="str">
        <f t="shared" si="4"/>
        <v/>
      </c>
    </row>
    <row r="125" spans="1:16">
      <c r="A125" s="57">
        <f t="shared" si="5"/>
        <v>112</v>
      </c>
      <c r="B125" s="68"/>
      <c r="C125" s="68"/>
      <c r="D125" s="68"/>
      <c r="E125" s="68"/>
      <c r="F125" s="152"/>
      <c r="G125" s="67"/>
      <c r="H125" s="65"/>
      <c r="I125" s="152"/>
      <c r="J125" s="65"/>
      <c r="K125" s="65" t="s">
        <v>106</v>
      </c>
      <c r="L125" s="112"/>
      <c r="M125" s="58"/>
      <c r="N125" s="66" t="e">
        <f>IF(OR(AND(CodeFileListUsed="Yes",#REF!="",COUNTA(B125:C125,D125:F125)&lt;&gt;0),AND(COUNTA(B125:C125,D125:F125)&lt;&gt;0, COUNTA(B125:C125,D125:F125)&lt;&gt;COUNTA(B$13:C$13,D$13:F$13))),CheckErr,CheckOK)</f>
        <v>#REF!</v>
      </c>
      <c r="O125" s="50" t="str">
        <f t="shared" si="3"/>
        <v/>
      </c>
      <c r="P125" s="50" t="str">
        <f t="shared" si="4"/>
        <v/>
      </c>
    </row>
    <row r="126" spans="1:16">
      <c r="A126" s="57">
        <f t="shared" si="5"/>
        <v>113</v>
      </c>
      <c r="B126" s="68"/>
      <c r="C126" s="68"/>
      <c r="D126" s="68"/>
      <c r="E126" s="68"/>
      <c r="F126" s="152"/>
      <c r="G126" s="67"/>
      <c r="H126" s="65"/>
      <c r="I126" s="152"/>
      <c r="J126" s="65"/>
      <c r="K126" s="65" t="s">
        <v>106</v>
      </c>
      <c r="L126" s="112"/>
      <c r="M126" s="58"/>
      <c r="N126" s="66" t="e">
        <f>IF(OR(AND(CodeFileListUsed="Yes",#REF!="",COUNTA(B126:C126,D126:F126)&lt;&gt;0),AND(COUNTA(B126:C126,D126:F126)&lt;&gt;0, COUNTA(B126:C126,D126:F126)&lt;&gt;COUNTA(B$13:C$13,D$13:F$13))),CheckErr,CheckOK)</f>
        <v>#REF!</v>
      </c>
      <c r="O126" s="50" t="str">
        <f t="shared" si="3"/>
        <v/>
      </c>
      <c r="P126" s="50" t="str">
        <f t="shared" si="4"/>
        <v/>
      </c>
    </row>
    <row r="127" spans="1:16">
      <c r="A127" s="57">
        <f t="shared" si="5"/>
        <v>114</v>
      </c>
      <c r="B127" s="68"/>
      <c r="C127" s="68"/>
      <c r="D127" s="68"/>
      <c r="E127" s="68"/>
      <c r="F127" s="152"/>
      <c r="G127" s="67"/>
      <c r="H127" s="65"/>
      <c r="I127" s="152"/>
      <c r="J127" s="65"/>
      <c r="K127" s="65" t="s">
        <v>106</v>
      </c>
      <c r="L127" s="112"/>
      <c r="M127" s="58"/>
      <c r="N127" s="66" t="e">
        <f>IF(OR(AND(CodeFileListUsed="Yes",#REF!="",COUNTA(B127:C127,D127:F127)&lt;&gt;0),AND(COUNTA(B127:C127,D127:F127)&lt;&gt;0, COUNTA(B127:C127,D127:F127)&lt;&gt;COUNTA(B$13:C$13,D$13:F$13))),CheckErr,CheckOK)</f>
        <v>#REF!</v>
      </c>
      <c r="O127" s="50" t="str">
        <f t="shared" si="3"/>
        <v/>
      </c>
      <c r="P127" s="50" t="str">
        <f t="shared" si="4"/>
        <v/>
      </c>
    </row>
    <row r="128" spans="1:16">
      <c r="A128" s="57">
        <f t="shared" si="5"/>
        <v>115</v>
      </c>
      <c r="B128" s="68"/>
      <c r="C128" s="68"/>
      <c r="D128" s="68"/>
      <c r="E128" s="68"/>
      <c r="F128" s="152"/>
      <c r="G128" s="67"/>
      <c r="H128" s="65"/>
      <c r="I128" s="152"/>
      <c r="J128" s="65"/>
      <c r="K128" s="65" t="s">
        <v>106</v>
      </c>
      <c r="L128" s="112"/>
      <c r="M128" s="58"/>
      <c r="N128" s="66" t="e">
        <f>IF(OR(AND(CodeFileListUsed="Yes",#REF!="",COUNTA(B128:C128,D128:F128)&lt;&gt;0),AND(COUNTA(B128:C128,D128:F128)&lt;&gt;0, COUNTA(B128:C128,D128:F128)&lt;&gt;COUNTA(B$13:C$13,D$13:F$13))),CheckErr,CheckOK)</f>
        <v>#REF!</v>
      </c>
      <c r="O128" s="50" t="str">
        <f t="shared" si="3"/>
        <v/>
      </c>
      <c r="P128" s="50" t="str">
        <f t="shared" si="4"/>
        <v/>
      </c>
    </row>
    <row r="129" spans="1:16">
      <c r="A129" s="57">
        <f t="shared" si="5"/>
        <v>116</v>
      </c>
      <c r="B129" s="68"/>
      <c r="C129" s="68"/>
      <c r="D129" s="68"/>
      <c r="E129" s="68"/>
      <c r="F129" s="152"/>
      <c r="G129" s="67"/>
      <c r="H129" s="65"/>
      <c r="I129" s="152"/>
      <c r="J129" s="65"/>
      <c r="K129" s="65" t="s">
        <v>106</v>
      </c>
      <c r="L129" s="112"/>
      <c r="M129" s="58"/>
      <c r="N129" s="66" t="e">
        <f>IF(OR(AND(CodeFileListUsed="Yes",#REF!="",COUNTA(B129:C129,D129:F129)&lt;&gt;0),AND(COUNTA(B129:C129,D129:F129)&lt;&gt;0, COUNTA(B129:C129,D129:F129)&lt;&gt;COUNTA(B$13:C$13,D$13:F$13))),CheckErr,CheckOK)</f>
        <v>#REF!</v>
      </c>
      <c r="O129" s="50" t="str">
        <f t="shared" si="3"/>
        <v/>
      </c>
      <c r="P129" s="50" t="str">
        <f t="shared" si="4"/>
        <v/>
      </c>
    </row>
    <row r="130" spans="1:16">
      <c r="A130" s="57">
        <f t="shared" si="5"/>
        <v>117</v>
      </c>
      <c r="B130" s="68"/>
      <c r="C130" s="68"/>
      <c r="D130" s="68"/>
      <c r="E130" s="68"/>
      <c r="F130" s="152"/>
      <c r="G130" s="67"/>
      <c r="H130" s="65"/>
      <c r="I130" s="152"/>
      <c r="J130" s="65"/>
      <c r="K130" s="65" t="s">
        <v>106</v>
      </c>
      <c r="L130" s="112"/>
      <c r="M130" s="58"/>
      <c r="N130" s="66" t="e">
        <f>IF(OR(AND(CodeFileListUsed="Yes",#REF!="",COUNTA(B130:C130,D130:F130)&lt;&gt;0),AND(COUNTA(B130:C130,D130:F130)&lt;&gt;0, COUNTA(B130:C130,D130:F130)&lt;&gt;COUNTA(B$13:C$13,D$13:F$13))),CheckErr,CheckOK)</f>
        <v>#REF!</v>
      </c>
      <c r="O130" s="50" t="str">
        <f t="shared" si="3"/>
        <v/>
      </c>
      <c r="P130" s="50" t="str">
        <f t="shared" si="4"/>
        <v/>
      </c>
    </row>
    <row r="131" spans="1:16">
      <c r="A131" s="57">
        <f t="shared" si="5"/>
        <v>118</v>
      </c>
      <c r="B131" s="68"/>
      <c r="C131" s="68"/>
      <c r="D131" s="68"/>
      <c r="E131" s="68"/>
      <c r="F131" s="152"/>
      <c r="G131" s="67"/>
      <c r="H131" s="65"/>
      <c r="I131" s="152"/>
      <c r="J131" s="65"/>
      <c r="K131" s="65" t="s">
        <v>106</v>
      </c>
      <c r="L131" s="112"/>
      <c r="M131" s="58"/>
      <c r="N131" s="66" t="e">
        <f>IF(OR(AND(CodeFileListUsed="Yes",#REF!="",COUNTA(B131:C131,D131:F131)&lt;&gt;0),AND(COUNTA(B131:C131,D131:F131)&lt;&gt;0, COUNTA(B131:C131,D131:F131)&lt;&gt;COUNTA(B$13:C$13,D$13:F$13))),CheckErr,CheckOK)</f>
        <v>#REF!</v>
      </c>
      <c r="O131" s="50" t="str">
        <f t="shared" si="3"/>
        <v/>
      </c>
      <c r="P131" s="50" t="str">
        <f t="shared" si="4"/>
        <v/>
      </c>
    </row>
    <row r="132" spans="1:16">
      <c r="A132" s="57">
        <f t="shared" si="5"/>
        <v>119</v>
      </c>
      <c r="B132" s="68"/>
      <c r="C132" s="68"/>
      <c r="D132" s="68"/>
      <c r="E132" s="68"/>
      <c r="F132" s="152"/>
      <c r="G132" s="67"/>
      <c r="H132" s="65"/>
      <c r="I132" s="152"/>
      <c r="J132" s="65"/>
      <c r="K132" s="65" t="s">
        <v>106</v>
      </c>
      <c r="L132" s="112"/>
      <c r="M132" s="58"/>
      <c r="N132" s="66" t="e">
        <f>IF(OR(AND(CodeFileListUsed="Yes",#REF!="",COUNTA(B132:C132,D132:F132)&lt;&gt;0),AND(COUNTA(B132:C132,D132:F132)&lt;&gt;0, COUNTA(B132:C132,D132:F132)&lt;&gt;COUNTA(B$13:C$13,D$13:F$13))),CheckErr,CheckOK)</f>
        <v>#REF!</v>
      </c>
      <c r="O132" s="50" t="str">
        <f t="shared" si="3"/>
        <v/>
      </c>
      <c r="P132" s="50" t="str">
        <f t="shared" si="4"/>
        <v/>
      </c>
    </row>
    <row r="133" spans="1:16">
      <c r="A133" s="57">
        <f t="shared" si="5"/>
        <v>120</v>
      </c>
      <c r="B133" s="68"/>
      <c r="C133" s="68"/>
      <c r="D133" s="68"/>
      <c r="E133" s="68"/>
      <c r="F133" s="152"/>
      <c r="G133" s="67"/>
      <c r="H133" s="65"/>
      <c r="I133" s="152"/>
      <c r="J133" s="65"/>
      <c r="K133" s="65" t="s">
        <v>106</v>
      </c>
      <c r="L133" s="112"/>
      <c r="M133" s="58"/>
      <c r="N133" s="66" t="e">
        <f>IF(OR(AND(CodeFileListUsed="Yes",#REF!="",COUNTA(B133:C133,D133:F133)&lt;&gt;0),AND(COUNTA(B133:C133,D133:F133)&lt;&gt;0, COUNTA(B133:C133,D133:F133)&lt;&gt;COUNTA(B$13:C$13,D$13:F$13))),CheckErr,CheckOK)</f>
        <v>#REF!</v>
      </c>
      <c r="O133" s="50" t="str">
        <f t="shared" si="3"/>
        <v/>
      </c>
      <c r="P133" s="50" t="str">
        <f t="shared" si="4"/>
        <v/>
      </c>
    </row>
    <row r="134" spans="1:16">
      <c r="A134" s="57">
        <f t="shared" si="5"/>
        <v>121</v>
      </c>
      <c r="B134" s="68"/>
      <c r="C134" s="68"/>
      <c r="D134" s="68"/>
      <c r="E134" s="68"/>
      <c r="F134" s="152"/>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
      </c>
      <c r="P134" s="50" t="str">
        <f t="shared" si="4"/>
        <v/>
      </c>
    </row>
    <row r="135" spans="1:16">
      <c r="A135" s="57">
        <f t="shared" si="5"/>
        <v>122</v>
      </c>
      <c r="B135" s="68"/>
      <c r="C135" s="68"/>
      <c r="D135" s="68"/>
      <c r="E135" s="68"/>
      <c r="F135" s="152"/>
      <c r="G135" s="67"/>
      <c r="H135" s="65"/>
      <c r="I135" s="152"/>
      <c r="J135" s="65"/>
      <c r="K135" s="65" t="s">
        <v>106</v>
      </c>
      <c r="L135" s="112"/>
      <c r="M135" s="58"/>
      <c r="N135" s="66" t="e">
        <f>IF(OR(AND(CodeFileListUsed="Yes",#REF!="",COUNTA(B135:C135,D135:F135)&lt;&gt;0),AND(COUNTA(B135:C135,D135:F135)&lt;&gt;0, COUNTA(B135:C135,D135:F135)&lt;&gt;COUNTA(B$13:C$13,D$13:F$13))),CheckErr,CheckOK)</f>
        <v>#REF!</v>
      </c>
      <c r="O135" s="50" t="str">
        <f t="shared" si="3"/>
        <v/>
      </c>
      <c r="P135" s="50" t="str">
        <f t="shared" si="4"/>
        <v/>
      </c>
    </row>
    <row r="136" spans="1:16">
      <c r="A136" s="57">
        <f t="shared" si="5"/>
        <v>123</v>
      </c>
      <c r="B136" s="68"/>
      <c r="C136" s="68"/>
      <c r="D136" s="68"/>
      <c r="E136" s="68"/>
      <c r="F136" s="152"/>
      <c r="G136" s="67"/>
      <c r="H136" s="65"/>
      <c r="I136" s="152"/>
      <c r="J136" s="65"/>
      <c r="K136" s="65" t="s">
        <v>106</v>
      </c>
      <c r="L136" s="112"/>
      <c r="M136" s="58"/>
      <c r="N136" s="66" t="e">
        <f>IF(OR(AND(CodeFileListUsed="Yes",#REF!="",COUNTA(B136:C136,D136:F136)&lt;&gt;0),AND(COUNTA(B136:C136,D136:F136)&lt;&gt;0, COUNTA(B136:C136,D136:F136)&lt;&gt;COUNTA(B$13:C$13,D$13:F$13))),CheckErr,CheckOK)</f>
        <v>#REF!</v>
      </c>
      <c r="O136" s="50" t="str">
        <f t="shared" si="3"/>
        <v/>
      </c>
      <c r="P136" s="50" t="str">
        <f t="shared" si="4"/>
        <v/>
      </c>
    </row>
    <row r="137" spans="1:16">
      <c r="A137" s="57">
        <f t="shared" si="5"/>
        <v>124</v>
      </c>
      <c r="B137" s="68"/>
      <c r="C137" s="68"/>
      <c r="D137" s="68"/>
      <c r="E137" s="68"/>
      <c r="F137" s="152"/>
      <c r="G137" s="67"/>
      <c r="H137" s="65"/>
      <c r="I137" s="152"/>
      <c r="J137" s="65"/>
      <c r="K137" s="65" t="s">
        <v>106</v>
      </c>
      <c r="L137" s="112"/>
      <c r="M137" s="58"/>
      <c r="N137" s="66" t="e">
        <f>IF(OR(AND(CodeFileListUsed="Yes",#REF!="",COUNTA(B137:C137,D137:F137)&lt;&gt;0),AND(COUNTA(B137:C137,D137:F137)&lt;&gt;0, COUNTA(B137:C137,D137:F137)&lt;&gt;COUNTA(B$13:C$13,D$13:F$13))),CheckErr,CheckOK)</f>
        <v>#REF!</v>
      </c>
      <c r="O137" s="50" t="str">
        <f t="shared" si="3"/>
        <v/>
      </c>
      <c r="P137" s="50" t="str">
        <f t="shared" si="4"/>
        <v/>
      </c>
    </row>
    <row r="138" spans="1:16">
      <c r="A138" s="57">
        <f t="shared" si="5"/>
        <v>125</v>
      </c>
      <c r="B138" s="68"/>
      <c r="C138" s="68"/>
      <c r="D138" s="68"/>
      <c r="E138" s="68"/>
      <c r="F138" s="152"/>
      <c r="G138" s="67"/>
      <c r="H138" s="65"/>
      <c r="I138" s="152"/>
      <c r="J138" s="65"/>
      <c r="K138" s="65" t="s">
        <v>106</v>
      </c>
      <c r="L138" s="112"/>
      <c r="M138" s="58"/>
      <c r="N138" s="66" t="e">
        <f>IF(OR(AND(CodeFileListUsed="Yes",#REF!="",COUNTA(B138:C138,D138:F138)&lt;&gt;0),AND(COUNTA(B138:C138,D138:F138)&lt;&gt;0, COUNTA(B138:C138,D138:F138)&lt;&gt;COUNTA(B$13:C$13,D$13:F$13))),CheckErr,CheckOK)</f>
        <v>#REF!</v>
      </c>
      <c r="O138" s="50" t="str">
        <f t="shared" si="3"/>
        <v/>
      </c>
      <c r="P138" s="50" t="str">
        <f t="shared" si="4"/>
        <v/>
      </c>
    </row>
    <row r="139" spans="1:16">
      <c r="A139" s="57">
        <f t="shared" si="5"/>
        <v>126</v>
      </c>
      <c r="B139" s="68"/>
      <c r="C139" s="68"/>
      <c r="D139" s="68"/>
      <c r="E139" s="68"/>
      <c r="F139" s="152"/>
      <c r="G139" s="67"/>
      <c r="H139" s="65"/>
      <c r="I139" s="152"/>
      <c r="J139" s="65"/>
      <c r="K139" s="65" t="s">
        <v>106</v>
      </c>
      <c r="L139" s="112"/>
      <c r="M139" s="58"/>
      <c r="N139" s="66" t="e">
        <f>IF(OR(AND(CodeFileListUsed="Yes",#REF!="",COUNTA(B139:C139,D139:F139)&lt;&gt;0),AND(COUNTA(B139:C139,D139:F139)&lt;&gt;0, COUNTA(B139:C139,D139:F139)&lt;&gt;COUNTA(B$13:C$13,D$13:F$13))),CheckErr,CheckOK)</f>
        <v>#REF!</v>
      </c>
      <c r="O139" s="50" t="str">
        <f t="shared" si="3"/>
        <v/>
      </c>
      <c r="P139" s="50" t="str">
        <f t="shared" si="4"/>
        <v/>
      </c>
    </row>
    <row r="140" spans="1:16">
      <c r="A140" s="57">
        <f t="shared" si="5"/>
        <v>127</v>
      </c>
      <c r="B140" s="68"/>
      <c r="C140" s="68"/>
      <c r="D140" s="68"/>
      <c r="E140" s="68"/>
      <c r="F140" s="152"/>
      <c r="G140" s="67"/>
      <c r="H140" s="65"/>
      <c r="I140" s="152"/>
      <c r="J140" s="65"/>
      <c r="K140" s="65" t="s">
        <v>106</v>
      </c>
      <c r="L140" s="112"/>
      <c r="M140" s="58"/>
      <c r="N140" s="66" t="e">
        <f>IF(OR(AND(CodeFileListUsed="Yes",#REF!="",COUNTA(B140:C140,D140:F140)&lt;&gt;0),AND(COUNTA(B140:C140,D140:F140)&lt;&gt;0, COUNTA(B140:C140,D140:F140)&lt;&gt;COUNTA(B$13:C$13,D$13:F$13))),CheckErr,CheckOK)</f>
        <v>#REF!</v>
      </c>
      <c r="O140" s="50" t="str">
        <f t="shared" si="3"/>
        <v/>
      </c>
      <c r="P140" s="50" t="str">
        <f t="shared" si="4"/>
        <v/>
      </c>
    </row>
    <row r="141" spans="1:16">
      <c r="A141" s="57">
        <f t="shared" si="5"/>
        <v>128</v>
      </c>
      <c r="B141" s="68"/>
      <c r="C141" s="68"/>
      <c r="D141" s="68"/>
      <c r="E141" s="68"/>
      <c r="F141" s="152"/>
      <c r="G141" s="67"/>
      <c r="H141" s="65"/>
      <c r="I141" s="152"/>
      <c r="J141" s="65"/>
      <c r="K141" s="65" t="s">
        <v>106</v>
      </c>
      <c r="L141" s="112"/>
      <c r="M141" s="58"/>
      <c r="N141" s="66" t="e">
        <f>IF(OR(AND(CodeFileListUsed="Yes",#REF!="",COUNTA(B141:C141,D141:F141)&lt;&gt;0),AND(COUNTA(B141:C141,D141:F141)&lt;&gt;0, COUNTA(B141:C141,D141:F141)&lt;&gt;COUNTA(B$13:C$13,D$13:F$13))),CheckErr,CheckOK)</f>
        <v>#REF!</v>
      </c>
      <c r="O141" s="50" t="str">
        <f t="shared" si="3"/>
        <v/>
      </c>
      <c r="P141" s="50" t="str">
        <f t="shared" si="4"/>
        <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0" t="s">
        <v>105</v>
      </c>
      <c r="B239" s="191"/>
      <c r="C239" s="191"/>
      <c r="D239" s="191"/>
      <c r="E239" s="191"/>
      <c r="F239" s="191"/>
      <c r="G239" s="191"/>
      <c r="H239" s="191"/>
      <c r="I239" s="191"/>
      <c r="J239" s="191"/>
      <c r="K239" s="191"/>
      <c r="L239" s="191"/>
      <c r="M239" s="191"/>
      <c r="N239" s="191"/>
      <c r="O239" s="191"/>
      <c r="P239" s="191"/>
    </row>
  </sheetData>
  <sheetProtection insertRows="0"/>
  <autoFilter ref="A13:P239">
    <filterColumn colId="3"/>
    <filterColumn colId="5"/>
    <filterColumn colId="7"/>
    <filterColumn colId="9">
      <filters blank="1"/>
    </filterColumn>
    <filterColumn colId="10">
      <filters blank="1">
        <filter val="-"/>
      </filters>
    </filterColumn>
  </autoFilter>
  <mergeCells count="17">
    <mergeCell ref="D3:J3"/>
    <mergeCell ref="D10:J10"/>
    <mergeCell ref="A3:C3"/>
    <mergeCell ref="A4:C4"/>
    <mergeCell ref="D4:F4"/>
    <mergeCell ref="A239:P239"/>
    <mergeCell ref="A9:D9"/>
    <mergeCell ref="D5:F5"/>
    <mergeCell ref="D6:F6"/>
    <mergeCell ref="A6:C6"/>
    <mergeCell ref="D11:E11"/>
    <mergeCell ref="H11:J11"/>
    <mergeCell ref="A5:C5"/>
    <mergeCell ref="A7:C7"/>
    <mergeCell ref="D7:F7"/>
    <mergeCell ref="A8:C8"/>
    <mergeCell ref="D8:F8"/>
  </mergeCells>
  <conditionalFormatting sqref="N4:N5 O1:P238 N14:N238 N240:P65536">
    <cfRule type="cellIs" dxfId="14" priority="11" stopIfTrue="1" operator="equal">
      <formula>CheckErr</formula>
    </cfRule>
  </conditionalFormatting>
  <conditionalFormatting sqref="L14:L238">
    <cfRule type="expression" dxfId="13" priority="2" stopIfTrue="1">
      <formula>$P14=CheckErr</formula>
    </cfRule>
  </conditionalFormatting>
  <conditionalFormatting sqref="H14:K238">
    <cfRule type="expression" dxfId="12" priority="18" stopIfTrue="1">
      <formula>$O14=CheckErr</formula>
    </cfRule>
  </conditionalFormatting>
  <conditionalFormatting sqref="D4:F5 B14:F238">
    <cfRule type="expression" dxfId="11"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09" t="s">
        <v>518</v>
      </c>
      <c r="C1" s="211"/>
      <c r="D1" s="209" t="s">
        <v>324</v>
      </c>
      <c r="E1" s="210"/>
      <c r="F1" s="209" t="s">
        <v>407</v>
      </c>
      <c r="G1" s="210"/>
      <c r="H1" s="209" t="s">
        <v>445</v>
      </c>
      <c r="I1" s="210"/>
      <c r="J1" s="209" t="s">
        <v>553</v>
      </c>
      <c r="K1" s="210"/>
      <c r="L1" s="209" t="s">
        <v>524</v>
      </c>
      <c r="M1" s="210"/>
      <c r="N1" s="209" t="s">
        <v>479</v>
      </c>
      <c r="O1" s="210"/>
      <c r="P1" s="209" t="s">
        <v>143</v>
      </c>
      <c r="Q1" s="210"/>
      <c r="R1" s="212" t="s">
        <v>193</v>
      </c>
      <c r="S1" s="161" t="s">
        <v>389</v>
      </c>
    </row>
    <row r="2" spans="1:19" ht="13.5" customHeight="1">
      <c r="A2" s="160" t="s">
        <v>140</v>
      </c>
      <c r="B2" s="209" t="s">
        <v>550</v>
      </c>
      <c r="C2" s="211"/>
      <c r="D2" s="209" t="s">
        <v>325</v>
      </c>
      <c r="E2" s="210"/>
      <c r="F2" s="209" t="s">
        <v>406</v>
      </c>
      <c r="G2" s="210"/>
      <c r="H2" s="209" t="s">
        <v>552</v>
      </c>
      <c r="I2" s="210"/>
      <c r="J2" s="209" t="s">
        <v>552</v>
      </c>
      <c r="K2" s="210"/>
      <c r="L2" s="209" t="s">
        <v>552</v>
      </c>
      <c r="M2" s="210"/>
      <c r="N2" s="209" t="s">
        <v>552</v>
      </c>
      <c r="O2" s="210"/>
      <c r="P2" s="209" t="s">
        <v>401</v>
      </c>
      <c r="Q2" s="210"/>
      <c r="R2" s="213"/>
      <c r="S2" s="161"/>
    </row>
    <row r="3" spans="1:19" ht="13.5" customHeight="1">
      <c r="A3" s="160" t="s">
        <v>141</v>
      </c>
      <c r="B3" s="209" t="s">
        <v>551</v>
      </c>
      <c r="C3" s="211"/>
      <c r="D3" s="209" t="s">
        <v>326</v>
      </c>
      <c r="E3" s="210"/>
      <c r="F3" s="209" t="s">
        <v>144</v>
      </c>
      <c r="G3" s="210"/>
      <c r="H3" s="209" t="s">
        <v>144</v>
      </c>
      <c r="I3" s="210"/>
      <c r="J3" s="209" t="s">
        <v>144</v>
      </c>
      <c r="K3" s="210"/>
      <c r="L3" s="209" t="s">
        <v>144</v>
      </c>
      <c r="M3" s="210"/>
      <c r="N3" s="209" t="s">
        <v>554</v>
      </c>
      <c r="O3" s="210"/>
      <c r="P3" s="209" t="s">
        <v>144</v>
      </c>
      <c r="Q3" s="210"/>
      <c r="R3" s="214"/>
      <c r="S3" s="161"/>
    </row>
    <row r="4" spans="1:19" ht="14.25" customHeight="1" thickBot="1">
      <c r="A4" s="160" t="s">
        <v>364</v>
      </c>
      <c r="B4" s="209" t="s">
        <v>374</v>
      </c>
      <c r="C4" s="211"/>
      <c r="D4" s="209" t="s">
        <v>390</v>
      </c>
      <c r="E4" s="210"/>
      <c r="F4" s="209" t="s">
        <v>440</v>
      </c>
      <c r="G4" s="210"/>
      <c r="H4" s="209" t="s">
        <v>440</v>
      </c>
      <c r="I4" s="210"/>
      <c r="J4" s="209" t="s">
        <v>549</v>
      </c>
      <c r="K4" s="210"/>
      <c r="L4" s="209" t="s">
        <v>440</v>
      </c>
      <c r="M4" s="210"/>
      <c r="N4" s="209" t="s">
        <v>480</v>
      </c>
      <c r="O4" s="210"/>
      <c r="P4" s="209" t="s">
        <v>390</v>
      </c>
      <c r="Q4" s="210"/>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5" t="str">
        <f>'Calling Notice'!B9</f>
        <v>&lt;Item Size&gt;</v>
      </c>
      <c r="C2" s="215"/>
    </row>
    <row r="3" spans="1:11" ht="24">
      <c r="A3" s="32" t="str">
        <f>'Calling Notice'!A10</f>
        <v>Item Size (Modified)</v>
      </c>
      <c r="B3" s="215" t="str">
        <f>'Calling Notice'!B10</f>
        <v>&lt;Item Size&gt;</v>
      </c>
      <c r="C3" s="215"/>
      <c r="E3" s="117" t="str">
        <f>IF(CaptureEffortData,"","THERE IS NO NEED TO FILL IN THIS SHEET")</f>
        <v/>
      </c>
    </row>
    <row r="4" spans="1:11">
      <c r="A4" s="32" t="str">
        <f>'Calling Notice'!A11</f>
        <v>Item Size (Deleted)</v>
      </c>
      <c r="B4" s="215" t="str">
        <f>'Calling Notice'!B11</f>
        <v>&lt;Item Size&gt;</v>
      </c>
      <c r="C4" s="215"/>
    </row>
    <row r="5" spans="1:11">
      <c r="A5" s="32" t="str">
        <f>'Calling Notice'!A12</f>
        <v>Item Size Units</v>
      </c>
      <c r="B5" s="215" t="str">
        <f>'Calling Notice'!B12</f>
        <v>&lt;Item Size Units&gt;</v>
      </c>
      <c r="C5" s="215"/>
    </row>
    <row r="6" spans="1:11">
      <c r="A6" s="118" t="s">
        <v>161</v>
      </c>
      <c r="B6" s="215" t="str">
        <f>IF(SUM(B2:B4)=0,"&lt;Item Size&gt;",SUM(B2:B4))</f>
        <v>&lt;Item Size&gt;</v>
      </c>
      <c r="C6" s="215"/>
    </row>
    <row r="8" spans="1:11" ht="21">
      <c r="A8" s="114" t="s">
        <v>104</v>
      </c>
      <c r="B8" s="114"/>
    </row>
    <row r="9" spans="1:11">
      <c r="A9" s="119"/>
      <c r="B9" s="120"/>
    </row>
    <row r="10" spans="1:11" ht="24" customHeight="1">
      <c r="A10" s="216" t="s">
        <v>103</v>
      </c>
      <c r="B10" s="217"/>
      <c r="C10" s="37">
        <f>SUM(C14:C23)</f>
        <v>0</v>
      </c>
      <c r="D10" s="49"/>
      <c r="E10" s="121"/>
    </row>
    <row r="11" spans="1:11">
      <c r="A11" s="218" t="s">
        <v>102</v>
      </c>
      <c r="B11" s="219"/>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1" t="s">
        <v>92</v>
      </c>
      <c r="B24" s="221"/>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55</v>
      </c>
      <c r="H25" s="137">
        <f>COUNTIF(DevCommentStatuses,H$12)</f>
        <v>13</v>
      </c>
      <c r="I25" s="137">
        <f>COUNTIF(DevCommentStatuses,I$12)</f>
        <v>0</v>
      </c>
      <c r="J25" s="137">
        <f>COUNTIF(DevCommentStatuses,J$12)</f>
        <v>4</v>
      </c>
      <c r="K25" s="43" t="str">
        <f>IF(AND(F25=G25+H25+I25+J25,F24=F25,G24=G25,H24=H25,I24=I25,J24=J25),CheckOK,CheckErr)</f>
        <v>!</v>
      </c>
    </row>
    <row r="27" spans="1:11" ht="21">
      <c r="A27" s="114" t="s">
        <v>162</v>
      </c>
    </row>
    <row r="28" spans="1:11">
      <c r="A28" s="216" t="str">
        <f>A27</f>
        <v>Time Spent Reworking</v>
      </c>
      <c r="B28" s="217"/>
      <c r="C28" s="37">
        <f>SUM(C32:C36)</f>
        <v>0</v>
      </c>
    </row>
    <row r="29" spans="1:11">
      <c r="A29" s="218" t="s">
        <v>102</v>
      </c>
      <c r="B29" s="219"/>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1" t="s">
        <v>92</v>
      </c>
      <c r="B37" s="221"/>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55</v>
      </c>
      <c r="H38" s="137">
        <f>COUNTIF(DevCommentStatuses,H$12)</f>
        <v>13</v>
      </c>
      <c r="I38" s="137">
        <f>COUNTIF(DevCommentStatuses,I$12)</f>
        <v>0</v>
      </c>
      <c r="J38" s="137">
        <f>COUNTIF(DevCommentStatuses,J$12)</f>
        <v>4</v>
      </c>
      <c r="K38" s="43" t="str">
        <f>IF(AND(F38=G38+H38+I38+J38,F37=F38,G37=G38,H37=H38,I37=I38,J37=J38),CheckOK,CheckErr)</f>
        <v>!</v>
      </c>
    </row>
    <row r="40" spans="1:11" ht="21">
      <c r="A40" s="114" t="s">
        <v>163</v>
      </c>
    </row>
    <row r="42" spans="1:11">
      <c r="A42" s="216" t="str">
        <f>A40</f>
        <v>Time Spent Moderating</v>
      </c>
      <c r="B42" s="217"/>
      <c r="C42" s="37">
        <f>SUM(C46:C50)</f>
        <v>0</v>
      </c>
    </row>
    <row r="43" spans="1:11">
      <c r="A43" s="218" t="s">
        <v>102</v>
      </c>
      <c r="B43" s="219"/>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1" t="s">
        <v>92</v>
      </c>
      <c r="B51" s="221"/>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55</v>
      </c>
      <c r="H52" s="137">
        <f>COUNTIF(DevCommentStatuses,H$12)</f>
        <v>13</v>
      </c>
      <c r="I52" s="137">
        <f>COUNTIF(DevCommentStatuses,I$12)</f>
        <v>0</v>
      </c>
      <c r="J52" s="137">
        <f>COUNTIF(DevCommentStatuses,J$12)</f>
        <v>4</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8" t="str">
        <f>CONCATENATE('Calling Notice'!$B$3,", ",'Calling Notice'!$B$4,", ",'Calling Notice'!$B$5," ",'Calling Notice'!$B$6,", ",TEXT('Calling Notice'!$B$7,"dd MMMM yyyy"))</f>
        <v>&lt;Title&gt;, &lt;S.Pnnnn.nn.n&gt; or &lt;CM System path&gt;, &lt;Issue n.n&gt; or &lt;CM System revision number&gt; &lt;Status&gt;, dd MMMM yyyy</v>
      </c>
      <c r="C3" s="238"/>
      <c r="D3" s="238"/>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13</v>
      </c>
      <c r="C8" s="39">
        <f>IF($B$5&lt;&gt;0,B8/$B$5,0)</f>
        <v>0.1368421052631579</v>
      </c>
    </row>
    <row r="9" spans="1:5">
      <c r="A9" s="16" t="s">
        <v>132</v>
      </c>
      <c r="B9" s="37">
        <f>COUNTIF(DevCommentStatuses,A9)</f>
        <v>0</v>
      </c>
      <c r="C9" s="39">
        <f>IF($B$5&lt;&gt;0,B9/$B$5,0)</f>
        <v>0</v>
      </c>
    </row>
    <row r="10" spans="1:5" ht="14.25" thickBot="1">
      <c r="A10" s="38" t="s">
        <v>85</v>
      </c>
      <c r="B10" s="37">
        <f>COUNTIF(DevCommentStatuses,A10)</f>
        <v>4</v>
      </c>
      <c r="C10" s="36">
        <f>IF($B$5&lt;&gt;0,B10/$B$5,0)</f>
        <v>4.2105263157894736E-2</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41" t="str">
        <f>Metrics!C11</f>
        <v>0 hour(s) and 0 minutes</v>
      </c>
      <c r="C16" s="242"/>
    </row>
    <row r="17" spans="1:5" hidden="1">
      <c r="A17" s="16" t="s">
        <v>82</v>
      </c>
      <c r="B17" s="234" t="str">
        <f>Metrics!C29</f>
        <v>0 hour(s) and 0 minutes</v>
      </c>
      <c r="C17" s="235"/>
    </row>
    <row r="18" spans="1:5" hidden="1">
      <c r="A18" s="16" t="s">
        <v>82</v>
      </c>
      <c r="B18" s="234" t="str">
        <f>Metrics!C43</f>
        <v>0 hour(s) and 0 minutes</v>
      </c>
      <c r="C18" s="235"/>
    </row>
    <row r="19" spans="1:5" hidden="1"/>
    <row r="20" spans="1:5" hidden="1"/>
    <row r="21" spans="1:5" hidden="1"/>
    <row r="23" spans="1:5" ht="21">
      <c r="A23" s="10" t="s">
        <v>81</v>
      </c>
    </row>
    <row r="25" spans="1:5">
      <c r="A25" s="104" t="s">
        <v>80</v>
      </c>
      <c r="B25" s="239"/>
      <c r="C25" s="239"/>
      <c r="D25" s="239"/>
      <c r="E25" s="9" t="str">
        <f>IF(ISBLANK(B25),CheckErr,CheckOK)</f>
        <v>!</v>
      </c>
    </row>
    <row r="26" spans="1:5">
      <c r="A26" s="94" t="s">
        <v>79</v>
      </c>
      <c r="B26" s="236" t="s">
        <v>27</v>
      </c>
      <c r="C26" s="237"/>
      <c r="D26" s="237"/>
      <c r="E26" s="9" t="str">
        <f>IF(OR(LEFT(B26,1)="&lt;",COUNTIF(Blanks,B26)&gt;0),CheckErr,CheckOK)</f>
        <v>!</v>
      </c>
    </row>
    <row r="28" spans="1:5">
      <c r="A28" s="94" t="s">
        <v>191</v>
      </c>
      <c r="B28" s="231" t="s">
        <v>192</v>
      </c>
      <c r="C28" s="232"/>
      <c r="D28" s="233"/>
      <c r="E28" s="5" t="str">
        <f>IF(OR(LEFT(B28,1)="&lt;",COUNTIF(Blanks,B28)&gt;0),CheckErr,CheckOK)</f>
        <v>!</v>
      </c>
    </row>
    <row r="29" spans="1:5">
      <c r="A29" s="94" t="s">
        <v>78</v>
      </c>
      <c r="B29" s="240" t="s">
        <v>77</v>
      </c>
      <c r="C29" s="239"/>
      <c r="D29" s="239"/>
      <c r="E29" s="9" t="str">
        <f>IF(OR(LEFT(B29,1)="&lt;",COUNTIF(Blanks,B29)&gt;0),CheckErr,CheckOK)</f>
        <v>!</v>
      </c>
    </row>
    <row r="30" spans="1:5">
      <c r="A30" s="94" t="s">
        <v>76</v>
      </c>
      <c r="B30" s="236" t="s">
        <v>27</v>
      </c>
      <c r="C30" s="237"/>
      <c r="D30" s="237"/>
      <c r="E30" s="9" t="str">
        <f>IF(OR(LEFT(B30,1)="&lt;",COUNTIF(Blanks,B30)&gt;0),CheckErr,CheckOK)</f>
        <v>!</v>
      </c>
    </row>
    <row r="32" spans="1:5">
      <c r="A32" s="94" t="s">
        <v>383</v>
      </c>
      <c r="B32" s="240" t="s">
        <v>77</v>
      </c>
      <c r="C32" s="239"/>
      <c r="D32" s="239"/>
      <c r="E32" s="9" t="e">
        <f>IF(Checklist_FailSafety&gt;0,CheckErr,CheckOK)</f>
        <v>#REF!</v>
      </c>
    </row>
    <row r="33" spans="1:6">
      <c r="A33" s="94" t="s">
        <v>384</v>
      </c>
      <c r="B33" s="236" t="s">
        <v>27</v>
      </c>
      <c r="C33" s="237"/>
      <c r="D33" s="237"/>
      <c r="E33" s="9" t="e">
        <f>IF(Checklist_FailSafety&gt;0,CheckErr,CheckOK)</f>
        <v>#REF!</v>
      </c>
    </row>
    <row r="35" spans="1:6">
      <c r="A35" s="94" t="s">
        <v>385</v>
      </c>
      <c r="B35" s="240" t="s">
        <v>77</v>
      </c>
      <c r="C35" s="239"/>
      <c r="D35" s="239"/>
      <c r="E35" s="9" t="e">
        <f>IF(Checklist_FailTechnical,CheckErr,CheckOK)</f>
        <v>#REF!</v>
      </c>
    </row>
    <row r="36" spans="1:6">
      <c r="A36" s="94" t="s">
        <v>386</v>
      </c>
      <c r="B36" s="236" t="s">
        <v>27</v>
      </c>
      <c r="C36" s="237"/>
      <c r="D36" s="237"/>
      <c r="E36" s="9" t="e">
        <f>IF(Checklist_FailTechnical,CheckErr,CheckOK)</f>
        <v>#REF!</v>
      </c>
    </row>
    <row r="39" spans="1:6" ht="21">
      <c r="A39" s="31" t="s">
        <v>75</v>
      </c>
    </row>
    <row r="41" spans="1:6" ht="29.25" customHeight="1">
      <c r="A41" s="227" t="s">
        <v>135</v>
      </c>
      <c r="B41" s="227"/>
      <c r="C41" s="227"/>
      <c r="D41" s="227"/>
      <c r="E41" s="227"/>
      <c r="F41" s="227"/>
    </row>
    <row r="43" spans="1:6">
      <c r="A43" s="81" t="s">
        <v>74</v>
      </c>
      <c r="B43" s="81" t="s">
        <v>73</v>
      </c>
      <c r="C43" s="30" t="s">
        <v>72</v>
      </c>
      <c r="D43" s="81" t="s">
        <v>71</v>
      </c>
      <c r="E43" s="230" t="s">
        <v>70</v>
      </c>
      <c r="F43" s="230"/>
    </row>
    <row r="44" spans="1:6">
      <c r="A44" s="28" t="s">
        <v>69</v>
      </c>
      <c r="B44" s="28" t="s">
        <v>68</v>
      </c>
      <c r="C44" s="29" t="s">
        <v>67</v>
      </c>
      <c r="D44" s="28" t="str">
        <f t="shared" ref="D44:D54" ca="1" si="0">IF(COUNTIF(INDIRECT("'" &amp; B44 &amp; "'!$" &amp; C44 &amp; ":$" &amp; C44),CheckErr)=0,StatusConsistent,StatusInconsistent)</f>
        <v>Inconsistent</v>
      </c>
      <c r="E44" s="226"/>
      <c r="F44" s="226"/>
    </row>
    <row r="45" spans="1:6">
      <c r="A45" s="28" t="s">
        <v>66</v>
      </c>
      <c r="B45" s="28" t="s">
        <v>201</v>
      </c>
      <c r="C45" s="29" t="s">
        <v>65</v>
      </c>
      <c r="D45" s="28" t="str">
        <f ca="1">IF(COUNTIF(INDIRECT("'" &amp; B45 &amp; "'!$" &amp; C45 &amp; ":$" &amp; C45),CheckErr)=0,StatusConsistent,StatusInconsistent)</f>
        <v>Consistent</v>
      </c>
      <c r="E45" s="226"/>
      <c r="F45" s="226"/>
    </row>
    <row r="46" spans="1:6">
      <c r="A46" s="28" t="s">
        <v>66</v>
      </c>
      <c r="B46" s="28" t="s">
        <v>62</v>
      </c>
      <c r="C46" s="29" t="s">
        <v>442</v>
      </c>
      <c r="D46" s="28" t="str">
        <f t="shared" ca="1" si="0"/>
        <v>Inconsistent</v>
      </c>
      <c r="E46" s="226"/>
      <c r="F46" s="226"/>
    </row>
    <row r="47" spans="1:6">
      <c r="A47" s="28" t="s">
        <v>66</v>
      </c>
      <c r="B47" s="28" t="s">
        <v>159</v>
      </c>
      <c r="C47" s="29" t="s">
        <v>391</v>
      </c>
      <c r="D47" s="28" t="e">
        <f t="shared" ca="1" si="0"/>
        <v>#REF!</v>
      </c>
      <c r="E47" s="223"/>
      <c r="F47" s="224"/>
    </row>
    <row r="48" spans="1:6">
      <c r="A48" s="28" t="s">
        <v>64</v>
      </c>
      <c r="B48" s="28" t="s">
        <v>62</v>
      </c>
      <c r="C48" s="29" t="s">
        <v>443</v>
      </c>
      <c r="D48" s="28" t="str">
        <f t="shared" ca="1" si="0"/>
        <v>Consistent</v>
      </c>
      <c r="E48" s="226"/>
      <c r="F48" s="226"/>
    </row>
    <row r="49" spans="1:6" hidden="1">
      <c r="A49" s="28" t="s">
        <v>64</v>
      </c>
      <c r="B49" s="28" t="s">
        <v>63</v>
      </c>
      <c r="C49" s="29" t="s">
        <v>65</v>
      </c>
      <c r="D49" s="28" t="str">
        <f ca="1">IF(COUNTIF(INDIRECT("'" &amp; B49 &amp; "'!$" &amp; C49 &amp; ":$" &amp; C49),CheckErr)=0,StatusConsistent,IF(CaptureEffortData, StatusInconsistent,StatusConsistent))</f>
        <v>Consistent</v>
      </c>
      <c r="E49" s="226"/>
      <c r="F49" s="226"/>
    </row>
    <row r="50" spans="1:6" hidden="1">
      <c r="A50" s="28" t="s">
        <v>64</v>
      </c>
      <c r="B50" s="28" t="s">
        <v>63</v>
      </c>
      <c r="C50" s="29" t="s">
        <v>204</v>
      </c>
      <c r="D50" s="28" t="str">
        <f ca="1">IF(COUNTIF(INDIRECT("'" &amp; B50 &amp; "'!$" &amp; C50 &amp; ":$" &amp; C50),CheckErr)=0,StatusConsistent,IF(CaptureEffortData, StatusInconsistent,StatusConsistent))</f>
        <v>Inconsistent</v>
      </c>
      <c r="E50" s="226"/>
      <c r="F50" s="226"/>
    </row>
    <row r="51" spans="1:6">
      <c r="A51" s="28" t="s">
        <v>61</v>
      </c>
      <c r="B51" s="28" t="s">
        <v>201</v>
      </c>
      <c r="C51" s="29" t="s">
        <v>59</v>
      </c>
      <c r="D51" s="28" t="str">
        <f ca="1">IF(COUNTIF(INDIRECT("'" &amp; B51 &amp; "'!$" &amp; C51 &amp; ":$" &amp; C51),CheckErr)=0,StatusConsistent,StatusInconsistent)</f>
        <v>Consistent</v>
      </c>
      <c r="E51" s="223"/>
      <c r="F51" s="224"/>
    </row>
    <row r="52" spans="1:6">
      <c r="A52" s="28" t="s">
        <v>61</v>
      </c>
      <c r="B52" s="28" t="s">
        <v>62</v>
      </c>
      <c r="C52" s="29" t="s">
        <v>187</v>
      </c>
      <c r="D52" s="28" t="str">
        <f t="shared" ca="1" si="0"/>
        <v>Consistent</v>
      </c>
      <c r="E52" s="226"/>
      <c r="F52" s="226"/>
    </row>
    <row r="53" spans="1:6">
      <c r="A53" s="28" t="s">
        <v>61</v>
      </c>
      <c r="B53" s="28" t="s">
        <v>159</v>
      </c>
      <c r="C53" s="29" t="s">
        <v>444</v>
      </c>
      <c r="D53" s="28" t="e">
        <f ca="1">IF(COUNTIF(INDIRECT("'" &amp; B53 &amp; "'!$" &amp; C53 &amp; ":$" &amp; C53),CheckErr)=0,StatusConsistent,StatusInconsistent)</f>
        <v>#REF!</v>
      </c>
      <c r="E53" s="223"/>
      <c r="F53" s="224"/>
    </row>
    <row r="54" spans="1:6">
      <c r="A54" s="28" t="s">
        <v>61</v>
      </c>
      <c r="B54" s="28" t="s">
        <v>60</v>
      </c>
      <c r="C54" s="29" t="s">
        <v>59</v>
      </c>
      <c r="D54" s="28" t="str">
        <f t="shared" ca="1" si="0"/>
        <v>Inconsistent</v>
      </c>
      <c r="E54" s="226"/>
      <c r="F54" s="226"/>
    </row>
    <row r="56" spans="1:6">
      <c r="A56" s="9" t="s">
        <v>58</v>
      </c>
    </row>
    <row r="57" spans="1:6">
      <c r="B57" s="20" t="s">
        <v>57</v>
      </c>
      <c r="C57" s="227" t="s">
        <v>56</v>
      </c>
      <c r="D57" s="227"/>
      <c r="E57" s="227"/>
      <c r="F57" s="227"/>
    </row>
    <row r="58" spans="1:6">
      <c r="B58" s="27" t="s">
        <v>55</v>
      </c>
      <c r="C58" s="227" t="s">
        <v>54</v>
      </c>
      <c r="D58" s="227"/>
      <c r="E58" s="227"/>
      <c r="F58" s="227"/>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28" t="s">
        <v>52</v>
      </c>
      <c r="B65" s="228"/>
      <c r="C65" s="228"/>
      <c r="D65" s="228"/>
      <c r="E65" s="111"/>
      <c r="F65" s="22" t="s">
        <v>51</v>
      </c>
    </row>
    <row r="66" spans="1:6" hidden="1"/>
    <row r="67" spans="1:6" hidden="1">
      <c r="A67" s="9" t="s">
        <v>50</v>
      </c>
      <c r="E67" s="229"/>
      <c r="F67" s="229"/>
    </row>
    <row r="68" spans="1:6" hidden="1"/>
    <row r="69" spans="1:6" hidden="1">
      <c r="A69" s="9" t="s">
        <v>49</v>
      </c>
    </row>
    <row r="70" spans="1:6" hidden="1"/>
    <row r="71" spans="1:6" hidden="1">
      <c r="A71" s="81" t="s">
        <v>48</v>
      </c>
      <c r="B71" s="230" t="s">
        <v>47</v>
      </c>
      <c r="C71" s="230"/>
    </row>
    <row r="72" spans="1:6" hidden="1">
      <c r="A72" s="82" t="s">
        <v>46</v>
      </c>
      <c r="B72" s="222" t="s">
        <v>27</v>
      </c>
      <c r="C72" s="222"/>
    </row>
    <row r="73" spans="1:6" hidden="1">
      <c r="A73" s="82" t="s">
        <v>45</v>
      </c>
      <c r="B73" s="222" t="s">
        <v>203</v>
      </c>
      <c r="C73" s="222"/>
    </row>
    <row r="74" spans="1:6" hidden="1">
      <c r="A74" s="225" t="s">
        <v>44</v>
      </c>
      <c r="B74" s="225"/>
      <c r="C74" s="225"/>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13</v>
      </c>
    </row>
    <row r="53" spans="1:2">
      <c r="A53" s="91" t="str">
        <f>"RRR_Total_"&amp;'Summary and Sign Off'!A9</f>
        <v>RRR_Total_Duplicate</v>
      </c>
      <c r="B53">
        <f>'Summary and Sign Off'!B9</f>
        <v>0</v>
      </c>
    </row>
    <row r="54" spans="1:2">
      <c r="A54" s="91" t="str">
        <f>"RRR_Total_"&amp;'Summary and Sign Off'!A10</f>
        <v>RRR_Total_Noted</v>
      </c>
      <c r="B54">
        <f>'Summary and Sign Off'!B10</f>
        <v>4</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95</v>
      </c>
    </row>
    <row r="65" spans="1:3">
      <c r="A65" s="91" t="s">
        <v>195</v>
      </c>
      <c r="B65">
        <f>CommentsToAction</f>
        <v>1</v>
      </c>
    </row>
    <row r="66" spans="1:3">
      <c r="A66" s="91" t="s">
        <v>196</v>
      </c>
      <c r="B66">
        <f>CommentsToSignOff</f>
        <v>1</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2013-02-18T17:25:14Z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13</vt:lpwstr>
  </property>
  <property fmtid="{D5CDD505-2E9C-101B-9397-08002B2CF9AE}" pid="40" name="RRR_Total_Duplicate">
    <vt:lpwstr>0</vt:lpwstr>
  </property>
  <property fmtid="{D5CDD505-2E9C-101B-9397-08002B2CF9AE}" pid="41" name="RRR_Total_Noted">
    <vt:lpwstr>4</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95</vt:lpwstr>
  </property>
  <property fmtid="{D5CDD505-2E9C-101B-9397-08002B2CF9AE}" pid="47" name="RRR_CommentsToAction">
    <vt:lpwstr>1</vt:lpwstr>
  </property>
  <property fmtid="{D5CDD505-2E9C-101B-9397-08002B2CF9AE}" pid="48" name="RRR_CommentsToSignOff">
    <vt:lpwstr>1</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