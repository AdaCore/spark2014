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620" windowHeight="16095" tabRatio="648" firstSheet="2" activeTab="3"/>
  </bookViews>
  <sheets>
    <sheet name="Usage" sheetId="16" r:id="rId1"/>
    <sheet name="Calling Notice" sheetId="17" r:id="rId2"/>
    <sheet name="File List" sheetId="22" r:id="rId3"/>
    <sheet name="Comments" sheetId="23" r:id="rId4"/>
    <sheet name="Checklists" sheetId="25" r:id="rId5"/>
    <sheet name="Metrics" sheetId="20" r:id="rId6"/>
    <sheet name="Summary and Sign Off" sheetId="19" r:id="rId7"/>
    <sheet name="CustomProperties" sheetId="15" state="hidden" r:id="rId8"/>
  </sheets>
  <definedNames>
    <definedName name="_xlnm._FilterDatabase" localSheetId="3" hidden="1">Comments!$A$13:$P$239</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#REF!</definedName>
    <definedName name="Checklist_FailSafety">#REF!</definedName>
    <definedName name="Checklist_FailStandards">#REF!</definedName>
    <definedName name="Checklist_FailTechnical">#REF!</definedName>
    <definedName name="Checklist_Items">#REF!</definedName>
    <definedName name="Checklist_ToGo">#REF!</definedName>
    <definedName name="Checklist_ToSign">#REF!</definedName>
    <definedName name="Checklist_Total">#REF!</definedName>
    <definedName name="Checklist_TotalPass">#REF!</definedName>
    <definedName name="ChecklistStart">#REF!</definedName>
    <definedName name="CheckOK">'Summary and Sign Off'!$F$63</definedName>
    <definedName name="CodeFileListUsed">'Calling Notice'!$B$13</definedName>
    <definedName name="CommentsRaised">Comments!$F$12</definedName>
    <definedName name="CommentsToAction">Comments!$K$12</definedName>
    <definedName name="CommentsToSignOff">Comments!$M$12</definedName>
    <definedName name="DevAuthorInitials">Comments!$H$14:$H$239</definedName>
    <definedName name="DevCommentCategory">Comments!#REF!</definedName>
    <definedName name="DevCommentEffortToFix">Comments!A1</definedName>
    <definedName name="DevCommentEffortToModerate">Comments!#REF!</definedName>
    <definedName name="DevCommentInitials">Comments!$B$14:$B$239</definedName>
    <definedName name="DevCommentStatuses">Comments!$J$14:$J$239</definedName>
    <definedName name="DevModeratorInitials">Comments!$L$14:$L$239</definedName>
    <definedName name="DocApprover">#REF!</definedName>
    <definedName name="DocAuthor">#REF!</definedName>
    <definedName name="DocConfidentiality">#REF!</definedName>
    <definedName name="DocDate">#REF!</definedName>
    <definedName name="DocIssue">#REF!</definedName>
    <definedName name="DocRef">#REF!</definedName>
    <definedName name="DocSet">#REF!</definedName>
    <definedName name="DocStatus">#REF!</definedName>
    <definedName name="DocTitle">#REF!</definedName>
    <definedName name="Final_Revision">'Summary and Sign Off'!$B$28</definedName>
    <definedName name="ItemSize">Metrics!$B$6</definedName>
    <definedName name="_xlnm.Print_Area" localSheetId="1">'Calling Notice'!$A$1:$B$52</definedName>
    <definedName name="_xlnm.Print_Area" localSheetId="6">'Summary and Sign Off'!$A$1:$D$38</definedName>
    <definedName name="_xlnm.Print_Titles" localSheetId="3">Comments!$13:$13</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Comments!$G:$G,Comments!#REF!</definedName>
    <definedName name="Z_745ADDF4_F7DF_4086_807E_540752E7B485_.wvu.PrintTitles" localSheetId="3" hidden="1">Comments!$13:$13</definedName>
    <definedName name="Z_BE287C18_2555_4F9D_9444_78E80943430A_.wvu.Cols" localSheetId="3" hidden="1">Comments!$G:$G,Comments!#REF!</definedName>
    <definedName name="Z_BE287C18_2555_4F9D_9444_78E80943430A_.wvu.PrintTitles" localSheetId="3" hidden="1">Comments!$13:$13</definedName>
  </definedNames>
  <calcPr calcId="125725"/>
  <customWorkbookViews>
    <customWorkbookView name="c - Personal View" guid="{BE287C18-2555-4F9D-9444-78E80943430A}" mergeInterval="0" personalView="1" maximized="1" xWindow="1" yWindow="1" windowWidth="1020" windowHeight="547" tabRatio="906" activeSheetId="1"/>
    <customWorkbookView name="thomas.wilson - Personal View" guid="{745ADDF4-F7DF-4086-807E-540752E7B485}" mergeInterval="0" personalView="1" maximized="1" xWindow="1" yWindow="1" windowWidth="1020" windowHeight="547" tabRatio="906" activeSheetId="1"/>
  </customWorkbookViews>
</workbook>
</file>

<file path=xl/calcChain.xml><?xml version="1.0" encoding="utf-8"?>
<calcChain xmlns="http://schemas.openxmlformats.org/spreadsheetml/2006/main">
  <c r="C50" i="17"/>
  <c r="B63" i="15"/>
  <c r="B61"/>
  <c r="B60"/>
  <c r="B59"/>
  <c r="B58"/>
  <c r="B38"/>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B54" i="15" s="1"/>
  <c r="E25" i="19"/>
  <c r="E26"/>
  <c r="E28"/>
  <c r="E29"/>
  <c r="E30"/>
  <c r="F63"/>
  <c r="N163" i="23" s="1"/>
  <c r="C11" i="17"/>
  <c r="A2" i="20"/>
  <c r="B2"/>
  <c r="A3"/>
  <c r="B3"/>
  <c r="E3"/>
  <c r="A4"/>
  <c r="B4"/>
  <c r="B6"/>
  <c r="A5"/>
  <c r="B5"/>
  <c r="C10"/>
  <c r="B48" i="15"/>
  <c r="C11" i="20"/>
  <c r="B16" i="19"/>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s="1"/>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N4" i="23"/>
  <c r="N5"/>
  <c r="F12"/>
  <c r="B64" i="15" s="1"/>
  <c r="O14" i="23"/>
  <c r="P14"/>
  <c r="A15"/>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O15"/>
  <c r="P15"/>
  <c r="O16"/>
  <c r="P16"/>
  <c r="O17"/>
  <c r="P17"/>
  <c r="O18"/>
  <c r="P18"/>
  <c r="O19"/>
  <c r="P19"/>
  <c r="O20"/>
  <c r="P20"/>
  <c r="O21"/>
  <c r="P21"/>
  <c r="O22"/>
  <c r="P22"/>
  <c r="O23"/>
  <c r="P23"/>
  <c r="O24"/>
  <c r="P24"/>
  <c r="O25"/>
  <c r="P25"/>
  <c r="O26"/>
  <c r="P26"/>
  <c r="O27"/>
  <c r="P27"/>
  <c r="O28"/>
  <c r="P28"/>
  <c r="O29"/>
  <c r="P29"/>
  <c r="O30"/>
  <c r="P30"/>
  <c r="O31"/>
  <c r="P31"/>
  <c r="O32"/>
  <c r="P32"/>
  <c r="O33"/>
  <c r="P33"/>
  <c r="O34"/>
  <c r="P34"/>
  <c r="O35"/>
  <c r="P35"/>
  <c r="O36"/>
  <c r="P36"/>
  <c r="O37"/>
  <c r="P37"/>
  <c r="O38"/>
  <c r="P38"/>
  <c r="O39"/>
  <c r="P39"/>
  <c r="O40"/>
  <c r="P40"/>
  <c r="O41"/>
  <c r="P41"/>
  <c r="O42"/>
  <c r="P42"/>
  <c r="O43"/>
  <c r="P43"/>
  <c r="O44"/>
  <c r="P44"/>
  <c r="O45"/>
  <c r="P45"/>
  <c r="O46"/>
  <c r="P46"/>
  <c r="O47"/>
  <c r="P47"/>
  <c r="O48"/>
  <c r="P48"/>
  <c r="O49"/>
  <c r="P49"/>
  <c r="O50"/>
  <c r="P50"/>
  <c r="O51"/>
  <c r="P51"/>
  <c r="O52"/>
  <c r="P52"/>
  <c r="O53"/>
  <c r="P53"/>
  <c r="O54"/>
  <c r="P54"/>
  <c r="O55"/>
  <c r="P55"/>
  <c r="O56"/>
  <c r="P56"/>
  <c r="O57"/>
  <c r="P57"/>
  <c r="O58"/>
  <c r="P58"/>
  <c r="O59"/>
  <c r="P59"/>
  <c r="O60"/>
  <c r="P60"/>
  <c r="O61"/>
  <c r="P61"/>
  <c r="O62"/>
  <c r="P62"/>
  <c r="O63"/>
  <c r="P63"/>
  <c r="O64"/>
  <c r="P64"/>
  <c r="O65"/>
  <c r="P65"/>
  <c r="O66"/>
  <c r="P66"/>
  <c r="O67"/>
  <c r="P67"/>
  <c r="O68"/>
  <c r="P68"/>
  <c r="O69"/>
  <c r="P69"/>
  <c r="O70"/>
  <c r="P70"/>
  <c r="O71"/>
  <c r="P71"/>
  <c r="O72"/>
  <c r="P72"/>
  <c r="O73"/>
  <c r="P73"/>
  <c r="O74"/>
  <c r="P74"/>
  <c r="O75"/>
  <c r="P75"/>
  <c r="O76"/>
  <c r="P76"/>
  <c r="O77"/>
  <c r="P77"/>
  <c r="O78"/>
  <c r="P78"/>
  <c r="O79"/>
  <c r="P79"/>
  <c r="O80"/>
  <c r="P80"/>
  <c r="O81"/>
  <c r="P81"/>
  <c r="O82"/>
  <c r="P82"/>
  <c r="O83"/>
  <c r="P83"/>
  <c r="O84"/>
  <c r="P84"/>
  <c r="O85"/>
  <c r="P85"/>
  <c r="O86"/>
  <c r="P86"/>
  <c r="O87"/>
  <c r="P87"/>
  <c r="O88"/>
  <c r="P88"/>
  <c r="O89"/>
  <c r="P89"/>
  <c r="O90"/>
  <c r="P90"/>
  <c r="O91"/>
  <c r="P91"/>
  <c r="O92"/>
  <c r="P92"/>
  <c r="O93"/>
  <c r="P93"/>
  <c r="O94"/>
  <c r="P94"/>
  <c r="O95"/>
  <c r="P95"/>
  <c r="O96"/>
  <c r="P96"/>
  <c r="O97"/>
  <c r="P97"/>
  <c r="O98"/>
  <c r="P98"/>
  <c r="O99"/>
  <c r="P99"/>
  <c r="O100"/>
  <c r="P100"/>
  <c r="O101"/>
  <c r="P101"/>
  <c r="O102"/>
  <c r="P102"/>
  <c r="O103"/>
  <c r="P103"/>
  <c r="O104"/>
  <c r="P104"/>
  <c r="O105"/>
  <c r="P105"/>
  <c r="O106"/>
  <c r="P106"/>
  <c r="O107"/>
  <c r="P107"/>
  <c r="O108"/>
  <c r="P108"/>
  <c r="O109"/>
  <c r="P109"/>
  <c r="O110"/>
  <c r="P110"/>
  <c r="O111"/>
  <c r="P111"/>
  <c r="O112"/>
  <c r="P112"/>
  <c r="O113"/>
  <c r="P113"/>
  <c r="O114"/>
  <c r="P114"/>
  <c r="O115"/>
  <c r="P115"/>
  <c r="O116"/>
  <c r="P116"/>
  <c r="O117"/>
  <c r="P117"/>
  <c r="O118"/>
  <c r="P118"/>
  <c r="O119"/>
  <c r="P119"/>
  <c r="O120"/>
  <c r="P120"/>
  <c r="O121"/>
  <c r="P121"/>
  <c r="O122"/>
  <c r="P122"/>
  <c r="O123"/>
  <c r="P123"/>
  <c r="O124"/>
  <c r="P124"/>
  <c r="O125"/>
  <c r="P125"/>
  <c r="O126"/>
  <c r="P126"/>
  <c r="O127"/>
  <c r="P127"/>
  <c r="O128"/>
  <c r="P128"/>
  <c r="O129"/>
  <c r="P129"/>
  <c r="O130"/>
  <c r="P130"/>
  <c r="O131"/>
  <c r="P131"/>
  <c r="O132"/>
  <c r="P132"/>
  <c r="O133"/>
  <c r="P133"/>
  <c r="O134"/>
  <c r="P134"/>
  <c r="O135"/>
  <c r="P135"/>
  <c r="O136"/>
  <c r="P136"/>
  <c r="O137"/>
  <c r="P137"/>
  <c r="O138"/>
  <c r="P138"/>
  <c r="O139"/>
  <c r="P139"/>
  <c r="O140"/>
  <c r="P140"/>
  <c r="O141"/>
  <c r="P141"/>
  <c r="O142"/>
  <c r="P142"/>
  <c r="O143"/>
  <c r="P143"/>
  <c r="O144"/>
  <c r="P144"/>
  <c r="O145"/>
  <c r="P145"/>
  <c r="O146"/>
  <c r="P146"/>
  <c r="O147"/>
  <c r="P147"/>
  <c r="O148"/>
  <c r="P148"/>
  <c r="O149"/>
  <c r="P149"/>
  <c r="O150"/>
  <c r="P150"/>
  <c r="O151"/>
  <c r="P151"/>
  <c r="O152"/>
  <c r="P152"/>
  <c r="O153"/>
  <c r="P153"/>
  <c r="O154"/>
  <c r="P154"/>
  <c r="O155"/>
  <c r="P155"/>
  <c r="O156"/>
  <c r="P156"/>
  <c r="O157"/>
  <c r="P157"/>
  <c r="O158"/>
  <c r="P158"/>
  <c r="O159"/>
  <c r="P159"/>
  <c r="O160"/>
  <c r="P160"/>
  <c r="O161"/>
  <c r="P161"/>
  <c r="O162"/>
  <c r="P162"/>
  <c r="D4" i="22"/>
  <c r="E4"/>
  <c r="D5"/>
  <c r="E5"/>
  <c r="D6"/>
  <c r="E6"/>
  <c r="D7"/>
  <c r="E7"/>
  <c r="D8"/>
  <c r="E8"/>
  <c r="D9"/>
  <c r="E9"/>
  <c r="D10"/>
  <c r="E10"/>
  <c r="D11"/>
  <c r="E11"/>
  <c r="D12"/>
  <c r="E12"/>
  <c r="D13"/>
  <c r="E13"/>
  <c r="D14"/>
  <c r="E14"/>
  <c r="D15"/>
  <c r="E15"/>
  <c r="D16"/>
  <c r="E16"/>
  <c r="D17"/>
  <c r="E17"/>
  <c r="D18"/>
  <c r="E18"/>
  <c r="D19"/>
  <c r="E19"/>
  <c r="D20"/>
  <c r="E20"/>
  <c r="D21"/>
  <c r="E21"/>
  <c r="D22"/>
  <c r="E22"/>
  <c r="D23"/>
  <c r="E23"/>
  <c r="D24"/>
  <c r="E24"/>
  <c r="D25"/>
  <c r="E25"/>
  <c r="D26"/>
  <c r="E26"/>
  <c r="D27"/>
  <c r="E27"/>
  <c r="D28"/>
  <c r="E28"/>
  <c r="D29"/>
  <c r="E29"/>
  <c r="D30"/>
  <c r="E30"/>
  <c r="D31"/>
  <c r="E31"/>
  <c r="D32"/>
  <c r="E32"/>
  <c r="D33"/>
  <c r="E33"/>
  <c r="D34"/>
  <c r="E34"/>
  <c r="D35"/>
  <c r="E35"/>
  <c r="D36"/>
  <c r="E36"/>
  <c r="D37"/>
  <c r="E37"/>
  <c r="D38"/>
  <c r="E38"/>
  <c r="D39"/>
  <c r="E39"/>
  <c r="D40"/>
  <c r="E40"/>
  <c r="D41"/>
  <c r="E41"/>
  <c r="D42"/>
  <c r="E42"/>
  <c r="D43"/>
  <c r="E43"/>
  <c r="D44"/>
  <c r="E44"/>
  <c r="D45"/>
  <c r="E45"/>
  <c r="C3" i="17"/>
  <c r="C4"/>
  <c r="C5"/>
  <c r="C6"/>
  <c r="C7"/>
  <c r="C8"/>
  <c r="C17"/>
  <c r="A19"/>
  <c r="A22" i="15"/>
  <c r="C19" i="17"/>
  <c r="C20"/>
  <c r="C23"/>
  <c r="C24"/>
  <c r="C25"/>
  <c r="C26"/>
  <c r="C27"/>
  <c r="C28"/>
  <c r="C29"/>
  <c r="C30"/>
  <c r="C34"/>
  <c r="C44"/>
  <c r="C45"/>
  <c r="C47"/>
  <c r="C48"/>
  <c r="C43" i="20"/>
  <c r="B18" i="19" s="1"/>
  <c r="B49" i="15"/>
  <c r="C9" i="19"/>
  <c r="H24" i="20"/>
  <c r="C10" i="17"/>
  <c r="C12"/>
  <c r="C9"/>
  <c r="I37" i="20"/>
  <c r="N161" i="23"/>
  <c r="N159"/>
  <c r="N157"/>
  <c r="N155"/>
  <c r="N153"/>
  <c r="N151"/>
  <c r="N149"/>
  <c r="N147"/>
  <c r="N145"/>
  <c r="N143"/>
  <c r="N141"/>
  <c r="N139"/>
  <c r="N137"/>
  <c r="N135"/>
  <c r="N133"/>
  <c r="N131"/>
  <c r="N129"/>
  <c r="N127"/>
  <c r="N125"/>
  <c r="N123"/>
  <c r="N121"/>
  <c r="N119"/>
  <c r="N117"/>
  <c r="N115"/>
  <c r="N113"/>
  <c r="N111"/>
  <c r="N109"/>
  <c r="N107"/>
  <c r="N105"/>
  <c r="N103"/>
  <c r="N101"/>
  <c r="N99"/>
  <c r="N97"/>
  <c r="N95"/>
  <c r="N93"/>
  <c r="N91"/>
  <c r="N89"/>
  <c r="N87"/>
  <c r="N85"/>
  <c r="N83"/>
  <c r="N81"/>
  <c r="N79"/>
  <c r="N77"/>
  <c r="N75"/>
  <c r="N73"/>
  <c r="N71"/>
  <c r="N69"/>
  <c r="N67"/>
  <c r="N65"/>
  <c r="N63"/>
  <c r="N61"/>
  <c r="N59"/>
  <c r="N57"/>
  <c r="N55"/>
  <c r="N53"/>
  <c r="N51"/>
  <c r="N49"/>
  <c r="N47"/>
  <c r="N45"/>
  <c r="N43"/>
  <c r="N41"/>
  <c r="N39"/>
  <c r="N37"/>
  <c r="N35"/>
  <c r="N33"/>
  <c r="N31"/>
  <c r="N29"/>
  <c r="N27"/>
  <c r="N25"/>
  <c r="N23"/>
  <c r="N21"/>
  <c r="N19"/>
  <c r="N17"/>
  <c r="N15"/>
  <c r="N14"/>
  <c r="N162"/>
  <c r="N160"/>
  <c r="N158"/>
  <c r="N156"/>
  <c r="N154"/>
  <c r="N152"/>
  <c r="N150"/>
  <c r="N148"/>
  <c r="N146"/>
  <c r="N144"/>
  <c r="N142"/>
  <c r="N140"/>
  <c r="N138"/>
  <c r="N136"/>
  <c r="N134"/>
  <c r="N132"/>
  <c r="N130"/>
  <c r="N128"/>
  <c r="N126"/>
  <c r="N124"/>
  <c r="N122"/>
  <c r="N120"/>
  <c r="N118"/>
  <c r="N116"/>
  <c r="N114"/>
  <c r="N112"/>
  <c r="N110"/>
  <c r="N108"/>
  <c r="N106"/>
  <c r="N104"/>
  <c r="N102"/>
  <c r="N100"/>
  <c r="N98"/>
  <c r="N96"/>
  <c r="N94"/>
  <c r="N92"/>
  <c r="N90"/>
  <c r="N88"/>
  <c r="N86"/>
  <c r="N84"/>
  <c r="N82"/>
  <c r="N80"/>
  <c r="N78"/>
  <c r="N76"/>
  <c r="N74"/>
  <c r="N72"/>
  <c r="N70"/>
  <c r="N68"/>
  <c r="N66"/>
  <c r="N64"/>
  <c r="N62"/>
  <c r="N60"/>
  <c r="N58"/>
  <c r="N56"/>
  <c r="N54"/>
  <c r="N52"/>
  <c r="N50"/>
  <c r="N48"/>
  <c r="N46"/>
  <c r="N44"/>
  <c r="N42"/>
  <c r="N40"/>
  <c r="N38"/>
  <c r="N36"/>
  <c r="N34"/>
  <c r="N32"/>
  <c r="N30"/>
  <c r="N28"/>
  <c r="N26"/>
  <c r="N24"/>
  <c r="N22"/>
  <c r="N20"/>
  <c r="N18"/>
  <c r="P238"/>
  <c r="N238"/>
  <c r="O237"/>
  <c r="P236"/>
  <c r="N236"/>
  <c r="O235"/>
  <c r="P234"/>
  <c r="N234"/>
  <c r="O233"/>
  <c r="P232"/>
  <c r="N232"/>
  <c r="O231"/>
  <c r="P230"/>
  <c r="N230"/>
  <c r="O229"/>
  <c r="P228"/>
  <c r="N228"/>
  <c r="O227"/>
  <c r="P226"/>
  <c r="N226"/>
  <c r="O225"/>
  <c r="P224"/>
  <c r="N224"/>
  <c r="O223"/>
  <c r="P222"/>
  <c r="N222"/>
  <c r="O221"/>
  <c r="P220"/>
  <c r="N220"/>
  <c r="O219"/>
  <c r="P218"/>
  <c r="N218"/>
  <c r="O217"/>
  <c r="P216"/>
  <c r="N216"/>
  <c r="O215"/>
  <c r="P214"/>
  <c r="N214"/>
  <c r="O213"/>
  <c r="P212"/>
  <c r="N212"/>
  <c r="O211"/>
  <c r="P210"/>
  <c r="N210"/>
  <c r="O209"/>
  <c r="P208"/>
  <c r="N208"/>
  <c r="O207"/>
  <c r="P206"/>
  <c r="N206"/>
  <c r="O205"/>
  <c r="P204"/>
  <c r="N204"/>
  <c r="O203"/>
  <c r="P202"/>
  <c r="N202"/>
  <c r="O201"/>
  <c r="P200"/>
  <c r="N200"/>
  <c r="O199"/>
  <c r="P198"/>
  <c r="N198"/>
  <c r="O197"/>
  <c r="P196"/>
  <c r="N196"/>
  <c r="O195"/>
  <c r="P194"/>
  <c r="N194"/>
  <c r="O193"/>
  <c r="P192"/>
  <c r="N192"/>
  <c r="O191"/>
  <c r="P190"/>
  <c r="N190"/>
  <c r="O189"/>
  <c r="P188"/>
  <c r="N188"/>
  <c r="O187"/>
  <c r="P186"/>
  <c r="N186"/>
  <c r="O185"/>
  <c r="P184"/>
  <c r="N184"/>
  <c r="O183"/>
  <c r="P182"/>
  <c r="N182"/>
  <c r="O181"/>
  <c r="P180"/>
  <c r="N180"/>
  <c r="O179"/>
  <c r="P178"/>
  <c r="N178"/>
  <c r="O177"/>
  <c r="P176"/>
  <c r="N176"/>
  <c r="O175"/>
  <c r="P174"/>
  <c r="N174"/>
  <c r="O173"/>
  <c r="P172"/>
  <c r="N172"/>
  <c r="O171"/>
  <c r="P170"/>
  <c r="N170"/>
  <c r="O169"/>
  <c r="P168"/>
  <c r="N168"/>
  <c r="O167"/>
  <c r="P166"/>
  <c r="N166"/>
  <c r="O165"/>
  <c r="P164"/>
  <c r="N164"/>
  <c r="O163"/>
  <c r="D15" i="20"/>
  <c r="D14"/>
  <c r="N16" i="23"/>
  <c r="O238"/>
  <c r="P237"/>
  <c r="N237"/>
  <c r="O236"/>
  <c r="P235"/>
  <c r="N235"/>
  <c r="O234"/>
  <c r="P233"/>
  <c r="N233"/>
  <c r="O232"/>
  <c r="P231"/>
  <c r="N231"/>
  <c r="O230"/>
  <c r="P229"/>
  <c r="N229"/>
  <c r="O228"/>
  <c r="P227"/>
  <c r="N227"/>
  <c r="O226"/>
  <c r="P225"/>
  <c r="N225"/>
  <c r="O224"/>
  <c r="P223"/>
  <c r="N223"/>
  <c r="O222"/>
  <c r="P221"/>
  <c r="N221"/>
  <c r="O220"/>
  <c r="P219"/>
  <c r="N219"/>
  <c r="O218"/>
  <c r="P217"/>
  <c r="N217"/>
  <c r="O216"/>
  <c r="P215"/>
  <c r="N215"/>
  <c r="O214"/>
  <c r="P213"/>
  <c r="N213"/>
  <c r="O212"/>
  <c r="P211"/>
  <c r="N211"/>
  <c r="O210"/>
  <c r="P209"/>
  <c r="N209"/>
  <c r="O208"/>
  <c r="P207"/>
  <c r="N207"/>
  <c r="O206"/>
  <c r="P205"/>
  <c r="N205"/>
  <c r="O204"/>
  <c r="P203"/>
  <c r="N203"/>
  <c r="O202"/>
  <c r="P201"/>
  <c r="N201"/>
  <c r="O200"/>
  <c r="P199"/>
  <c r="N199"/>
  <c r="O198"/>
  <c r="P197"/>
  <c r="N197"/>
  <c r="O196"/>
  <c r="P195"/>
  <c r="N195"/>
  <c r="O194"/>
  <c r="P193"/>
  <c r="N193"/>
  <c r="O192"/>
  <c r="P191"/>
  <c r="N191"/>
  <c r="O190"/>
  <c r="P189"/>
  <c r="N189"/>
  <c r="O188"/>
  <c r="P187"/>
  <c r="N187"/>
  <c r="O186"/>
  <c r="P185"/>
  <c r="N185"/>
  <c r="O184"/>
  <c r="P183"/>
  <c r="N183"/>
  <c r="O182"/>
  <c r="P181"/>
  <c r="N181"/>
  <c r="O180"/>
  <c r="P179"/>
  <c r="N179"/>
  <c r="O178"/>
  <c r="P177"/>
  <c r="N177"/>
  <c r="O176"/>
  <c r="P175"/>
  <c r="N175"/>
  <c r="O174"/>
  <c r="P173"/>
  <c r="N173"/>
  <c r="O172"/>
  <c r="P171"/>
  <c r="N171"/>
  <c r="O170"/>
  <c r="P169"/>
  <c r="N169"/>
  <c r="O168"/>
  <c r="P167"/>
  <c r="N167"/>
  <c r="O166"/>
  <c r="P165"/>
  <c r="N165"/>
  <c r="O164"/>
  <c r="P163"/>
  <c r="B51" i="15"/>
  <c r="E51" i="20"/>
  <c r="E37"/>
  <c r="E24"/>
  <c r="C51"/>
  <c r="C37"/>
  <c r="E35" i="19"/>
  <c r="E36"/>
  <c r="E33"/>
  <c r="E32"/>
  <c r="B41" i="15"/>
  <c r="D23" i="20"/>
  <c r="D22"/>
  <c r="D21"/>
  <c r="D20"/>
  <c r="D19"/>
  <c r="D18"/>
  <c r="D17"/>
  <c r="D16"/>
  <c r="B42" i="15"/>
  <c r="D45" i="19"/>
  <c r="D47"/>
  <c r="B45" i="15"/>
  <c r="D44" i="19"/>
  <c r="D49"/>
  <c r="D53"/>
  <c r="B46" i="15"/>
  <c r="B43"/>
  <c r="D48" i="19"/>
  <c r="D51"/>
  <c r="D52"/>
  <c r="B44" i="15"/>
  <c r="G51" i="20" l="1"/>
  <c r="I24"/>
  <c r="H51"/>
  <c r="F51"/>
  <c r="J51"/>
  <c r="H37"/>
  <c r="F37"/>
  <c r="F24"/>
  <c r="C8" i="19"/>
  <c r="C10"/>
  <c r="J37" i="20"/>
  <c r="I51"/>
  <c r="G24"/>
  <c r="J24"/>
  <c r="G37"/>
  <c r="C6" i="19"/>
  <c r="C11" s="1"/>
  <c r="E11" s="1"/>
  <c r="M12" i="23"/>
  <c r="B66" i="15" s="1"/>
  <c r="K12" i="23"/>
  <c r="F11" s="1"/>
  <c r="B11" i="19"/>
  <c r="B40" i="15"/>
  <c r="B14" i="19"/>
  <c r="D46"/>
  <c r="B47" i="15"/>
  <c r="K51" i="20" l="1"/>
  <c r="K52"/>
  <c r="K37"/>
  <c r="K24"/>
  <c r="K25"/>
  <c r="K38"/>
  <c r="B65" i="15"/>
  <c r="H11" i="23"/>
  <c r="D14" i="19"/>
  <c r="C14"/>
  <c r="E14" s="1"/>
  <c r="D50"/>
  <c r="D54"/>
  <c r="B62" i="15" l="1"/>
</calcChain>
</file>

<file path=xl/comments1.xml><?xml version="1.0" encoding="utf-8"?>
<comments xmlns="http://schemas.openxmlformats.org/spreadsheetml/2006/main">
  <authors>
    <author>c</author>
  </authors>
  <commentList>
    <comment ref="B3" authorId="0">
      <text>
        <r>
          <rPr>
            <b/>
            <sz val="8"/>
            <color indexed="81"/>
            <rFont val="Tahoma"/>
            <family val="2"/>
          </rPr>
          <t>thomas.wilson:</t>
        </r>
        <r>
          <rPr>
            <sz val="8"/>
            <color indexed="81"/>
            <rFont val="Tahoma"/>
            <family val="2"/>
          </rPr>
          <t xml:space="preserve">
This identifies the revision numbers of files that are the input for the review.</t>
        </r>
      </text>
    </comment>
    <comment ref="C3" authorId="0">
      <text>
        <r>
          <rPr>
            <b/>
            <sz val="8"/>
            <color indexed="81"/>
            <rFont val="Tahoma"/>
            <family val="2"/>
          </rPr>
          <t>thomas.wilson:</t>
        </r>
        <r>
          <rPr>
            <sz val="8"/>
            <color indexed="81"/>
            <rFont val="Tahoma"/>
            <family val="2"/>
          </rPr>
          <t xml:space="preserve">
This should be the revision number of the files after rework has been performed. This should identify the final, reviewed changes to this CI.</t>
        </r>
      </text>
    </comment>
  </commentList>
</comments>
</file>

<file path=xl/comments2.xml><?xml version="1.0" encoding="utf-8"?>
<comments xmlns="http://schemas.openxmlformats.org/spreadsheetml/2006/main">
  <authors>
    <author>Chris Martin</author>
  </authors>
  <commentList>
    <comment ref="F13" authorId="0">
      <text>
        <r>
          <rPr>
            <b/>
            <sz val="8"/>
            <color indexed="81"/>
            <rFont val="Tahoma"/>
            <family val="2"/>
          </rPr>
          <t>Chris Martin:</t>
        </r>
        <r>
          <rPr>
            <sz val="8"/>
            <color indexed="81"/>
            <rFont val="Tahoma"/>
            <family val="2"/>
          </rPr>
          <t xml:space="preserve">
(Unhide column to right via "+" at top for additional information column)</t>
        </r>
      </text>
    </comment>
    <comment ref="K13" authorId="0">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<sst xmlns="http://schemas.openxmlformats.org/spreadsheetml/2006/main" count="1611" uniqueCount="901">
  <si>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</si>
  <si>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</si>
  <si>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</si>
  <si>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</si>
  <si>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</si>
  <si>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</si>
  <si>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</si>
  <si>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</si>
  <si>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</si>
  <si>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</si>
  <si>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</si>
  <si>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</si>
  <si>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</si>
  <si>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</si>
  <si>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</si>
  <si>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</si>
  <si>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</si>
  <si>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</si>
  <si>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</si>
  <si>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</si>
  <si>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</si>
  <si>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</si>
  <si>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</si>
  <si>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</si>
  <si>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</si>
  <si>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</si>
  <si>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</si>
  <si>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</si>
  <si>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</si>
  <si>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</si>
  <si>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</si>
  <si>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</si>
  <si>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</si>
  <si>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</si>
  <si>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</si>
  <si>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</si>
  <si>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</si>
  <si>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</si>
  <si>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</si>
  <si>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</si>
  <si>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</si>
  <si>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</si>
  <si>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</si>
  <si>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</si>
  <si>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</si>
  <si>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</si>
  <si>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</si>
  <si>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</si>
  <si>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</si>
  <si>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</si>
  <si>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</si>
  <si>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</si>
  <si>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</si>
  <si>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</si>
  <si>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</si>
  <si>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</si>
  <si>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</si>
  <si>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</si>
  <si>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</si>
  <si>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</si>
  <si>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</si>
  <si>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</si>
  <si>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</si>
  <si>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</si>
  <si>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</si>
  <si>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</si>
  <si>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</si>
  <si>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</si>
  <si>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</si>
  <si>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</si>
  <si>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</si>
  <si>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</si>
  <si>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</si>
  <si>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</si>
  <si>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</si>
  <si>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</si>
  <si>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</si>
  <si>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</si>
  <si>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</si>
  <si>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</si>
  <si>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</si>
  <si>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</si>
  <si>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</si>
  <si>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</si>
  <si>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</si>
  <si>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</si>
  <si>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</si>
  <si>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</si>
  <si>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</si>
  <si>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</si>
  <si>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</si>
  <si>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</si>
  <si>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</si>
  <si>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</si>
  <si>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</si>
  <si>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</si>
  <si>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</si>
  <si>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</si>
  <si>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</si>
  <si>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</si>
  <si>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</si>
  <si>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</si>
  <si>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</si>
  <si>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</si>
  <si>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</si>
  <si>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</si>
  <si>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</si>
  <si>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</si>
  <si>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</si>
  <si>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</si>
  <si>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</si>
  <si>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</si>
  <si>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</si>
  <si>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No</t>
  </si>
  <si>
    <t>Review Comments</t>
  </si>
  <si>
    <t>Review Date</t>
  </si>
  <si>
    <t>&lt;CM revision number&gt;</t>
  </si>
  <si>
    <t>&lt;Name&gt;</t>
  </si>
  <si>
    <t>Revision After Review</t>
  </si>
  <si>
    <t>Revision Into Review</t>
  </si>
  <si>
    <t>List of Files for Review (Code)</t>
  </si>
  <si>
    <t>Sign-off by "Checker" (initials)</t>
  </si>
  <si>
    <t>Author's initials</t>
  </si>
  <si>
    <t>Additional information (e.g. data allowing the reviewer to group comments by category)</t>
  </si>
  <si>
    <t xml:space="preserve">Reviewer's Comment </t>
  </si>
  <si>
    <t>Section Reference or Line Number(s)</t>
  </si>
  <si>
    <t>Notes on Use of this form:</t>
  </si>
  <si>
    <t>Reviewer Name(s)</t>
  </si>
  <si>
    <t>Time Spent Reworking (mins)</t>
  </si>
  <si>
    <t>Time Spent Moderating (mins)</t>
  </si>
  <si>
    <t>File Name (URL)</t>
  </si>
  <si>
    <t>Comments Duplicated</t>
  </si>
  <si>
    <t>Duplicate</t>
  </si>
  <si>
    <t>Comment No.</t>
  </si>
  <si>
    <t>Rev's Initials</t>
  </si>
  <si>
    <t>This section reports on the status of completion of this RRR. Self consistency checks are distributed throughout the worksheets. This worksheet presents a summary of the overall status.</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</si>
  <si>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</si>
  <si>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</si>
  <si>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</si>
  <si>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</si>
  <si>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</si>
  <si>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</si>
  <si>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</si>
  <si>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</si>
  <si>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</si>
  <si>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</si>
  <si>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</si>
  <si>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</si>
  <si>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</si>
  <si>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</si>
  <si>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</si>
  <si>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</si>
  <si>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</si>
  <si>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</si>
  <si>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</si>
  <si>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</si>
  <si>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</si>
  <si>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</si>
  <si>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</si>
  <si>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</si>
  <si>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</si>
  <si>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</si>
  <si>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</si>
  <si>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</si>
  <si>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</si>
  <si>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</si>
  <si>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</si>
  <si>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</si>
  <si>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</si>
  <si>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</si>
  <si>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</si>
  <si>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</si>
  <si>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</si>
  <si>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</si>
  <si>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</si>
  <si>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</si>
  <si>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</si>
  <si>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</si>
  <si>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</si>
  <si>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</si>
  <si>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</si>
  <si>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</si>
  <si>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</si>
  <si>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</si>
  <si>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</si>
  <si>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</si>
  <si>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</si>
  <si>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</si>
  <si>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</si>
  <si>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</si>
  <si>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</si>
  <si>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</si>
  <si>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</si>
  <si>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</si>
  <si>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</si>
  <si>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</si>
  <si>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</si>
  <si>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</si>
  <si>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</si>
  <si>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</si>
  <si>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</si>
  <si>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</si>
  <si>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</si>
  <si>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</si>
  <si>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</si>
  <si>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</si>
  <si>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</si>
  <si>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</si>
  <si>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</si>
  <si>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</si>
  <si>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</si>
  <si>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</si>
  <si>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</si>
  <si>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</si>
  <si>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</si>
  <si>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</si>
  <si>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</si>
  <si>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</si>
  <si>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</si>
  <si>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</si>
  <si>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</si>
  <si>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</si>
  <si>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</si>
  <si>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</si>
  <si>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</si>
  <si>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</si>
  <si>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</si>
  <si>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</si>
  <si>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</si>
  <si>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</si>
  <si>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</si>
  <si>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</si>
  <si>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</si>
  <si>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</si>
  <si>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</si>
  <si>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</si>
  <si>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</si>
  <si>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</si>
  <si>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</si>
  <si>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</si>
  <si>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</si>
  <si>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</si>
  <si>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</si>
  <si>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</si>
  <si>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</si>
  <si>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</si>
  <si>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</si>
  <si>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</si>
  <si>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</si>
  <si>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</si>
  <si>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</si>
  <si>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</si>
  <si>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</si>
  <si>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</si>
  <si>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</si>
  <si>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</si>
  <si>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</si>
  <si>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</si>
  <si>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</si>
  <si>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</si>
  <si>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</si>
  <si>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</si>
  <si>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</si>
  <si>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</si>
  <si>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</si>
  <si>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</si>
  <si>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</si>
  <si>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</si>
  <si>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</si>
  <si>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</si>
  <si>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</si>
  <si>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</si>
  <si>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</si>
  <si>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</si>
  <si>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</si>
  <si>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</si>
  <si>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</si>
  <si>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</si>
  <si>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</si>
  <si>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</si>
  <si>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</si>
  <si>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</si>
  <si>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</si>
  <si>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</si>
  <si>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</si>
  <si>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</si>
  <si>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</si>
  <si>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</si>
  <si>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</si>
  <si>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</si>
  <si>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</si>
  <si>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</si>
  <si>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</si>
  <si>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</si>
  <si>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</si>
  <si>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</si>
  <si>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</si>
  <si>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</si>
  <si>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</si>
  <si>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</si>
  <si>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</si>
  <si>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</si>
  <si>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</si>
  <si>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</si>
  <si>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</si>
  <si>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</si>
  <si>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</si>
  <si>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</si>
  <si>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</si>
  <si>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</si>
  <si>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</si>
  <si>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</si>
  <si>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</si>
  <si>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</si>
  <si>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</si>
  <si>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</si>
  <si>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</si>
  <si>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</si>
  <si>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</si>
  <si>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</si>
  <si>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</si>
  <si>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</si>
  <si>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</si>
  <si>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</si>
  <si>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</si>
  <si>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</si>
  <si>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</si>
  <si>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</si>
  <si>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</si>
  <si>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</si>
  <si>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</si>
  <si>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</si>
  <si>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</si>
  <si>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</si>
  <si>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</si>
  <si>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</si>
  <si>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</si>
  <si>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</si>
  <si>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</si>
  <si>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</si>
  <si>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</si>
  <si>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</si>
  <si>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</si>
  <si>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</si>
  <si>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</si>
  <si>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</si>
  <si>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</si>
  <si>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</si>
  <si>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</si>
  <si>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</si>
  <si>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</si>
  <si>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</si>
  <si>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</si>
  <si>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</si>
  <si>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</si>
  <si>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</si>
  <si>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</si>
  <si>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</si>
  <si>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</si>
  <si>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</si>
  <si>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</si>
  <si>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</si>
  <si>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</si>
  <si>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</si>
  <si>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</si>
  <si>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</si>
  <si>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</si>
  <si>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</si>
  <si>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</si>
  <si>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</si>
  <si>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</si>
  <si>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</si>
  <si>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</si>
  <si>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</si>
  <si>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</si>
  <si>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</si>
  <si>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RRR_Checklist_ToSign</t>
  </si>
  <si>
    <t>RRR_Checklist_Total</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</si>
  <si>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</si>
  <si>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</si>
  <si>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</si>
  <si>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</si>
  <si>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</si>
  <si>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</si>
  <si>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</si>
  <si>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</si>
  <si>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</si>
  <si>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</si>
  <si>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</si>
  <si>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</si>
  <si>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</si>
  <si>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</si>
  <si>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</si>
  <si>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</si>
  <si>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</si>
  <si>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</si>
  <si>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</si>
  <si>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</si>
  <si>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</si>
  <si>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</si>
  <si>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</si>
  <si>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</si>
  <si>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</si>
  <si>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</si>
  <si>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</si>
  <si>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</si>
  <si>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</si>
  <si>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</si>
  <si>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</si>
  <si>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</si>
  <si>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</si>
  <si>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</si>
  <si>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</si>
  <si>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</si>
  <si>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</si>
  <si>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</si>
  <si>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</si>
  <si>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</si>
  <si>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</si>
  <si>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</si>
  <si>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</si>
  <si>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</si>
  <si>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</si>
  <si>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</si>
  <si>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</si>
  <si>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</si>
  <si>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</si>
  <si>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</si>
  <si>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</si>
  <si>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</si>
  <si>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</si>
  <si>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</si>
  <si>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</si>
  <si>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</si>
  <si>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</si>
  <si>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</si>
  <si>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</si>
  <si>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</si>
  <si>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</si>
  <si>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</si>
  <si>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</si>
  <si>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</si>
  <si>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</si>
  <si>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</si>
  <si>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</si>
  <si>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</si>
  <si>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</si>
  <si>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</si>
  <si>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</si>
  <si>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</si>
  <si>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</si>
  <si>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</si>
  <si>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</si>
  <si>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</si>
  <si>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</si>
  <si>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</si>
  <si>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</si>
  <si>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</si>
  <si>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</si>
  <si>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</si>
  <si>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</si>
  <si>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</si>
  <si>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</si>
  <si>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</si>
  <si>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</si>
  <si>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</si>
  <si>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</si>
  <si>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</si>
  <si>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</si>
  <si>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</si>
  <si>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</si>
  <si>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</si>
  <si>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</si>
  <si>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</si>
  <si>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</si>
  <si>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</si>
  <si>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</si>
  <si>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</si>
  <si>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</si>
  <si>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</si>
  <si>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</si>
  <si>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</si>
  <si>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</si>
  <si>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</si>
  <si>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</si>
  <si>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</si>
  <si>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</si>
  <si>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</si>
  <si>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</si>
  <si>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</si>
  <si>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</si>
  <si>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</si>
  <si>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</si>
  <si>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</si>
  <si>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</si>
  <si>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</si>
  <si>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</si>
  <si>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</si>
  <si>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</si>
  <si>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</si>
  <si>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</si>
  <si>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</si>
  <si>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</si>
  <si>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</si>
  <si>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</si>
  <si>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</si>
  <si>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</si>
  <si>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</si>
  <si>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</si>
  <si>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</si>
  <si>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</si>
  <si>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</si>
  <si>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</si>
  <si>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</si>
  <si>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</si>
  <si>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</si>
  <si>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</si>
  <si>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</si>
  <si>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</si>
  <si>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</si>
  <si>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</si>
  <si>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</si>
  <si>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</si>
  <si>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</si>
  <si>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</si>
  <si>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</si>
  <si>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</si>
  <si>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</si>
  <si>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</si>
  <si>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</si>
  <si>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</si>
  <si>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</si>
  <si>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</si>
  <si>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</si>
  <si>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</si>
  <si>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</si>
  <si>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</si>
  <si>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</si>
  <si>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</si>
  <si>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</si>
  <si>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</si>
  <si>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</si>
  <si>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</si>
  <si>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</si>
  <si>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</si>
  <si>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</si>
  <si>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</si>
  <si>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</si>
  <si>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</si>
  <si>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</si>
  <si>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</si>
  <si>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</si>
  <si>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</si>
  <si>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</si>
  <si>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</si>
  <si>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</si>
  <si>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</si>
  <si>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</si>
  <si>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</si>
  <si>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</si>
  <si>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</si>
  <si>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</si>
  <si>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</si>
  <si>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</si>
  <si>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</si>
  <si>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</si>
  <si>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</si>
  <si>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</si>
  <si>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</si>
  <si>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</si>
  <si>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</si>
  <si>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2) This template is setup by default to capture size data, to change it to not capture size data:</t>
  </si>
  <si>
    <t xml:space="preserve">    * Hide rows 9 to 12 on the "Calling Notice"</t>
  </si>
  <si>
    <t>Page/para</t>
  </si>
  <si>
    <t xml:space="preserve"> AH/1 </t>
  </si>
  <si>
    <t xml:space="preserve"> General </t>
  </si>
  <si>
    <t xml:space="preserve"> AH/2 </t>
  </si>
  <si>
    <t xml:space="preserve"> pg4 oara 2 </t>
  </si>
  <si>
    <t xml:space="preserve"> Typo: delete "section" in "which section is specific to ..." </t>
  </si>
  <si>
    <t xml:space="preserve"> AH/3 </t>
  </si>
  <si>
    <t xml:space="preserve"> last para </t>
  </si>
  <si>
    <t xml:space="preserve"> AH/4 </t>
  </si>
  <si>
    <t xml:space="preserve"> 1.9.5 </t>
  </si>
  <si>
    <t xml:space="preserve"> Para 2, first sentence </t>
  </si>
  <si>
    <t xml:space="preserve"> Poor grammar in first sentence.</t>
  </si>
  <si>
    <t xml:space="preserve"> AH/5 </t>
  </si>
  <si>
    <t xml:space="preserve"> 1.9.6 </t>
  </si>
  <si>
    <t xml:space="preserve"> Second bullet of the list starting "The way in which these are used are:" </t>
  </si>
  <si>
    <t xml:space="preserve"> Unclear first sentence.</t>
  </si>
  <si>
    <t xml:space="preserve"> AH/6 </t>
  </si>
  <si>
    <t xml:space="preserve"> First Todo </t>
  </si>
  <si>
    <t xml:space="preserve"> AH/7 </t>
  </si>
  <si>
    <t xml:space="preserve"> 1.10.1 </t>
  </si>
  <si>
    <t xml:space="preserve"> Definition of inputs/outputs </t>
  </si>
  <si>
    <t xml:space="preserve"> AH/8 </t>
  </si>
  <si>
    <t xml:space="preserve"> 1.10.3 </t>
  </si>
  <si>
    <t xml:space="preserve"> Bullet 3 </t>
  </si>
  <si>
    <t xml:space="preserve"> AH/9 </t>
  </si>
  <si>
    <t xml:space="preserve"> 1.10.4 </t>
  </si>
  <si>
    <t xml:space="preserve"> Bullet 1 </t>
  </si>
  <si>
    <t xml:space="preserve"> Is the consequence of this that users would always have to add "global =&gt; null" whenever an operation does not use globals? This feels like a bit of an overhead.</t>
  </si>
  <si>
    <t xml:space="preserve"> AH/10 </t>
  </si>
  <si>
    <t xml:space="preserve"> Todo </t>
  </si>
  <si>
    <t xml:space="preserve"> The Todo contradicts the text in this section. One or the other should be removed.</t>
  </si>
  <si>
    <t xml:space="preserve"> AH/11 </t>
  </si>
  <si>
    <t xml:space="preserve"> 5.5.3 </t>
  </si>
  <si>
    <t xml:space="preserve"> Syntax section </t>
  </si>
  <si>
    <t xml:space="preserve"> AH/12 </t>
  </si>
  <si>
    <t xml:space="preserve"> 2nd para </t>
  </si>
  <si>
    <t xml:space="preserve"> [SPARK] should be replaced in the reST source with |SPARK|.</t>
  </si>
  <si>
    <t xml:space="preserve"> AH/13 </t>
  </si>
  <si>
    <t xml:space="preserve"> 6.1.2 </t>
  </si>
  <si>
    <t xml:space="preserve"> NA </t>
  </si>
  <si>
    <t xml:space="preserve"> Please consider including forward references to the sections that define Global, Depends and Contract_Cases</t>
  </si>
  <si>
    <t xml:space="preserve"> AH/14 </t>
  </si>
  <si>
    <t xml:space="preserve"> 6.1.4 </t>
  </si>
  <si>
    <t xml:space="preserve"> Static Semantics </t>
  </si>
  <si>
    <t xml:space="preserve"> "A global_item is referenced if: It is an input or an output of the subprogram" needs to be extended to cover globals in subprograms called directly or indirectly.</t>
  </si>
  <si>
    <t xml:space="preserve"> AH/15 </t>
  </si>
  <si>
    <t xml:space="preserve"> Verification rules </t>
  </si>
  <si>
    <t xml:space="preserve"> Typo: "is a analyzed" =&gt; "is analyzed"</t>
  </si>
  <si>
    <t xml:space="preserve"> AH/16 </t>
  </si>
  <si>
    <t xml:space="preserve"> 6.1.5 </t>
  </si>
  <si>
    <t xml:space="preserve"> Language definition para 2 </t>
  </si>
  <si>
    <t xml:space="preserve"> Shouldn't we state in here "on at least one path"?</t>
  </si>
  <si>
    <t xml:space="preserve"> AH/17 </t>
  </si>
  <si>
    <t xml:space="preserve"> 6.1.7 </t>
  </si>
  <si>
    <t xml:space="preserve"> 2nd Para  </t>
  </si>
  <si>
    <t xml:space="preserve"> Two typos corrected in this version: "If **a** call is made, directly or indirectly, to this function other than in a**n** assertion expression which is not a subtype predicate, or if the assertion policy Ignore is not selected, an error will be reported when an attempt is made to build and execute the program."</t>
  </si>
  <si>
    <t xml:space="preserve"> AH/18 </t>
  </si>
  <si>
    <t xml:space="preserve"> 6.3.3 </t>
  </si>
  <si>
    <t xml:space="preserve"> Firsts para </t>
  </si>
  <si>
    <t xml:space="preserve"> Typo: "its its".</t>
  </si>
  <si>
    <t xml:space="preserve"> AH/19 </t>
  </si>
  <si>
    <t xml:space="preserve"> I expected some mention of state refinement here. Please provide a forward reference to the relevant subsection of section 7. Nb this comment also applies to section 6.3.4.</t>
  </si>
  <si>
    <t xml:space="preserve"> AH/20 </t>
  </si>
  <si>
    <t xml:space="preserve"> 6.4.2 </t>
  </si>
  <si>
    <t xml:space="preserve"> Verification rule 21 </t>
  </si>
  <si>
    <t xml:space="preserve"> Typo: "one of corresponding".</t>
  </si>
  <si>
    <t xml:space="preserve"> AH/21 </t>
  </si>
  <si>
    <t xml:space="preserve"> 7.1.3 </t>
  </si>
  <si>
    <t xml:space="preserve"> Legality rule 5 </t>
  </si>
  <si>
    <t xml:space="preserve"> We decided to remove the "Integrity" aspect if Secunet confirmed they didn't need it. Was this discussed in the meeting in Paris?</t>
  </si>
  <si>
    <t xml:space="preserve"> AH/22 </t>
  </si>
  <si>
    <t xml:space="preserve"> Static semantics bullet 4 (counting manually) </t>
  </si>
  <si>
    <t xml:space="preserve"> Typo: It seems wrong to have a rule in square brackets. It suggests it isn't relly a rule.</t>
  </si>
  <si>
    <t xml:space="preserve"> AH/23 </t>
  </si>
  <si>
    <t xml:space="preserve"> Opening para. </t>
  </si>
  <si>
    <t xml:space="preserve"> The opening para doesn't appear to be a complete intro to the section or a definition that is particularly relevant to just this section.</t>
  </si>
  <si>
    <t xml:space="preserve"> AH/24 </t>
  </si>
  <si>
    <t xml:space="preserve"> Requirement </t>
  </si>
  <si>
    <t xml:space="preserve"> This high-level requirement and rationale don't justify the need to raise exceptions, in fact the rationale implies that we shouldn't!</t>
  </si>
  <si>
    <t xml:space="preserve"> AH/25 </t>
  </si>
  <si>
    <t xml:space="preserve"> Second para of legality rules </t>
  </si>
  <si>
    <t xml:space="preserve"> AH/26 </t>
  </si>
  <si>
    <t xml:space="preserve"> Appendix A </t>
  </si>
  <si>
    <t xml:space="preserve"> This section has not been reviewed by the review team. Recommend that it is either reviewed by the authors and updated or excluded from the version that goes to the advisory panel.</t>
  </si>
  <si>
    <t xml:space="preserve"> AH/27 </t>
  </si>
  <si>
    <t xml:space="preserve"> I've just realised that I've read some detail on Ghost Functions but didn't see anything on Ghost Types and Ghost Variables.</t>
  </si>
  <si>
    <t xml:space="preserve"> AH/28 </t>
  </si>
  <si>
    <t xml:space="preserve"> [M213-043] has been discussing whether or not a global aspect must always be put in place manually whenever there is a depends aspect that references globals. The conclusion of this discussion may affect the RM.</t>
  </si>
  <si>
    <t xml:space="preserve"> SM/1 </t>
  </si>
  <si>
    <t xml:space="preserve"> Copyright </t>
  </si>
  <si>
    <t xml:space="preserve"> Copyright should be Altran UK Ltd</t>
  </si>
  <si>
    <t xml:space="preserve"> SM/2 </t>
  </si>
  <si>
    <t xml:space="preserve"> SM to confirm use of GFDL with Romain. Probably ok.</t>
  </si>
  <si>
    <t xml:space="preserve"> SM/3 </t>
  </si>
  <si>
    <t xml:space="preserve"> Introduction</t>
  </si>
  <si>
    <t xml:space="preserve"> 3/3</t>
  </si>
  <si>
    <t xml:space="preserve"> Are there really Aspects that are defined to support the interface between tested and proven units? - which ones?</t>
  </si>
  <si>
    <t xml:space="preserve"> SM/4</t>
  </si>
  <si>
    <t xml:space="preserve"> 3/5</t>
  </si>
  <si>
    <t xml:space="preserve"> GNAT (in caps)</t>
  </si>
  <si>
    <t xml:space="preserve"> SM/5</t>
  </si>
  <si>
    <t xml:space="preserve"> 3/7</t>
  </si>
  <si>
    <t xml:space="preserve"> Reword "... Given ... gives ... given" eg. replace last "given" by "specified"</t>
  </si>
  <si>
    <t xml:space="preserve"> SM/6</t>
  </si>
  <si>
    <t xml:space="preserve"> 4/bullet 1</t>
  </si>
  <si>
    <t xml:space="preserve"> Typo "aspect and pragamas" -&gt; "aspects and pragmas"</t>
  </si>
  <si>
    <t xml:space="preserve"> SM/7</t>
  </si>
  <si>
    <t xml:space="preserve"> We need a note somewhere that the pragmas are still to be added to the LRM.</t>
  </si>
  <si>
    <t xml:space="preserve"> SM/8</t>
  </si>
  <si>
    <t xml:space="preserve"> 5/bullet 3</t>
  </si>
  <si>
    <t xml:space="preserve"> Strictly speaking, a check can't be raised, so some rewording needed here.</t>
  </si>
  <si>
    <t xml:space="preserve"> SM/9</t>
  </si>
  <si>
    <t xml:space="preserve"> 5/last para of 1.5</t>
  </si>
  <si>
    <t xml:space="preserve"> Suggest you either define "formal program verification" (or maybe just "formal verification") as "formal verification of robustness properties and functional properties taken together" (similar to how "flow analysis" is defined).</t>
  </si>
  <si>
    <t xml:space="preserve"> SM/10</t>
  </si>
  <si>
    <t xml:space="preserve"> General</t>
  </si>
  <si>
    <t xml:space="preserve"> n/a</t>
  </si>
  <si>
    <t xml:space="preserve"> *Not for this draft* - ToDo: consider adding a glossary with terms such as "flow analysis" and "formal [program] verification" defined.</t>
  </si>
  <si>
    <t xml:space="preserve"> SM/11</t>
  </si>
  <si>
    <t xml:space="preserve"> 1.5.1</t>
  </si>
  <si>
    <t xml:space="preserve"> 5/2</t>
  </si>
  <si>
    <t xml:space="preserve"> Is talking about an Assume as an assertion strictly correct? Maybe this will become clearer  when the Proof Statements section has been added.</t>
  </si>
  <si>
    <t xml:space="preserve"> SM/12</t>
  </si>
  <si>
    <t xml:space="preserve"> 5/final para of 1.5.1</t>
  </si>
  <si>
    <t xml:space="preserve"> The first sentence needs to be reworded. It could be read as saying that the tools will give a different answer depending on the platform they are run on. I know this isn't what it is supposed to say. "Note that formal verification must take account of the environment in which a program will be executed"?</t>
  </si>
  <si>
    <t xml:space="preserve"> SM/13</t>
  </si>
  <si>
    <t xml:space="preserve"> 5/second para of 1.6</t>
  </si>
  <si>
    <t xml:space="preserve"> I'm not sure "invalid" is the right word. "unverified"?</t>
  </si>
  <si>
    <t xml:space="preserve"> SM/14</t>
  </si>
  <si>
    <t xml:space="preserve"> 1.7.1</t>
  </si>
  <si>
    <t xml:space="preserve"> Suggest starting para with "Code Policies" rather than "Guidelines".</t>
  </si>
  <si>
    <t xml:space="preserve"> SM/15</t>
  </si>
  <si>
    <t xml:space="preserve"> </t>
  </si>
  <si>
    <t xml:space="preserve"> Is the use of square brackets used to denote something? If not, suggest use of normal brackets.</t>
  </si>
  <si>
    <t xml:space="preserve"> SM/16</t>
  </si>
  <si>
    <t xml:space="preserve"> 7/bullet 1</t>
  </si>
  <si>
    <t xml:space="preserve"> Delete "although" and start new sentence.</t>
  </si>
  <si>
    <t xml:space="preserve"> SM/17</t>
  </si>
  <si>
    <t xml:space="preserve"> 8/bullet 4</t>
  </si>
  <si>
    <t xml:space="preserve"> We need to loosen this statement - we are considering not re-implementing the integrity contract.</t>
  </si>
  <si>
    <t xml:space="preserve"> SM/18</t>
  </si>
  <si>
    <t xml:space="preserve"> 1.9.1</t>
  </si>
  <si>
    <t xml:space="preserve"> 9/bullet 6</t>
  </si>
  <si>
    <t xml:space="preserve"> "tools"-&gt;"language".</t>
  </si>
  <si>
    <t xml:space="preserve"> SM/19</t>
  </si>
  <si>
    <t xml:space="preserve"> 1.9.2</t>
  </si>
  <si>
    <t xml:space="preserve"> 9/5</t>
  </si>
  <si>
    <t xml:space="preserve"> Insert "at least" before "as good as".</t>
  </si>
  <si>
    <t xml:space="preserve"> SM/20</t>
  </si>
  <si>
    <t xml:space="preserve"> 1.9.3</t>
  </si>
  <si>
    <t xml:space="preserve"> 10/bullet 1</t>
  </si>
  <si>
    <t xml:space="preserve"> How could something as specific as being an ATM system drive a code policy - other than being by virtue of a standard? Just "Server class" is ok, or maybe "Server class information systems"?</t>
  </si>
  <si>
    <t xml:space="preserve"> SM/21</t>
  </si>
  <si>
    <t xml:space="preserve"> 1.9.5</t>
  </si>
  <si>
    <t xml:space="preserve"> 11/2</t>
  </si>
  <si>
    <t xml:space="preserve"> Something wrong with grammar of first sentence.</t>
  </si>
  <si>
    <t xml:space="preserve"> SM/22</t>
  </si>
  <si>
    <t xml:space="preserve"> 1.9.6</t>
  </si>
  <si>
    <t xml:space="preserve"> 13/2</t>
  </si>
  <si>
    <t xml:space="preserve"> Do we say what this new aspect is somewhere - or is that part of the ToDo?</t>
  </si>
  <si>
    <t xml:space="preserve"> SM/23</t>
  </si>
  <si>
    <t xml:space="preserve"> 1.10.1</t>
  </si>
  <si>
    <t xml:space="preserve"> Suggest term being defined is highlighted or italicised.</t>
  </si>
  <si>
    <t xml:space="preserve"> SM/24</t>
  </si>
  <si>
    <t xml:space="preserve"> Why "interim"?</t>
  </si>
  <si>
    <t xml:space="preserve"> SM/25</t>
  </si>
  <si>
    <t xml:space="preserve"> Number missing from legaility rule 2.</t>
  </si>
  <si>
    <t xml:space="preserve"> SM/26</t>
  </si>
  <si>
    <t xml:space="preserve"> 10.1 (and elsewhere?)</t>
  </si>
  <si>
    <t xml:space="preserve"> Suggest we either hide Notes in the issued draft or tidy-up the language a bit "... I don't understand ..." seems a bit informal.</t>
  </si>
  <si>
    <t xml:space="preserve"> SM/27</t>
  </si>
  <si>
    <t xml:space="preserve"> "toolset"-&gt;"language".</t>
  </si>
  <si>
    <t xml:space="preserve"> SM/28</t>
  </si>
  <si>
    <t xml:space="preserve"> A</t>
  </si>
  <si>
    <t xml:space="preserve"> 75 onwards</t>
  </si>
  <si>
    <t xml:space="preserve"> We should include an up-to-date mapping spec if we can do so without delaying release of the document.</t>
  </si>
  <si>
    <t xml:space="preserve"> JEB01</t>
  </si>
  <si>
    <t xml:space="preserve"> para 1.</t>
  </si>
  <si>
    <t xml:space="preserve"> Typo: "with subsequent releases of the toolset" (not software) to be consistent with earlier text.</t>
  </si>
  <si>
    <t xml:space="preserve"> JEB02</t>
  </si>
  <si>
    <t xml:space="preserve"> last line.</t>
  </si>
  <si>
    <t xml:space="preserve"> Mandatory : What are you trying to convey here. Clearly the content of the document may change when the document is updated. Do you actually mean that the target of particular scope of work may change?</t>
  </si>
  <si>
    <t xml:space="preserve"> JEB03</t>
  </si>
  <si>
    <t xml:space="preserve"> Item 1.</t>
  </si>
  <si>
    <t xml:space="preserve"> Typos: expression -&gt; expressions AND pragamas -&gt; pragmas.</t>
  </si>
  <si>
    <t xml:space="preserve"> JEB04</t>
  </si>
  <si>
    <t xml:space="preserve"> Desirable: The use of hyperlink cross references that refer to names rather than section numbers makes a print-out of the document hard to navigate. Would it be possible to include the section number / page number in these cross references too?</t>
  </si>
  <si>
    <t xml:space="preserve"> JEB05</t>
  </si>
  <si>
    <t xml:space="preserve"> 1.7.2</t>
  </si>
  <si>
    <t xml:space="preserve"> Final</t>
  </si>
  <si>
    <t xml:space="preserve"> Typo: easier to read as "... belong in this document, in future it...." (replace "then" with ",")</t>
  </si>
  <si>
    <t xml:space="preserve"> JEB06</t>
  </si>
  <si>
    <t>1.7.4</t>
  </si>
  <si>
    <t xml:space="preserve"> Final sentence</t>
  </si>
  <si>
    <t xml:space="preserve"> Typo: replace "that" with "this" I think. "Where greater precision is required, this will..."</t>
  </si>
  <si>
    <t xml:space="preserve"> JEB07</t>
  </si>
  <si>
    <t xml:space="preserve"> 1.7.5</t>
  </si>
  <si>
    <t xml:space="preserve"> Desirable: Could we cross reference section 1.10 here? End of chapter is a bit vague especially as the final section in this chapter is Notes on the current draft.</t>
  </si>
  <si>
    <t xml:space="preserve"> JEB08</t>
  </si>
  <si>
    <t xml:space="preserve"> para 7.</t>
  </si>
  <si>
    <t xml:space="preserve"> Typo: "but a may" should read "but may"</t>
  </si>
  <si>
    <t xml:space="preserve"> JEB09 </t>
  </si>
  <si>
    <t xml:space="preserve">  page 8 para 2.</t>
  </si>
  <si>
    <t xml:space="preserve"> Desirable: Phrase "are only partly within the SPARK 2014 language and other parts in another language" is difficult to read, perhaps replace "and" with "with" or replace "and other parts in another language" with "where other parts are in another language".</t>
  </si>
  <si>
    <t xml:space="preserve"> JEB10</t>
  </si>
  <si>
    <t xml:space="preserve"> page 8 para 2</t>
  </si>
  <si>
    <t xml:space="preserve"> Mandatory: Why "|SPARK|"? is this some control sequence?</t>
  </si>
  <si>
    <t xml:space="preserve"> JEB11</t>
  </si>
  <si>
    <t xml:space="preserve"> page 8</t>
  </si>
  <si>
    <t xml:space="preserve"> Mandatory: The statement "Support for specifying and verifying properties of secure systems shall be improved" is a very weak statement, improved as compared with what?</t>
  </si>
  <si>
    <t xml:space="preserve"> JEB12</t>
  </si>
  <si>
    <t xml:space="preserve"> page 8 Final bullet</t>
  </si>
  <si>
    <t xml:space="preserve"> Desirable: I don't like the use of the word "significant". Do you mean "observable effect" or "discernable effect".</t>
  </si>
  <si>
    <t xml:space="preserve"> JEB13</t>
  </si>
  <si>
    <t xml:space="preserve"> Desirable: It would be useful to make a statement as to which milestone this document corresponds to. Throughout we refer to things being deferred to Milestone A or Release B. I would like to see something that states that this is Milestone X version so that we know how soon deferred material will appear and it would enable checking that there are no references to past milestones.</t>
  </si>
  <si>
    <t xml:space="preserve"> JEB14</t>
  </si>
  <si>
    <t xml:space="preserve"> Observation: Will generative analysis support abstract state? Or will it be based purely on the concrete state.</t>
  </si>
  <si>
    <t xml:space="preserve"> JEB15</t>
  </si>
  <si>
    <t>4.1.4</t>
  </si>
  <si>
    <t xml:space="preserve"> Second ToDo</t>
  </si>
  <si>
    <t xml:space="preserve"> Observation: As Language Defined attributes form Appendix K of the ARM I suggest that the supported Attributes should be presented in an appendix.</t>
  </si>
  <si>
    <t xml:space="preserve"> JEB16</t>
  </si>
  <si>
    <t xml:space="preserve"> Sections 2 onward</t>
  </si>
  <si>
    <t xml:space="preserve"> Desirable: Where language restrictions are made it would be nice if there was a trace back to the strategic requirement that causes the restriction. I think this would help motivate the restrictions.</t>
  </si>
  <si>
    <t xml:space="preserve"> JEB17</t>
  </si>
  <si>
    <t xml:space="preserve"> Item 1</t>
  </si>
  <si>
    <t xml:space="preserve"> Desirable: Put delay_statement before abort_statement to match order in ARM.</t>
  </si>
  <si>
    <t xml:space="preserve"> JEB0</t>
  </si>
  <si>
    <t xml:space="preserve"> page 31 para 2</t>
  </si>
  <si>
    <t xml:space="preserve"> Mandatory: Why "[SPARK]" is this a control sequence that should be expanded to SPARK 2014?</t>
  </si>
  <si>
    <t>6.1.3</t>
  </si>
  <si>
    <t xml:space="preserve"> page 33</t>
  </si>
  <si>
    <t xml:space="preserve"> Desirable: Is the function "Exactly_One_Of" defined somewhere? Surely this expands to   (A1 and not A2 and not ... and not An) Or (not A1 and A2 and not ... and not An) Or ... Or (not A1 and not A2 and not ... and An) </t>
  </si>
  <si>
    <t xml:space="preserve"> JEB18</t>
  </si>
  <si>
    <t xml:space="preserve"> 6.1.3</t>
  </si>
  <si>
    <t xml:space="preserve"> page 34 Verification Rule 1</t>
  </si>
  <si>
    <t xml:space="preserve"> Typo : "has to proven" should read "has to be proven"</t>
  </si>
  <si>
    <t xml:space="preserve"> JEB19</t>
  </si>
  <si>
    <t xml:space="preserve"> 6.1.4</t>
  </si>
  <si>
    <t xml:space="preserve"> page 35 first para</t>
  </si>
  <si>
    <t xml:space="preserve"> Observation : I take it that in this requirement the formal parameter referred to is a formal parameter of an enclosing subprogram, otherwise it would suggest that global lists include the formal parameters of the subprogram declaration with which they are associated.</t>
  </si>
  <si>
    <t xml:space="preserve"> JEB20</t>
  </si>
  <si>
    <t xml:space="preserve"> page 35 Semantics last requirement</t>
  </si>
  <si>
    <t xml:space="preserve"> Desirable: I assume that In_Out is both and input and an output mode. Would this not be clearer to state that a global data item that is only used in a proof context must have a Proof_In mode?</t>
  </si>
  <si>
    <t xml:space="preserve"> JEB21</t>
  </si>
  <si>
    <t xml:space="preserve"> page 36 Dynamic Semantics</t>
  </si>
  <si>
    <t xml:space="preserve"> Typo : "Global aspect" not just "Global" to be consistent with rest of section.</t>
  </si>
  <si>
    <t xml:space="preserve"> JEB22</t>
  </si>
  <si>
    <t xml:space="preserve"> 6.3.3</t>
  </si>
  <si>
    <t xml:space="preserve"> page 42 First para in section</t>
  </si>
  <si>
    <t xml:space="preserve"> Typo: "its its" should read "its". Remove duplicate word.</t>
  </si>
  <si>
    <t xml:space="preserve"> JEB23</t>
  </si>
  <si>
    <t xml:space="preserve"> 6.3.3 and 6.3.4</t>
  </si>
  <si>
    <t xml:space="preserve"> Comment withdrawn</t>
  </si>
  <si>
    <t xml:space="preserve"> JEB24</t>
  </si>
  <si>
    <t>6.4.2</t>
  </si>
  <si>
    <t xml:space="preserve"> page 44 Verification rules 1</t>
  </si>
  <si>
    <t xml:space="preserve"> Typo: "at least one of corresponding" should read "at least one of the corresponding"</t>
  </si>
  <si>
    <t xml:space="preserve"> JEB25</t>
  </si>
  <si>
    <t xml:space="preserve"> 6.4.2</t>
  </si>
  <si>
    <t xml:space="preserve"> page 44 Verification rules 2 and 3</t>
  </si>
  <si>
    <t xml:space="preserve"> I would prefer to see these two rules reworded in the form "In SPARK 2014, a procedure call shall not pass..." The current wording is a bit difficult to read and not as formal as other rules, also it would be helpful if each rule statement was stand alone.</t>
  </si>
  <si>
    <t xml:space="preserve"> JEB26</t>
  </si>
  <si>
    <t xml:space="preserve"> page 47 second para.</t>
  </si>
  <si>
    <t xml:space="preserve"> Observation: is it possible to avoid the double negative here.</t>
  </si>
  <si>
    <t xml:space="preserve"> JEB27</t>
  </si>
  <si>
    <t xml:space="preserve"> 7.1.2</t>
  </si>
  <si>
    <t xml:space="preserve"> page 48 para 2</t>
  </si>
  <si>
    <t xml:space="preserve"> Desirable: the use of the word "may" here suggests that the Volatile Input can appear as an Output in global aspects is that really possible? Similarly for Volatile Output.</t>
  </si>
  <si>
    <t xml:space="preserve"> JEB28</t>
  </si>
  <si>
    <t xml:space="preserve"> 7.1.3</t>
  </si>
  <si>
    <t xml:space="preserve"> page 48 item 1 Rationale</t>
  </si>
  <si>
    <t xml:space="preserve"> Typo: "since modular is analysis performed" should read "since modular analysis is performed"</t>
  </si>
  <si>
    <t xml:space="preserve"> JEB29</t>
  </si>
  <si>
    <t xml:space="preserve"> page 50</t>
  </si>
  <si>
    <t xml:space="preserve"> Typo, should the static semantics numbered items restart from 1 twice (following notes)?</t>
  </si>
  <si>
    <t xml:space="preserve"> JEB30</t>
  </si>
  <si>
    <t xml:space="preserve"> page 50 second item 2.</t>
  </si>
  <si>
    <t xml:space="preserve"> Typo, "specification is is" should read "specification is"</t>
  </si>
  <si>
    <t xml:space="preserve"> JEB31</t>
  </si>
  <si>
    <t xml:space="preserve"> page 50 Verification Rules</t>
  </si>
  <si>
    <t xml:space="preserve"> Typo, "Verification Rules" is capitalised here but "dynamic semantics" is not in the next para. Which is right?</t>
  </si>
  <si>
    <t xml:space="preserve"> JEB32</t>
  </si>
  <si>
    <t xml:space="preserve"> 7.1.5</t>
  </si>
  <si>
    <t xml:space="preserve"> page 52 items 2 and 3</t>
  </si>
  <si>
    <t xml:space="preserve"> Typo: I think you mean "initial condition specific" not "initializes-specific" in both these paras.</t>
  </si>
  <si>
    <t xml:space="preserve"> JEB33</t>
  </si>
  <si>
    <t xml:space="preserve"> 7.2.6</t>
  </si>
  <si>
    <t xml:space="preserve"> page 56 para 7 (3rd requirement, 2nd bullet)</t>
  </si>
  <si>
    <t xml:space="preserve"> Desirable: This would be easier to read as "Abstract(X) does not have another mode" rather than "Abstract(X) will not have another mode".</t>
  </si>
  <si>
    <t xml:space="preserve"> JEB34</t>
  </si>
  <si>
    <t xml:space="preserve"> Appendix A</t>
  </si>
  <si>
    <t xml:space="preserve"> Through-out (eg page 113 code line 24, page 120 code line 13)</t>
  </si>
  <si>
    <t xml:space="preserve"> Desirable: I appreciate that the appendix was not subject to review but if it is being published with the remaining LRM then I really think that the examples must match the LRM. In particular the use of "Refined_ " aspects is very patchy in the appendix. Originally this caused me to believe that the material in 6.3.3 and 6.3.4 regarding where Global and Depends aspects may appear were wrong.</t>
  </si>
  <si>
    <t xml:space="preserve"> JEB35</t>
  </si>
  <si>
    <t xml:space="preserve"> Observation: Much improved from last time. Note that I have not commented where I feel the subsequent "ToDo" addresses a weakness in the preceding text.</t>
  </si>
  <si>
    <t xml:space="preserve"> FS</t>
  </si>
  <si>
    <t xml:space="preserve"> title page</t>
  </si>
  <si>
    <t xml:space="preserve"> It still says Altran Praxis</t>
  </si>
  <si>
    <t xml:space="preserve"> I thought we were going to move to references that included section
numbers to allow people to read printed copies? NB I don't mind personally but if another senior reviewer has previously suggested it we should try to do it or have a good reason for note doing it.</t>
  </si>
  <si>
    <t xml:space="preserve"> This para restricts the operation of the tools by mandating an ordering
but I don't think this is necessary. However, it is probably worth stating things like: flow analysis is not valid and may not be possible if the legality rules are not met. </t>
  </si>
  <si>
    <t xml:space="preserve"> The first Todo appears to contain a heading, making it look like the Todo
is empty.</t>
  </si>
  <si>
    <t xml:space="preserve"> Does this definition include globals of the subprogram? I suspect it does
but as you explicitly state formal parameters are included but don't explicitly state globals then it becomes less clear.</t>
  </si>
  <si>
    <t xml:space="preserve"> I thought we were planning on analysing fields in records independently.
This requirement may therefore be relaxed. This needs discussion before making any changes.</t>
  </si>
  <si>
    <t>AH</t>
  </si>
  <si>
    <t>SM</t>
  </si>
  <si>
    <t>JEB</t>
  </si>
  <si>
    <t>FS</t>
  </si>
  <si>
    <r>
      <t xml:space="preserve"> The second para appears to contain a contradiction "Raise expressions are not in SPARK 2014; for a raise statement to be in SPARK 2014" unless there is a subtlety to the terms "raise expression" and "raise statement" that I'm not aware of.
</t>
    </r>
    <r>
      <rPr>
        <sz val="10"/>
        <color rgb="FFFF0000"/>
        <rFont val="Franklin Gothic Book"/>
        <family val="2"/>
      </rPr>
      <t>Further comment from Gary Dismukes:
There is such a subtlety. 
Raise_expression is a feature discussed by the ARG (AI12-0022)
that can be used to specify an exception to be raised for assertions
(among other things).  It allows a raise to occur in expression
contexts.  This feature is being added "retroactively" to Ada 2012.
See:
http://www.ada-auth.org/cgi-bin/cvsweb.cgi/ai12s/ai12-0022-1.txt?rev=1.8
-- Gary</t>
    </r>
  </si>
  <si>
    <r>
      <t xml:space="preserve"> Is this Syntax section supposed to be complete? The Todo suggests it isn't. If it is supposed to be complete then "discrete_expression" needs to be defined.
</t>
    </r>
    <r>
      <rPr>
        <sz val="10"/>
        <color rgb="FFFF0000"/>
        <rFont val="Franklin Gothic Book"/>
        <family val="2"/>
      </rPr>
      <t>Further comment from Steve Baird:
One problem here is that "discrete_" should be italicized.
The Ada RM (1.1.4(14)) says:
  If the name of any syntactic category starts with an italicized part,
  it is equivalent to the category name without the italicized part.
  The italicized part is intended to convey some semantic information.
  For example subtype_name and task_name are both equivalent to name
  alone.
with "subtype_" and "task_" in the above text italicized.
The "provide detail" todo note seems to refer to the fact that
(for reasons that are unclear to me) the definitions of these
constructs have been removed.
  -- Steve</t>
    </r>
  </si>
  <si>
    <t>All references to Praxis
concerted to Altran.</t>
  </si>
  <si>
    <t>Y</t>
  </si>
  <si>
    <t>JIB</t>
  </si>
  <si>
    <t>Updated</t>
  </si>
  <si>
    <t>Duplicate of AH/26.</t>
  </si>
  <si>
    <t>Fixed</t>
  </si>
  <si>
    <t>Done</t>
  </si>
  <si>
    <t>Steve Baird has been
happy as our Ada RM
expert that this is OK, so no need to fix.</t>
  </si>
  <si>
    <t>Duplicate of AH/20.</t>
  </si>
  <si>
    <t>Duplicate of AH/18.</t>
  </si>
  <si>
    <t>Should be capitalised;
has now been corrected.</t>
  </si>
  <si>
    <t>This will automatically
be corrected when the notes are removed.</t>
  </si>
  <si>
    <t>Duplicate of AH/12.</t>
  </si>
  <si>
    <t>Corrected.</t>
  </si>
  <si>
    <t>I was trying not to refer
to the actual syntax in the higher-level requirements. I think this is clear enough as
it is.</t>
  </si>
  <si>
    <t>Added explanatory text.</t>
  </si>
  <si>
    <t>Added text to indicate
that currently no 
extensions or restrictions identified.</t>
  </si>
  <si>
    <t>A note has been added
to the ToDo.</t>
  </si>
</sst>
</file>

<file path=xl/styles.xml><?xml version="1.0" encoding="utf-8"?>
<styleSheet xmlns="http://schemas.openxmlformats.org/spreadsheetml/2006/main">
  <numFmts count="5">
    <numFmt numFmtId="164" formatCode="dd\ mmmm\ yyyy"/>
    <numFmt numFmtId="165" formatCode="0.0"/>
    <numFmt numFmtId="166" formatCode="[h]:mm"/>
    <numFmt numFmtId="167" formatCode="&quot;Y&quot;"/>
    <numFmt numFmtId="168" formatCode="dd\ mmmm\ yyyy\ hh:mm"/>
  </numFmts>
  <fonts count="21">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name val="Franklin Gothic Book"/>
      <family val="2"/>
    </font>
    <font>
      <sz val="10"/>
      <name val="Arial"/>
      <family val="2"/>
    </font>
    <font>
      <b/>
      <sz val="18"/>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7"/>
      <name val="Franklin Gothic Book"/>
      <family val="2"/>
    </font>
    <font>
      <b/>
      <sz val="14"/>
      <name val="Franklin Gothic Book"/>
      <family val="2"/>
    </font>
    <font>
      <b/>
      <sz val="10"/>
      <color rgb="FFFF0000"/>
      <name val="Franklin Gothic Book"/>
      <family val="2"/>
    </font>
    <font>
      <sz val="10"/>
      <color theme="0"/>
      <name val="Franklin Gothic Book"/>
      <family val="2"/>
    </font>
    <font>
      <sz val="9"/>
      <color theme="0"/>
      <name val="Franklin Gothic Book"/>
      <family val="2"/>
    </font>
    <font>
      <sz val="10"/>
      <color rgb="FFFF0000"/>
      <name val="Franklin Gothic Book"/>
      <family val="2"/>
    </font>
  </fonts>
  <fills count="14">
    <fill>
      <patternFill patternType="none"/>
    </fill>
    <fill>
      <patternFill patternType="gray125"/>
    </fill>
    <fill>
      <patternFill patternType="solid">
        <fgColor indexed="22"/>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1">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240">
    <xf numFmtId="0" fontId="0" fillId="0" borderId="0" xfId="0"/>
    <xf numFmtId="0" fontId="5" fillId="0" borderId="0" xfId="0" applyFont="1"/>
    <xf numFmtId="0" fontId="6"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7" applyFont="1" applyAlignment="1">
      <alignment vertical="top" wrapText="1"/>
      <protection locked="0"/>
    </xf>
    <xf numFmtId="0" fontId="1" fillId="0" borderId="2" xfId="7" applyBorder="1">
      <alignment horizontal="left" vertical="top" wrapText="1"/>
      <protection locked="0"/>
    </xf>
    <xf numFmtId="0" fontId="1" fillId="0" borderId="3" xfId="7" applyFont="1" applyBorder="1">
      <alignment horizontal="left" vertical="top" wrapText="1"/>
      <protection locked="0"/>
    </xf>
    <xf numFmtId="0" fontId="1" fillId="0" borderId="0" xfId="5"/>
    <xf numFmtId="0" fontId="3" fillId="0" borderId="0" xfId="1"/>
    <xf numFmtId="0" fontId="9" fillId="0" borderId="2" xfId="7" applyFont="1" applyBorder="1" applyAlignment="1">
      <alignment horizontal="left" vertical="top" wrapText="1"/>
      <protection locked="0"/>
    </xf>
    <xf numFmtId="0" fontId="1" fillId="0" borderId="4" xfId="7" applyFont="1" applyBorder="1" applyAlignment="1">
      <alignment horizontal="left" vertical="top" wrapText="1"/>
      <protection locked="0"/>
    </xf>
    <xf numFmtId="0" fontId="0" fillId="0" borderId="3" xfId="7" applyFont="1" applyBorder="1" applyAlignment="1">
      <alignment horizontal="left" vertical="top" wrapText="1"/>
      <protection locked="0"/>
    </xf>
    <xf numFmtId="0" fontId="0" fillId="0" borderId="1" xfId="7" applyFont="1">
      <alignment horizontal="left" vertical="top" wrapText="1"/>
      <protection locked="0"/>
    </xf>
    <xf numFmtId="0" fontId="1" fillId="0" borderId="1" xfId="7" applyFont="1" applyAlignment="1">
      <alignment horizontal="left" vertical="top" wrapText="1"/>
      <protection locked="0"/>
    </xf>
    <xf numFmtId="0" fontId="2" fillId="2" borderId="1" xfId="10">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4"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17"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3" borderId="1" xfId="5" applyFill="1" applyBorder="1" applyAlignment="1">
      <alignment horizontal="center"/>
    </xf>
    <xf numFmtId="0" fontId="3" fillId="0" borderId="0" xfId="1" applyFont="1"/>
    <xf numFmtId="0" fontId="1" fillId="0" borderId="0" xfId="5" applyProtection="1"/>
    <xf numFmtId="9" fontId="1" fillId="0" borderId="5" xfId="6" applyBorder="1" applyAlignment="1" applyProtection="1">
      <alignment horizontal="left" vertical="top" wrapText="1"/>
    </xf>
    <xf numFmtId="0" fontId="1" fillId="0" borderId="5" xfId="5" applyBorder="1" applyAlignment="1" applyProtection="1">
      <alignment horizontal="left"/>
    </xf>
    <xf numFmtId="0" fontId="2" fillId="2" borderId="6" xfId="10" applyFont="1" applyBorder="1">
      <alignment horizontal="left" vertical="top" wrapText="1"/>
    </xf>
    <xf numFmtId="9" fontId="1" fillId="0" borderId="3" xfId="6" applyBorder="1" applyAlignment="1" applyProtection="1">
      <alignment horizontal="left" vertical="top" wrapText="1"/>
    </xf>
    <xf numFmtId="0" fontId="1" fillId="0" borderId="1" xfId="7" applyBorder="1" applyProtection="1">
      <alignment horizontal="left" vertical="top" wrapText="1"/>
    </xf>
    <xf numFmtId="0" fontId="2" fillId="2" borderId="3" xfId="10" applyBorder="1">
      <alignment horizontal="left" vertical="top" wrapText="1"/>
    </xf>
    <xf numFmtId="9" fontId="1" fillId="0" borderId="1" xfId="6" applyBorder="1" applyAlignment="1" applyProtection="1">
      <alignment horizontal="left" vertical="top" wrapText="1"/>
    </xf>
    <xf numFmtId="0" fontId="1" fillId="0" borderId="0" xfId="5" applyBorder="1" applyAlignment="1" applyProtection="1"/>
    <xf numFmtId="0" fontId="1" fillId="0" borderId="3" xfId="7" applyBorder="1" applyAlignment="1" applyProtection="1">
      <alignment horizontal="left" vertical="top" wrapText="1"/>
    </xf>
    <xf numFmtId="0" fontId="2" fillId="2" borderId="1" xfId="10" applyFont="1" applyBorder="1" applyAlignment="1">
      <alignment horizontal="left" vertical="top" wrapText="1"/>
    </xf>
    <xf numFmtId="0" fontId="1" fillId="0" borderId="1" xfId="7" applyFont="1" applyAlignment="1" applyProtection="1">
      <alignment horizontal="center" vertical="top" wrapText="1"/>
    </xf>
    <xf numFmtId="2" fontId="1" fillId="0" borderId="7" xfId="7" applyNumberFormat="1" applyFont="1" applyBorder="1" applyAlignment="1" applyProtection="1">
      <alignment horizontal="center" vertical="top" wrapText="1"/>
    </xf>
    <xf numFmtId="2" fontId="1" fillId="0" borderId="1" xfId="7" applyNumberFormat="1" applyFont="1" applyAlignment="1" applyProtection="1">
      <alignment horizontal="center" vertical="top" wrapText="1"/>
    </xf>
    <xf numFmtId="0" fontId="1" fillId="0" borderId="1" xfId="7" applyAlignment="1" applyProtection="1">
      <alignment horizontal="center" vertical="top" wrapText="1"/>
    </xf>
    <xf numFmtId="0" fontId="1" fillId="0" borderId="8" xfId="7" applyBorder="1" applyAlignment="1" applyProtection="1">
      <alignment horizontal="center" vertical="top" wrapText="1"/>
    </xf>
    <xf numFmtId="0" fontId="1" fillId="0" borderId="1" xfId="7" applyProtection="1">
      <alignment horizontal="left" vertical="top" wrapText="1"/>
    </xf>
    <xf numFmtId="0" fontId="1" fillId="0" borderId="0" xfId="7" applyBorder="1" applyAlignment="1" applyProtection="1">
      <alignment horizontal="center" vertical="top" wrapText="1"/>
    </xf>
    <xf numFmtId="167" fontId="1" fillId="0" borderId="1" xfId="7" applyNumberFormat="1" applyAlignment="1" applyProtection="1">
      <alignment horizontal="center" vertical="top" wrapText="1"/>
    </xf>
    <xf numFmtId="0" fontId="0" fillId="0" borderId="0" xfId="7" applyNumberFormat="1" applyFont="1" applyBorder="1" applyAlignment="1" applyProtection="1">
      <alignment horizontal="center" vertical="top" wrapText="1"/>
    </xf>
    <xf numFmtId="0" fontId="1" fillId="0" borderId="0" xfId="4"/>
    <xf numFmtId="0" fontId="1" fillId="0" borderId="0" xfId="4" applyAlignment="1">
      <alignment horizontal="center"/>
    </xf>
    <xf numFmtId="0" fontId="1" fillId="0" borderId="1" xfId="4" applyBorder="1" applyAlignment="1" applyProtection="1">
      <alignment horizontal="center" vertical="top" wrapText="1"/>
    </xf>
    <xf numFmtId="0" fontId="1" fillId="0" borderId="1" xfId="4" applyBorder="1" applyProtection="1">
      <protection locked="0"/>
    </xf>
    <xf numFmtId="0" fontId="1" fillId="0" borderId="1" xfId="9" applyProtection="1">
      <alignment horizontal="left" vertical="top" wrapText="1"/>
      <protection locked="0"/>
    </xf>
    <xf numFmtId="0" fontId="1" fillId="0" borderId="1" xfId="9"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1" xfId="9" applyFont="1" applyAlignment="1" applyProtection="1">
      <alignment horizontal="left" vertical="top" wrapText="1"/>
      <protection locked="0"/>
    </xf>
    <xf numFmtId="0" fontId="2" fillId="2" borderId="1" xfId="4" applyFont="1" applyFill="1" applyBorder="1" applyAlignment="1">
      <alignment horizontal="center" vertical="top" wrapText="1"/>
    </xf>
    <xf numFmtId="0" fontId="1" fillId="0" borderId="9" xfId="4" applyBorder="1"/>
    <xf numFmtId="0" fontId="1" fillId="0" borderId="0" xfId="4" applyAlignment="1">
      <alignment horizontal="left" vertical="top" wrapText="1"/>
    </xf>
    <xf numFmtId="0" fontId="13" fillId="0" borderId="0" xfId="4" applyFont="1" applyAlignment="1">
      <alignment horizontal="left" vertical="top" wrapText="1"/>
    </xf>
    <xf numFmtId="0" fontId="1" fillId="0" borderId="0" xfId="4" applyNumberFormat="1" applyAlignment="1">
      <alignment horizontal="center" vertical="top" wrapText="1"/>
    </xf>
    <xf numFmtId="49" fontId="1" fillId="0" borderId="1" xfId="9" applyNumberFormat="1" applyFont="1">
      <alignment horizontal="left" vertical="top" wrapText="1"/>
      <protection locked="0"/>
    </xf>
    <xf numFmtId="0" fontId="1" fillId="0" borderId="1" xfId="9" applyNumberFormat="1" applyFont="1" applyAlignment="1" applyProtection="1">
      <alignment horizontal="center" vertical="top" wrapText="1"/>
    </xf>
    <xf numFmtId="49" fontId="1" fillId="0" borderId="1" xfId="9" applyNumberFormat="1">
      <alignment horizontal="left" vertical="top" wrapText="1"/>
      <protection locked="0"/>
    </xf>
    <xf numFmtId="0" fontId="1" fillId="0" borderId="1" xfId="9" applyFont="1">
      <alignment horizontal="left" vertical="top" wrapText="1"/>
      <protection locked="0"/>
    </xf>
    <xf numFmtId="0" fontId="2" fillId="2" borderId="1" xfId="10" applyFont="1" applyAlignment="1">
      <alignment horizontal="center" textRotation="90" wrapText="1"/>
    </xf>
    <xf numFmtId="0" fontId="1" fillId="0" borderId="0" xfId="4" applyAlignment="1" applyProtection="1">
      <alignment horizontal="left" vertical="top" wrapText="1"/>
    </xf>
    <xf numFmtId="0" fontId="13" fillId="0" borderId="0" xfId="4" applyFont="1" applyAlignment="1" applyProtection="1">
      <alignment horizontal="left" vertical="top" wrapText="1"/>
    </xf>
    <xf numFmtId="0" fontId="1" fillId="0" borderId="0" xfId="4" applyNumberFormat="1" applyAlignment="1" applyProtection="1">
      <alignment horizontal="center" vertical="top" wrapText="1"/>
    </xf>
    <xf numFmtId="0" fontId="3" fillId="0" borderId="0" xfId="1" applyProtection="1"/>
    <xf numFmtId="0" fontId="1" fillId="0" borderId="0" xfId="4" applyFont="1" applyBorder="1" applyAlignment="1" applyProtection="1">
      <alignment vertical="top" wrapText="1"/>
    </xf>
    <xf numFmtId="1" fontId="1" fillId="0" borderId="0" xfId="9" applyNumberFormat="1" applyFont="1" applyBorder="1" applyAlignment="1" applyProtection="1">
      <alignment vertical="top" wrapText="1"/>
    </xf>
    <xf numFmtId="164" fontId="1" fillId="0" borderId="0" xfId="9" applyNumberFormat="1" applyFont="1" applyBorder="1" applyAlignment="1">
      <alignment vertical="top" wrapText="1"/>
      <protection locked="0"/>
    </xf>
    <xf numFmtId="49" fontId="1" fillId="0" borderId="0" xfId="9"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3" borderId="1" xfId="5" applyFill="1" applyBorder="1"/>
    <xf numFmtId="0" fontId="1" fillId="0" borderId="1" xfId="5" applyBorder="1" applyProtection="1">
      <protection locked="0"/>
    </xf>
    <xf numFmtId="0" fontId="2" fillId="4" borderId="1" xfId="10" applyFont="1" applyFill="1" applyAlignment="1">
      <alignment horizontal="center" textRotation="90" wrapText="1"/>
    </xf>
    <xf numFmtId="0" fontId="6" fillId="4" borderId="1" xfId="4" applyFont="1" applyFill="1" applyBorder="1" applyAlignment="1">
      <alignment horizontal="left" vertical="top" wrapText="1"/>
    </xf>
    <xf numFmtId="0" fontId="2" fillId="5" borderId="1" xfId="10" applyFont="1" applyFill="1" applyAlignment="1">
      <alignment horizontal="center" textRotation="90" wrapText="1"/>
    </xf>
    <xf numFmtId="0" fontId="2" fillId="6" borderId="1" xfId="10" applyFont="1" applyFill="1" applyAlignment="1">
      <alignment horizontal="center" textRotation="90" wrapText="1"/>
    </xf>
    <xf numFmtId="0" fontId="2" fillId="6" borderId="1" xfId="10"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1" xfId="7" applyBorder="1" applyAlignment="1" applyProtection="1">
      <alignment horizontal="left" vertical="top" wrapText="1"/>
    </xf>
    <xf numFmtId="0" fontId="1" fillId="0" borderId="0" xfId="0" applyFont="1"/>
    <xf numFmtId="0" fontId="2" fillId="7" borderId="0" xfId="10" applyFill="1" applyBorder="1">
      <alignment horizontal="left" vertical="top" wrapText="1"/>
    </xf>
    <xf numFmtId="0" fontId="2" fillId="2" borderId="10" xfId="10" applyBorder="1">
      <alignment horizontal="left" vertical="top" wrapText="1"/>
    </xf>
    <xf numFmtId="0" fontId="2" fillId="4" borderId="1" xfId="10" applyFill="1">
      <alignment horizontal="left" vertical="top" wrapText="1"/>
    </xf>
    <xf numFmtId="0" fontId="2" fillId="6" borderId="1" xfId="10" applyFill="1">
      <alignment horizontal="left" vertical="top" wrapText="1"/>
    </xf>
    <xf numFmtId="0" fontId="2" fillId="6" borderId="1" xfId="5" applyFont="1" applyFill="1" applyBorder="1" applyAlignment="1">
      <alignment vertical="top" wrapText="1"/>
    </xf>
    <xf numFmtId="0" fontId="2" fillId="6" borderId="1" xfId="10" applyFill="1" applyAlignment="1">
      <alignment vertical="top" wrapText="1"/>
    </xf>
    <xf numFmtId="0" fontId="2" fillId="6" borderId="1" xfId="10" applyFont="1" applyFill="1">
      <alignment horizontal="left" vertical="top" wrapText="1"/>
    </xf>
    <xf numFmtId="0" fontId="2" fillId="6" borderId="1" xfId="4" applyFont="1" applyFill="1" applyBorder="1" applyAlignment="1">
      <alignment vertical="top" wrapText="1"/>
    </xf>
    <xf numFmtId="0" fontId="2" fillId="4" borderId="1" xfId="4" applyFont="1" applyFill="1" applyBorder="1" applyAlignment="1">
      <alignment vertical="top" wrapText="1"/>
    </xf>
    <xf numFmtId="0" fontId="14" fillId="6" borderId="1" xfId="10" applyFont="1" applyFill="1" applyAlignment="1">
      <alignment horizontal="center" textRotation="90" wrapText="1"/>
    </xf>
    <xf numFmtId="0" fontId="2" fillId="6" borderId="1" xfId="10" applyFill="1" applyAlignment="1">
      <alignment horizontal="center" textRotation="90" wrapText="1"/>
    </xf>
    <xf numFmtId="49" fontId="2" fillId="5" borderId="1" xfId="10" applyNumberFormat="1" applyFont="1" applyFill="1" applyAlignment="1">
      <alignment horizontal="center" textRotation="90" wrapText="1"/>
    </xf>
    <xf numFmtId="0" fontId="2" fillId="4" borderId="1" xfId="10" applyFont="1" applyFill="1">
      <alignment horizontal="left" vertical="top" wrapText="1"/>
    </xf>
    <xf numFmtId="14" fontId="0" fillId="0" borderId="0" xfId="0" applyNumberFormat="1"/>
    <xf numFmtId="0" fontId="2" fillId="8" borderId="1" xfId="10" applyFill="1" applyAlignment="1">
      <alignment horizontal="center" textRotation="90" wrapText="1"/>
    </xf>
    <xf numFmtId="0" fontId="2" fillId="8" borderId="1" xfId="10" applyNumberFormat="1" applyFont="1" applyFill="1" applyAlignment="1">
      <alignment horizontal="center" textRotation="90" wrapText="1"/>
    </xf>
    <xf numFmtId="0" fontId="18" fillId="0" borderId="0" xfId="4" applyFont="1" applyAlignment="1" applyProtection="1">
      <alignment horizontal="left" vertical="top" wrapText="1"/>
    </xf>
    <xf numFmtId="0" fontId="18" fillId="0" borderId="0" xfId="4" applyNumberFormat="1" applyFont="1" applyAlignment="1" applyProtection="1">
      <alignment horizontal="center" vertical="top" wrapText="1"/>
    </xf>
    <xf numFmtId="0" fontId="19" fillId="0" borderId="0" xfId="4" applyFont="1" applyAlignment="1" applyProtection="1">
      <alignment horizontal="left" vertical="top" wrapText="1"/>
    </xf>
    <xf numFmtId="0" fontId="17" fillId="0" borderId="0" xfId="5" applyFont="1" applyBorder="1" applyAlignment="1">
      <alignment horizontal="center"/>
    </xf>
    <xf numFmtId="0" fontId="1" fillId="0" borderId="1" xfId="9" applyFont="1" applyAlignment="1" applyProtection="1">
      <alignment horizontal="center" vertical="top" wrapText="1"/>
      <protection locked="0"/>
    </xf>
    <xf numFmtId="0" fontId="1" fillId="0" borderId="0" xfId="4" applyBorder="1" applyAlignment="1" applyProtection="1">
      <alignment vertical="top" wrapText="1"/>
    </xf>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8" fillId="0" borderId="0" xfId="5" applyNumberFormat="1" applyFont="1" applyProtection="1"/>
    <xf numFmtId="0" fontId="6" fillId="0" borderId="0" xfId="5" applyFont="1" applyProtection="1"/>
    <xf numFmtId="0" fontId="1" fillId="0" borderId="9"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18" fillId="0" borderId="0" xfId="5" applyFont="1" applyAlignment="1" applyProtection="1">
      <alignment horizontal="center"/>
    </xf>
    <xf numFmtId="0" fontId="2" fillId="5" borderId="1" xfId="10" applyFont="1" applyFill="1" applyProtection="1">
      <alignment horizontal="left" vertical="top" wrapText="1"/>
    </xf>
    <xf numFmtId="0" fontId="2" fillId="5" borderId="1" xfId="10" applyFont="1" applyFill="1" applyAlignment="1" applyProtection="1">
      <alignment horizontal="left" textRotation="90" wrapText="1"/>
    </xf>
    <xf numFmtId="0" fontId="2" fillId="5" borderId="1" xfId="10" applyFill="1" applyProtection="1">
      <alignment horizontal="left" vertical="top" wrapText="1"/>
    </xf>
    <xf numFmtId="0" fontId="2" fillId="2" borderId="1" xfId="10" applyBorder="1" applyAlignment="1" applyProtection="1">
      <alignment horizontal="center" textRotation="90" wrapText="1"/>
    </xf>
    <xf numFmtId="2" fontId="2" fillId="2" borderId="1" xfId="10" applyNumberFormat="1" applyAlignment="1" applyProtection="1">
      <alignment horizontal="center" vertical="top" wrapText="1"/>
    </xf>
    <xf numFmtId="0" fontId="2" fillId="2" borderId="1" xfId="10" applyAlignment="1" applyProtection="1">
      <alignment horizontal="center" vertical="top" wrapText="1"/>
    </xf>
    <xf numFmtId="0" fontId="2" fillId="2" borderId="1" xfId="10" applyAlignment="1" applyProtection="1">
      <alignment horizontal="center" textRotation="90" wrapText="1"/>
    </xf>
    <xf numFmtId="0" fontId="1" fillId="0" borderId="1" xfId="7" applyFont="1" applyProtection="1">
      <alignment horizontal="left" vertical="top" wrapText="1"/>
    </xf>
    <xf numFmtId="0" fontId="6" fillId="0" borderId="1" xfId="7" applyFont="1" applyProtection="1">
      <alignment horizontal="left" vertical="top" wrapText="1"/>
    </xf>
    <xf numFmtId="0" fontId="6" fillId="0" borderId="1" xfId="5" applyFont="1" applyBorder="1" applyAlignment="1" applyProtection="1">
      <alignment horizontal="center"/>
    </xf>
    <xf numFmtId="0" fontId="1" fillId="0" borderId="1" xfId="5" applyBorder="1" applyAlignment="1" applyProtection="1">
      <alignment horizontal="center"/>
    </xf>
    <xf numFmtId="0" fontId="6" fillId="0" borderId="1" xfId="5" applyFont="1" applyBorder="1" applyAlignment="1" applyProtection="1">
      <alignment horizontal="center" vertical="top"/>
    </xf>
    <xf numFmtId="0" fontId="6" fillId="0" borderId="7"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6" borderId="1" xfId="10" applyFont="1" applyFill="1" applyProtection="1">
      <alignment horizontal="left" vertical="top" wrapText="1"/>
    </xf>
    <xf numFmtId="0" fontId="2" fillId="6" borderId="1" xfId="10" applyFont="1" applyFill="1" applyAlignment="1" applyProtection="1">
      <alignment horizontal="left" textRotation="90" wrapText="1"/>
    </xf>
    <xf numFmtId="0" fontId="2" fillId="6" borderId="1" xfId="10" applyFill="1" applyProtection="1">
      <alignment horizontal="left" vertical="top" wrapText="1"/>
    </xf>
    <xf numFmtId="0" fontId="2" fillId="4" borderId="1" xfId="10" applyFont="1" applyFill="1" applyProtection="1">
      <alignment horizontal="left" vertical="top" wrapText="1"/>
    </xf>
    <xf numFmtId="0" fontId="2" fillId="4" borderId="1" xfId="10" applyFont="1" applyFill="1" applyAlignment="1" applyProtection="1">
      <alignment horizontal="left" textRotation="90" wrapText="1"/>
    </xf>
    <xf numFmtId="0" fontId="2" fillId="4" borderId="1" xfId="10" applyFill="1" applyProtection="1">
      <alignment horizontal="left" vertical="top" wrapText="1"/>
    </xf>
    <xf numFmtId="0" fontId="1" fillId="0" borderId="1" xfId="7" applyFont="1" applyProtection="1">
      <alignment horizontal="left" vertical="top" wrapText="1"/>
      <protection locked="0"/>
    </xf>
    <xf numFmtId="168" fontId="0" fillId="0" borderId="1" xfId="7" applyNumberFormat="1" applyFont="1" applyAlignment="1">
      <alignment horizontal="left" vertical="top" wrapText="1"/>
      <protection locked="0"/>
    </xf>
    <xf numFmtId="0" fontId="1" fillId="0" borderId="4" xfId="7" applyFont="1" applyBorder="1" applyAlignme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18" fillId="0" borderId="0" xfId="4" applyNumberFormat="1" applyFont="1" applyAlignment="1" applyProtection="1">
      <alignment horizontal="left" vertical="top" wrapText="1"/>
    </xf>
    <xf numFmtId="2" fontId="2" fillId="5" borderId="1" xfId="10" applyNumberFormat="1" applyFont="1" applyFill="1" applyAlignment="1">
      <alignment horizontal="center" wrapText="1"/>
    </xf>
    <xf numFmtId="2" fontId="1" fillId="0" borderId="1" xfId="9" applyNumberFormat="1" applyFont="1">
      <alignment horizontal="left" vertical="top" wrapText="1"/>
      <protection locked="0"/>
    </xf>
    <xf numFmtId="2" fontId="1" fillId="0" borderId="0" xfId="4" applyNumberFormat="1" applyAlignment="1">
      <alignment horizontal="left" vertical="top" wrapText="1"/>
    </xf>
    <xf numFmtId="2" fontId="1" fillId="0" borderId="0" xfId="9" applyNumberFormat="1" applyFont="1" applyBorder="1" applyAlignment="1" applyProtection="1">
      <alignment vertical="top" wrapText="1"/>
      <protection locked="0"/>
    </xf>
    <xf numFmtId="2" fontId="1" fillId="0" borderId="0" xfId="9" applyNumberFormat="1" applyFont="1" applyBorder="1" applyAlignment="1">
      <alignment vertical="top" wrapText="1"/>
      <protection locked="0"/>
    </xf>
    <xf numFmtId="2" fontId="1" fillId="0" borderId="0" xfId="9" applyNumberFormat="1" applyFont="1" applyBorder="1" applyAlignment="1" applyProtection="1">
      <alignment vertical="top" wrapText="1"/>
    </xf>
    <xf numFmtId="2" fontId="2" fillId="6" borderId="1" xfId="10" applyNumberFormat="1" applyFont="1" applyFill="1" applyAlignment="1">
      <alignment horizontal="center" wrapText="1"/>
    </xf>
    <xf numFmtId="0" fontId="1" fillId="0" borderId="4" xfId="7" applyBorder="1">
      <alignment horizontal="left" vertical="top" wrapText="1"/>
      <protection locked="0"/>
    </xf>
    <xf numFmtId="0" fontId="1" fillId="0" borderId="2" xfId="7" applyFont="1" applyBorder="1">
      <alignment horizontal="left" vertical="top" wrapText="1"/>
      <protection locked="0"/>
    </xf>
    <xf numFmtId="0" fontId="6" fillId="9" borderId="1" xfId="0" applyFont="1" applyFill="1" applyBorder="1" applyAlignment="1">
      <alignment wrapText="1"/>
    </xf>
    <xf numFmtId="0" fontId="6" fillId="10" borderId="1" xfId="0" applyFont="1" applyFill="1" applyBorder="1" applyAlignment="1">
      <alignment wrapText="1"/>
    </xf>
    <xf numFmtId="0" fontId="1" fillId="0" borderId="1" xfId="0" applyFont="1" applyFill="1" applyBorder="1" applyAlignment="1">
      <alignment wrapText="1"/>
    </xf>
    <xf numFmtId="0" fontId="16" fillId="0" borderId="1" xfId="0" applyFont="1" applyBorder="1" applyAlignment="1">
      <alignment wrapText="1"/>
    </xf>
    <xf numFmtId="0" fontId="6" fillId="0" borderId="0" xfId="4" applyFont="1" applyBorder="1" applyAlignment="1" applyProtection="1">
      <alignment horizontal="left" vertical="top" wrapText="1"/>
    </xf>
    <xf numFmtId="0" fontId="7" fillId="6" borderId="10" xfId="4" applyFont="1" applyFill="1" applyBorder="1" applyAlignment="1" applyProtection="1">
      <alignment horizontal="left" vertical="top" wrapText="1"/>
    </xf>
    <xf numFmtId="0" fontId="0" fillId="6" borderId="11"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7" applyBorder="1" applyAlignment="1" applyProtection="1">
      <alignment horizontal="left" vertical="top" wrapText="1"/>
    </xf>
    <xf numFmtId="0" fontId="1" fillId="0" borderId="12" xfId="0" applyFont="1" applyBorder="1" applyAlignment="1">
      <alignment vertical="top" wrapText="1"/>
    </xf>
    <xf numFmtId="0" fontId="2" fillId="0" borderId="12" xfId="0" applyFont="1" applyBorder="1" applyAlignment="1">
      <alignment vertical="top" wrapText="1"/>
    </xf>
    <xf numFmtId="0" fontId="6" fillId="11" borderId="0" xfId="5" quotePrefix="1" applyFont="1" applyFill="1" applyBorder="1"/>
    <xf numFmtId="0" fontId="6" fillId="11" borderId="0" xfId="5" applyFont="1" applyFill="1" applyBorder="1"/>
    <xf numFmtId="0" fontId="6" fillId="11" borderId="0" xfId="5" applyFont="1" applyFill="1" applyBorder="1" applyAlignment="1">
      <alignment wrapText="1"/>
    </xf>
    <xf numFmtId="0" fontId="6" fillId="11" borderId="0" xfId="5" quotePrefix="1" applyFont="1" applyFill="1" applyBorder="1" applyAlignment="1">
      <alignment wrapText="1"/>
    </xf>
    <xf numFmtId="0" fontId="0" fillId="0" borderId="0" xfId="0" applyFill="1" applyBorder="1"/>
    <xf numFmtId="0" fontId="1" fillId="0" borderId="8" xfId="9" applyFont="1" applyFill="1" applyBorder="1">
      <alignment horizontal="left" vertical="top" wrapText="1"/>
      <protection locked="0"/>
    </xf>
    <xf numFmtId="0" fontId="1" fillId="0" borderId="0" xfId="0" applyFont="1" applyFill="1" applyBorder="1"/>
    <xf numFmtId="0" fontId="2" fillId="6" borderId="1" xfId="10" applyFont="1" applyFill="1" applyBorder="1" applyAlignment="1">
      <alignment vertical="top" wrapText="1"/>
    </xf>
    <xf numFmtId="0" fontId="2" fillId="6" borderId="1" xfId="10" applyFill="1" applyBorder="1" applyAlignment="1">
      <alignment vertical="top" wrapText="1"/>
    </xf>
    <xf numFmtId="0" fontId="2" fillId="6" borderId="13" xfId="10" applyFill="1" applyBorder="1" applyAlignment="1">
      <alignment vertical="top" wrapText="1"/>
    </xf>
    <xf numFmtId="0" fontId="2" fillId="6" borderId="8" xfId="10" applyFill="1" applyBorder="1" applyAlignment="1">
      <alignment vertical="top" wrapText="1"/>
    </xf>
    <xf numFmtId="0" fontId="2" fillId="6" borderId="14" xfId="10" applyFill="1" applyBorder="1" applyAlignment="1">
      <alignment vertical="top" wrapText="1"/>
    </xf>
    <xf numFmtId="0" fontId="2" fillId="6" borderId="3" xfId="10" applyFill="1" applyBorder="1" applyAlignment="1">
      <alignment vertical="top" wrapText="1"/>
    </xf>
    <xf numFmtId="0" fontId="2" fillId="6" borderId="2" xfId="10" applyFill="1" applyBorder="1" applyAlignment="1">
      <alignment vertical="top" wrapText="1"/>
    </xf>
    <xf numFmtId="0" fontId="1" fillId="0" borderId="9" xfId="4" applyBorder="1" applyAlignment="1" applyProtection="1">
      <alignment vertical="top" wrapText="1"/>
    </xf>
    <xf numFmtId="0" fontId="2" fillId="2" borderId="10" xfId="10" applyFont="1" applyBorder="1" applyAlignment="1" applyProtection="1">
      <alignment horizontal="left" vertical="top" wrapText="1"/>
    </xf>
    <xf numFmtId="0" fontId="1" fillId="0" borderId="11" xfId="4" applyBorder="1" applyAlignment="1" applyProtection="1">
      <alignment horizontal="left" vertical="top" wrapText="1"/>
    </xf>
    <xf numFmtId="1" fontId="1" fillId="0" borderId="1" xfId="9" applyNumberFormat="1" applyFont="1" applyBorder="1" applyAlignment="1" applyProtection="1">
      <alignment horizontal="left" vertical="top" wrapText="1"/>
    </xf>
    <xf numFmtId="0" fontId="1" fillId="0" borderId="11" xfId="7" applyBorder="1" applyAlignment="1" applyProtection="1">
      <alignment horizontal="left" vertical="top" wrapText="1"/>
    </xf>
    <xf numFmtId="0" fontId="1" fillId="0" borderId="7" xfId="7" applyBorder="1" applyAlignment="1" applyProtection="1">
      <alignment horizontal="left" vertical="top" wrapText="1"/>
    </xf>
    <xf numFmtId="0" fontId="1" fillId="0" borderId="9" xfId="4" applyBorder="1" applyAlignment="1" applyProtection="1">
      <alignment horizontal="left" vertical="top" wrapText="1"/>
    </xf>
    <xf numFmtId="0" fontId="1" fillId="12" borderId="13" xfId="4" applyFill="1" applyBorder="1" applyAlignment="1">
      <alignment horizontal="left" vertical="top" wrapText="1"/>
    </xf>
    <xf numFmtId="0" fontId="0" fillId="0" borderId="15" xfId="0" applyBorder="1" applyAlignment="1">
      <alignment horizontal="left" vertical="top" wrapText="1"/>
    </xf>
    <xf numFmtId="0" fontId="6" fillId="0" borderId="15" xfId="4" applyFont="1" applyBorder="1" applyAlignment="1" applyProtection="1">
      <alignment horizontal="left" vertical="top" wrapText="1"/>
    </xf>
    <xf numFmtId="0" fontId="1" fillId="0" borderId="11" xfId="9" applyFont="1" applyBorder="1" applyAlignment="1">
      <alignment horizontal="left" vertical="top" wrapText="1"/>
      <protection locked="0"/>
    </xf>
    <xf numFmtId="0" fontId="1" fillId="0" borderId="7" xfId="9" applyFont="1" applyBorder="1" applyAlignment="1">
      <alignment horizontal="left" vertical="top" wrapText="1"/>
      <protection locked="0"/>
    </xf>
    <xf numFmtId="0" fontId="7" fillId="5" borderId="1" xfId="4" applyFont="1" applyFill="1" applyBorder="1" applyAlignment="1" applyProtection="1">
      <alignment horizontal="center" vertical="top" wrapText="1"/>
    </xf>
    <xf numFmtId="0" fontId="7" fillId="4" borderId="10" xfId="4" applyFont="1" applyFill="1" applyBorder="1" applyAlignment="1" applyProtection="1">
      <alignment horizontal="center" vertical="top" wrapText="1"/>
    </xf>
    <xf numFmtId="0" fontId="0" fillId="4" borderId="11" xfId="0" applyFill="1" applyBorder="1" applyAlignment="1">
      <alignment horizontal="center" vertical="top" wrapText="1"/>
    </xf>
    <xf numFmtId="0" fontId="0" fillId="4" borderId="7" xfId="0" applyFill="1" applyBorder="1" applyAlignment="1">
      <alignment horizontal="center" vertical="top" wrapText="1"/>
    </xf>
    <xf numFmtId="0" fontId="2" fillId="5" borderId="10" xfId="10" applyFont="1" applyFill="1" applyBorder="1" applyAlignment="1" applyProtection="1">
      <alignment horizontal="left" vertical="top" wrapText="1"/>
    </xf>
    <xf numFmtId="0" fontId="1" fillId="5" borderId="11" xfId="4" applyFill="1" applyBorder="1" applyAlignment="1" applyProtection="1">
      <alignment horizontal="left" vertical="top" wrapText="1"/>
    </xf>
    <xf numFmtId="0" fontId="2" fillId="5" borderId="10" xfId="10" applyFill="1" applyBorder="1" applyAlignment="1">
      <alignment horizontal="left" vertical="top" wrapText="1"/>
    </xf>
    <xf numFmtId="0" fontId="1" fillId="5" borderId="11" xfId="4" applyFill="1" applyBorder="1" applyAlignment="1">
      <alignment horizontal="left" vertical="top" wrapText="1"/>
    </xf>
    <xf numFmtId="0" fontId="6" fillId="6" borderId="10" xfId="0" applyFont="1" applyFill="1" applyBorder="1" applyAlignment="1">
      <alignment horizontal="left" wrapText="1"/>
    </xf>
    <xf numFmtId="0" fontId="6" fillId="6" borderId="7" xfId="0" applyFont="1" applyFill="1" applyBorder="1" applyAlignment="1">
      <alignment horizontal="left" wrapText="1"/>
    </xf>
    <xf numFmtId="0" fontId="6" fillId="6" borderId="7" xfId="0" applyFont="1" applyFill="1" applyBorder="1" applyAlignment="1">
      <alignment horizontal="left"/>
    </xf>
    <xf numFmtId="0" fontId="6" fillId="10" borderId="3" xfId="0" applyFont="1" applyFill="1" applyBorder="1" applyAlignment="1">
      <alignment horizontal="center" wrapText="1"/>
    </xf>
    <xf numFmtId="0" fontId="6" fillId="10" borderId="4" xfId="0" applyFont="1" applyFill="1" applyBorder="1" applyAlignment="1">
      <alignment horizontal="center" wrapText="1"/>
    </xf>
    <xf numFmtId="0" fontId="6" fillId="10" borderId="2" xfId="0" applyFont="1" applyFill="1" applyBorder="1" applyAlignment="1">
      <alignment horizontal="center" wrapText="1"/>
    </xf>
    <xf numFmtId="0" fontId="1" fillId="0" borderId="0" xfId="5" applyAlignment="1" applyProtection="1">
      <alignment horizontal="left"/>
    </xf>
    <xf numFmtId="0" fontId="2" fillId="2" borderId="13" xfId="10" applyFont="1" applyBorder="1" applyProtection="1">
      <alignment horizontal="left" vertical="top" wrapText="1"/>
    </xf>
    <xf numFmtId="0" fontId="2" fillId="2" borderId="17" xfId="10" applyFont="1" applyBorder="1" applyProtection="1">
      <alignment horizontal="left" vertical="top" wrapText="1"/>
    </xf>
    <xf numFmtId="0" fontId="2" fillId="2" borderId="14" xfId="10" applyFont="1" applyBorder="1" applyAlignment="1" applyProtection="1">
      <alignment horizontal="right" vertical="top" wrapText="1"/>
    </xf>
    <xf numFmtId="0" fontId="2" fillId="2" borderId="16" xfId="10" applyFont="1" applyBorder="1" applyAlignment="1" applyProtection="1">
      <alignment horizontal="right" vertical="top" wrapText="1"/>
    </xf>
    <xf numFmtId="0" fontId="6" fillId="0" borderId="1" xfId="5" applyFont="1" applyBorder="1" applyAlignment="1" applyProtection="1">
      <alignment horizontal="left" vertical="top" wrapText="1"/>
    </xf>
    <xf numFmtId="0" fontId="6" fillId="0" borderId="1" xfId="5" applyFont="1" applyBorder="1" applyAlignment="1" applyProtection="1"/>
    <xf numFmtId="0" fontId="1" fillId="0" borderId="1" xfId="5" applyBorder="1" applyProtection="1">
      <protection locked="0"/>
    </xf>
    <xf numFmtId="0" fontId="1" fillId="0" borderId="10" xfId="5" applyBorder="1" applyAlignment="1" applyProtection="1">
      <alignment wrapText="1"/>
      <protection locked="0"/>
    </xf>
    <xf numFmtId="0" fontId="1" fillId="0" borderId="7" xfId="5" applyBorder="1" applyAlignment="1" applyProtection="1">
      <alignment wrapText="1"/>
      <protection locked="0"/>
    </xf>
    <xf numFmtId="0" fontId="1" fillId="12" borderId="1" xfId="5" applyFill="1" applyBorder="1" applyAlignment="1">
      <alignment horizontal="left"/>
    </xf>
    <xf numFmtId="0" fontId="1" fillId="0" borderId="1" xfId="5" applyBorder="1" applyAlignment="1" applyProtection="1">
      <alignment wrapText="1"/>
      <protection locked="0"/>
    </xf>
    <xf numFmtId="0" fontId="1" fillId="0" borderId="0" xfId="5" applyAlignment="1">
      <alignment horizontal="left" vertical="top" wrapText="1"/>
    </xf>
    <xf numFmtId="0" fontId="1" fillId="0" borderId="0" xfId="5" applyAlignment="1">
      <alignment horizontal="left"/>
    </xf>
    <xf numFmtId="0" fontId="1" fillId="13" borderId="1" xfId="5" applyFill="1" applyBorder="1"/>
    <xf numFmtId="0" fontId="1" fillId="3" borderId="1" xfId="5" applyFill="1" applyBorder="1"/>
    <xf numFmtId="0" fontId="1" fillId="0" borderId="10" xfId="5" applyBorder="1" applyAlignment="1" applyProtection="1">
      <alignment horizontal="left" vertical="top" wrapText="1"/>
      <protection locked="0"/>
    </xf>
    <xf numFmtId="0" fontId="0" fillId="0" borderId="11" xfId="0" applyBorder="1" applyAlignment="1"/>
    <xf numFmtId="0" fontId="0" fillId="0" borderId="7" xfId="0" applyBorder="1" applyAlignment="1"/>
    <xf numFmtId="165" fontId="1" fillId="0" borderId="10" xfId="7" applyNumberFormat="1" applyBorder="1" applyAlignment="1" applyProtection="1">
      <alignment horizontal="left" vertical="top" wrapText="1"/>
    </xf>
    <xf numFmtId="165" fontId="1" fillId="0" borderId="7" xfId="5" applyNumberFormat="1" applyBorder="1" applyAlignment="1"/>
    <xf numFmtId="164" fontId="1" fillId="0" borderId="1" xfId="7" applyNumberFormat="1" applyFont="1">
      <alignment horizontal="left" vertical="top" wrapText="1"/>
      <protection locked="0"/>
    </xf>
    <xf numFmtId="164" fontId="1" fillId="0" borderId="1" xfId="7" applyNumberFormat="1">
      <alignment horizontal="left" vertical="top" wrapText="1"/>
      <protection locked="0"/>
    </xf>
    <xf numFmtId="2" fontId="1" fillId="0" borderId="1" xfId="7" applyNumberFormat="1" applyProtection="1">
      <alignment horizontal="left" vertical="top" wrapText="1"/>
    </xf>
    <xf numFmtId="0" fontId="1" fillId="0" borderId="1" xfId="7">
      <alignment horizontal="left" vertical="top" wrapText="1"/>
      <protection locked="0"/>
    </xf>
    <xf numFmtId="0" fontId="1" fillId="0" borderId="1" xfId="7" applyFont="1">
      <alignment horizontal="left" vertical="top" wrapText="1"/>
      <protection locked="0"/>
    </xf>
    <xf numFmtId="166" fontId="1" fillId="0" borderId="10" xfId="7" applyNumberFormat="1" applyBorder="1" applyAlignment="1" applyProtection="1">
      <alignment horizontal="left" vertical="top" wrapText="1"/>
    </xf>
    <xf numFmtId="0" fontId="1" fillId="0" borderId="7" xfId="5" applyBorder="1" applyAlignment="1"/>
  </cellXfs>
  <cellStyles count="11">
    <cellStyle name="Heading 1" xfId="1" builtinId="16" customBuiltin="1"/>
    <cellStyle name="Heading 2" xfId="2" builtinId="17" customBuiltin="1"/>
    <cellStyle name="Normal" xfId="0" builtinId="0"/>
    <cellStyle name="Normal 2" xfId="3"/>
    <cellStyle name="Normal 2 2" xfId="4"/>
    <cellStyle name="Normal 3" xfId="5"/>
    <cellStyle name="Percent 2" xfId="6"/>
    <cellStyle name="Table Body" xfId="7"/>
    <cellStyle name="Table Body 2" xfId="8"/>
    <cellStyle name="Table Body 2 2" xfId="9"/>
    <cellStyle name="Table Heading" xfId="10"/>
  </cellStyles>
  <dxfs count="20">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ont>
        <b/>
        <i val="0"/>
        <color rgb="FFFF0000"/>
      </font>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33" sqref="B33"/>
    </sheetView>
  </sheetViews>
  <sheetFormatPr defaultRowHeight="13.5"/>
  <cols>
    <col min="2" max="2" width="70.25" customWidth="1"/>
  </cols>
  <sheetData>
    <row r="2" spans="2:2">
      <c r="B2" s="91" t="s">
        <v>555</v>
      </c>
    </row>
    <row r="3" spans="2:2">
      <c r="B3" s="91" t="s">
        <v>556</v>
      </c>
    </row>
    <row r="4" spans="2:2">
      <c r="B4" s="91" t="s">
        <v>559</v>
      </c>
    </row>
    <row r="5" spans="2:2">
      <c r="B5" s="91" t="s">
        <v>560</v>
      </c>
    </row>
    <row r="6" spans="2:2">
      <c r="B6" s="91" t="s">
        <v>561</v>
      </c>
    </row>
    <row r="8" spans="2:2">
      <c r="B8" s="91" t="s">
        <v>562</v>
      </c>
    </row>
    <row r="9" spans="2:2">
      <c r="B9" s="91" t="s">
        <v>564</v>
      </c>
    </row>
    <row r="10" spans="2:2">
      <c r="B10" s="91" t="s">
        <v>563</v>
      </c>
    </row>
    <row r="12" spans="2:2">
      <c r="B12" s="91" t="s">
        <v>571</v>
      </c>
    </row>
    <row r="13" spans="2:2">
      <c r="B13" s="91" t="s">
        <v>564</v>
      </c>
    </row>
    <row r="14" spans="2:2">
      <c r="B14" s="91" t="s">
        <v>572</v>
      </c>
    </row>
    <row r="15" spans="2:2">
      <c r="B15" s="91"/>
    </row>
    <row r="16" spans="2:2">
      <c r="B16" s="91" t="s">
        <v>566</v>
      </c>
    </row>
    <row r="18" spans="2:2">
      <c r="B18" s="91" t="s">
        <v>567</v>
      </c>
    </row>
    <row r="19" spans="2:2">
      <c r="B19" s="91" t="s">
        <v>568</v>
      </c>
    </row>
    <row r="20" spans="2:2">
      <c r="B20" s="91" t="s">
        <v>569</v>
      </c>
    </row>
    <row r="21" spans="2:2" ht="67.5">
      <c r="B21" s="4" t="s">
        <v>570</v>
      </c>
    </row>
    <row r="26" spans="2:2" ht="27">
      <c r="B26" s="4" t="s">
        <v>9</v>
      </c>
    </row>
    <row r="27" spans="2:2" ht="40.5">
      <c r="B27" s="4" t="s">
        <v>10</v>
      </c>
    </row>
    <row r="28" spans="2:2" ht="54">
      <c r="B28" s="4" t="s">
        <v>11</v>
      </c>
    </row>
    <row r="29" spans="2:2">
      <c r="B29" s="3"/>
    </row>
    <row r="30" spans="2:2">
      <c r="B30" s="3"/>
    </row>
    <row r="31" spans="2:2" ht="27">
      <c r="B31" s="4" t="s">
        <v>12</v>
      </c>
    </row>
    <row r="33" spans="2:2">
      <c r="B33" s="91" t="s">
        <v>565</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E13" sqref="E13"/>
    </sheetView>
  </sheetViews>
  <sheetFormatPr defaultRowHeight="13.5"/>
  <cols>
    <col min="1" max="1" width="28.125" style="5" customWidth="1"/>
    <col min="2" max="2" width="51.375" style="5" customWidth="1"/>
    <col min="3" max="3" width="1.625" style="5" bestFit="1" customWidth="1"/>
    <col min="4" max="16384" width="9" style="5"/>
  </cols>
  <sheetData>
    <row r="1" spans="1:3" s="20" customFormat="1" ht="21">
      <c r="A1" s="21" t="s">
        <v>43</v>
      </c>
    </row>
    <row r="2" spans="1:3" ht="30" customHeight="1">
      <c r="A2" s="186" t="s">
        <v>190</v>
      </c>
      <c r="B2" s="186"/>
      <c r="C2" s="113"/>
    </row>
    <row r="3" spans="1:3" ht="13.5" customHeight="1">
      <c r="A3" s="95" t="s">
        <v>42</v>
      </c>
      <c r="B3" s="15" t="s">
        <v>41</v>
      </c>
      <c r="C3" s="5" t="str">
        <f t="shared" ref="C3:C8" si="0">IF(OR(LEFT(B3,1)="&lt;",COUNTIF(Blanks,B3)&gt;0),CheckErr,CheckOK)</f>
        <v>!</v>
      </c>
    </row>
    <row r="4" spans="1:3">
      <c r="A4" s="96" t="s">
        <v>40</v>
      </c>
      <c r="B4" s="17" t="s">
        <v>39</v>
      </c>
      <c r="C4" s="5" t="str">
        <f t="shared" si="0"/>
        <v>!</v>
      </c>
    </row>
    <row r="5" spans="1:3">
      <c r="A5" s="96" t="s">
        <v>191</v>
      </c>
      <c r="B5" s="17" t="s">
        <v>192</v>
      </c>
      <c r="C5" s="5" t="str">
        <f t="shared" si="0"/>
        <v>!</v>
      </c>
    </row>
    <row r="6" spans="1:3">
      <c r="A6" s="96" t="s">
        <v>38</v>
      </c>
      <c r="B6" s="17" t="s">
        <v>37</v>
      </c>
      <c r="C6" s="5" t="str">
        <f t="shared" si="0"/>
        <v>!</v>
      </c>
    </row>
    <row r="7" spans="1:3">
      <c r="A7" s="96" t="s">
        <v>36</v>
      </c>
      <c r="B7" s="19" t="s">
        <v>27</v>
      </c>
      <c r="C7" s="5" t="str">
        <f t="shared" si="0"/>
        <v>!</v>
      </c>
    </row>
    <row r="8" spans="1:3">
      <c r="A8" s="96" t="s">
        <v>35</v>
      </c>
      <c r="B8" s="17" t="s">
        <v>34</v>
      </c>
      <c r="C8" s="5" t="str">
        <f t="shared" si="0"/>
        <v>!</v>
      </c>
    </row>
    <row r="9" spans="1:3" ht="13.5" customHeight="1">
      <c r="A9" s="96" t="s">
        <v>156</v>
      </c>
      <c r="B9" s="18" t="s">
        <v>33</v>
      </c>
      <c r="C9" s="5" t="str">
        <f>IF(OR(LEFT(B9,1)="&lt;",COUNTIF(Blanks,B9)&gt;0),IF(CaptureSizeMetrics,CheckErr,CheckOK),CheckOK)</f>
        <v>!</v>
      </c>
    </row>
    <row r="10" spans="1:3" ht="13.5" customHeight="1">
      <c r="A10" s="96" t="s">
        <v>157</v>
      </c>
      <c r="B10" s="18" t="s">
        <v>33</v>
      </c>
      <c r="C10" s="5" t="str">
        <f>IF(OR(LEFT(B10,1)="&lt;",COUNTIF(Blanks,B10)&gt;0),IF(CaptureSizeMetrics,CheckErr,CheckOK),CheckOK)</f>
        <v>!</v>
      </c>
    </row>
    <row r="11" spans="1:3" ht="13.5" customHeight="1">
      <c r="A11" s="96" t="s">
        <v>158</v>
      </c>
      <c r="B11" s="18" t="s">
        <v>33</v>
      </c>
      <c r="C11" s="5" t="str">
        <f>IF(OR(LEFT(B11,1)="&lt;",COUNTIF(Blanks,B11)&gt;0),IF(CaptureSizeMetrics,CheckErr,CheckOK),CheckOK)</f>
        <v>!</v>
      </c>
    </row>
    <row r="12" spans="1:3" ht="13.5" customHeight="1">
      <c r="A12" s="96" t="s">
        <v>32</v>
      </c>
      <c r="B12" s="18" t="s">
        <v>31</v>
      </c>
      <c r="C12" s="5" t="str">
        <f>IF(OR(LEFT(B12,1)="&lt;",COUNTIF(Blanks,B12)&gt;0),IF(CaptureSizeMetrics,CheckErr,CheckOK),CheckOK)</f>
        <v>!</v>
      </c>
    </row>
    <row r="13" spans="1:3">
      <c r="A13" s="96" t="s">
        <v>317</v>
      </c>
      <c r="B13" s="17" t="s">
        <v>30</v>
      </c>
    </row>
    <row r="15" spans="1:3" ht="21">
      <c r="A15" s="10" t="s">
        <v>29</v>
      </c>
    </row>
    <row r="17" spans="1:3">
      <c r="A17" s="95" t="s">
        <v>28</v>
      </c>
      <c r="B17" s="19" t="s">
        <v>27</v>
      </c>
      <c r="C17" s="5" t="str">
        <f>IF(OR(LEFT(B17,1)="&lt;",COUNTIF(Blanks,B17)&gt;0),CheckErr,CheckOK)</f>
        <v>!</v>
      </c>
    </row>
    <row r="18" spans="1:3">
      <c r="A18" s="95" t="s">
        <v>26</v>
      </c>
      <c r="B18" s="15" t="s">
        <v>25</v>
      </c>
    </row>
    <row r="19" spans="1:3">
      <c r="A19" s="95" t="str">
        <f>IF(B18="Offline Review (by Individual Reviewers)","Comments Required By", "Time/Date of Review Meeting")</f>
        <v>Comments Required By</v>
      </c>
      <c r="B19" s="146" t="s">
        <v>203</v>
      </c>
      <c r="C19" s="5" t="str">
        <f>IF(OR(LEFT(B19,1)="&lt;",COUNTIF(Blanks,B19)&gt;0),CheckErr,CheckOK)</f>
        <v>!</v>
      </c>
    </row>
    <row r="20" spans="1:3">
      <c r="A20" s="95" t="s">
        <v>199</v>
      </c>
      <c r="B20" s="15" t="s">
        <v>198</v>
      </c>
      <c r="C20" s="5" t="str">
        <f>IF(OR(LEFT(B20,1)="&lt;",COUNTIF(Blanks,B20)&gt;0),CheckErr,CheckOK)</f>
        <v>!</v>
      </c>
    </row>
    <row r="21" spans="1:3">
      <c r="A21" s="98" t="s">
        <v>320</v>
      </c>
      <c r="B21" s="15" t="s">
        <v>321</v>
      </c>
      <c r="C21" s="5" t="str">
        <f>IF(OR(LEFT(B21,1)="&lt;",COUNTIF(Blanks,B21)&gt;0),CheckErr,CheckOK)</f>
        <v>!</v>
      </c>
    </row>
    <row r="22" spans="1:3">
      <c r="A22" s="98" t="s">
        <v>24</v>
      </c>
      <c r="B22" s="15" t="s">
        <v>322</v>
      </c>
      <c r="C22" s="5" t="str">
        <f>IF(OR(LEFT(B22,1)="&lt;",COUNTIF(Blanks,B22)&gt;0),CheckErr,CheckOK)</f>
        <v>!</v>
      </c>
    </row>
    <row r="23" spans="1:3">
      <c r="A23" s="98" t="s">
        <v>23</v>
      </c>
      <c r="B23" s="14" t="s">
        <v>22</v>
      </c>
      <c r="C23" s="5" t="str">
        <f t="shared" ref="C23:C30" si="1">IF(OR(LEFT(B23,1)="&lt;",COUNTIF(Blanks,B23)&gt;0),CheckErr,CheckOK)</f>
        <v>!</v>
      </c>
    </row>
    <row r="24" spans="1:3" ht="27">
      <c r="A24" s="179" t="s">
        <v>21</v>
      </c>
      <c r="B24" s="13" t="s">
        <v>20</v>
      </c>
      <c r="C24" s="5" t="str">
        <f t="shared" si="1"/>
        <v>!</v>
      </c>
    </row>
    <row r="25" spans="1:3">
      <c r="A25" s="180"/>
      <c r="B25" s="12" t="s">
        <v>323</v>
      </c>
      <c r="C25" s="5" t="str">
        <f t="shared" si="1"/>
        <v>!</v>
      </c>
    </row>
    <row r="26" spans="1:3">
      <c r="A26" s="180"/>
      <c r="B26" s="147" t="s">
        <v>323</v>
      </c>
      <c r="C26" s="5" t="str">
        <f t="shared" si="1"/>
        <v>!</v>
      </c>
    </row>
    <row r="27" spans="1:3">
      <c r="A27" s="180"/>
      <c r="B27" s="12" t="s">
        <v>537</v>
      </c>
      <c r="C27" s="5" t="str">
        <f t="shared" si="1"/>
        <v/>
      </c>
    </row>
    <row r="28" spans="1:3">
      <c r="A28" s="180"/>
      <c r="B28" s="12" t="s">
        <v>538</v>
      </c>
      <c r="C28" s="5" t="str">
        <f t="shared" si="1"/>
        <v/>
      </c>
    </row>
    <row r="29" spans="1:3">
      <c r="A29" s="180"/>
      <c r="B29" s="12"/>
      <c r="C29" s="5" t="str">
        <f t="shared" si="1"/>
        <v/>
      </c>
    </row>
    <row r="30" spans="1:3" ht="38.25">
      <c r="A30" s="180"/>
      <c r="B30" s="11" t="s">
        <v>400</v>
      </c>
      <c r="C30" s="5" t="str">
        <f t="shared" si="1"/>
        <v/>
      </c>
    </row>
    <row r="31" spans="1:3" s="9" customFormat="1"/>
    <row r="32" spans="1:3" s="9" customFormat="1" ht="21">
      <c r="A32" s="10" t="s">
        <v>19</v>
      </c>
    </row>
    <row r="34" spans="1:3">
      <c r="A34" s="181" t="s">
        <v>18</v>
      </c>
      <c r="B34" s="8" t="s">
        <v>518</v>
      </c>
      <c r="C34" s="5" t="str">
        <f>IF(OR(LEFT(B34,1)="&lt;",COUNTIF(Blanks,B34)&gt;0),CheckErr,CheckOK)</f>
        <v/>
      </c>
    </row>
    <row r="35" spans="1:3">
      <c r="A35" s="182"/>
      <c r="B35" s="158"/>
    </row>
    <row r="36" spans="1:3">
      <c r="A36" s="182"/>
      <c r="B36" s="158"/>
    </row>
    <row r="37" spans="1:3">
      <c r="A37" s="182"/>
      <c r="B37" s="158"/>
    </row>
    <row r="38" spans="1:3">
      <c r="A38" s="182"/>
      <c r="B38" s="158"/>
    </row>
    <row r="39" spans="1:3">
      <c r="A39" s="182"/>
      <c r="B39" s="158"/>
    </row>
    <row r="40" spans="1:3">
      <c r="A40" s="182"/>
      <c r="B40" s="158"/>
    </row>
    <row r="41" spans="1:3">
      <c r="A41" s="182"/>
      <c r="B41" s="158"/>
    </row>
    <row r="42" spans="1:3">
      <c r="A42" s="183"/>
      <c r="B42" s="159"/>
    </row>
    <row r="44" spans="1:3">
      <c r="A44" s="184" t="s">
        <v>17</v>
      </c>
      <c r="B44" s="8" t="s">
        <v>16</v>
      </c>
      <c r="C44" s="5" t="str">
        <f>IF(OR(LEFT(B44,1)="&lt;",COUNTIF(Blanks,B44)&gt;0),CheckErr,CheckOK)</f>
        <v>!</v>
      </c>
    </row>
    <row r="45" spans="1:3">
      <c r="A45" s="185"/>
      <c r="B45" s="7"/>
      <c r="C45" s="5" t="str">
        <f>IF(OR(LEFT(B45,1)="&lt;",COUNTIF(Blanks,B45)&gt;0),CheckErr,CheckOK)</f>
        <v/>
      </c>
    </row>
    <row r="47" spans="1:3">
      <c r="A47" s="184" t="s">
        <v>15</v>
      </c>
      <c r="B47" s="8" t="s">
        <v>14</v>
      </c>
      <c r="C47" s="5" t="str">
        <f>IF(OR(LEFT(B47,1)="&lt;",COUNTIF(Blanks,B47)&gt;0),CheckErr,CheckOK)</f>
        <v>!</v>
      </c>
    </row>
    <row r="48" spans="1:3">
      <c r="A48" s="185"/>
      <c r="B48" s="7"/>
      <c r="C48" s="5" t="str">
        <f>IF(OR(LEFT(B48,1)="&lt;",COUNTIF(Blanks,B48)&gt;0),CheckErr,CheckOK)</f>
        <v/>
      </c>
    </row>
    <row r="50" spans="1:3" ht="54">
      <c r="A50" s="97" t="s">
        <v>13</v>
      </c>
      <c r="B50" s="6" t="s">
        <v>197</v>
      </c>
      <c r="C50" s="5" t="str">
        <f>IF(OR(LEFT(B50,1)="&lt;",COUNTIF(Blanks,LEFT(B50, 255))&gt;0),CheckErr,CheckOK)</f>
        <v>!</v>
      </c>
    </row>
  </sheetData>
  <mergeCells count="5">
    <mergeCell ref="A24:A30"/>
    <mergeCell ref="A34:A42"/>
    <mergeCell ref="A44:A45"/>
    <mergeCell ref="A47:A48"/>
    <mergeCell ref="A2:B2"/>
  </mergeCells>
  <conditionalFormatting sqref="C1:C1048576">
    <cfRule type="cellIs" dxfId="19" priority="7" stopIfTrue="1" operator="equal">
      <formula>CheckErr</formula>
    </cfRule>
  </conditionalFormatting>
  <conditionalFormatting sqref="B1:B1048576">
    <cfRule type="expression" dxfId="18"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sheetPr codeName="Sheet9">
    <pageSetUpPr fitToPage="1"/>
  </sheetPr>
  <dimension ref="A1:E45"/>
  <sheetViews>
    <sheetView workbookViewId="0">
      <selection activeCell="A9" sqref="A9"/>
    </sheetView>
  </sheetViews>
  <sheetFormatPr defaultRowHeight="13.5"/>
  <cols>
    <col min="1" max="1" width="42.875" style="52" customWidth="1"/>
    <col min="2" max="2" width="22.75" style="52" customWidth="1"/>
    <col min="3" max="3" width="22.125" style="52" customWidth="1"/>
    <col min="4" max="4" width="7.25" style="53" hidden="1" customWidth="1"/>
    <col min="5" max="5" width="6.875" style="53" hidden="1" customWidth="1"/>
    <col min="6" max="16384" width="9" style="52"/>
  </cols>
  <sheetData>
    <row r="1" spans="1:5" ht="21">
      <c r="A1" s="31" t="s">
        <v>120</v>
      </c>
    </row>
    <row r="2" spans="1:5">
      <c r="A2" s="61"/>
    </row>
    <row r="3" spans="1:5" ht="27" customHeight="1">
      <c r="A3" s="98" t="s">
        <v>130</v>
      </c>
      <c r="B3" s="99" t="s">
        <v>119</v>
      </c>
      <c r="C3" s="100" t="s">
        <v>118</v>
      </c>
      <c r="D3" s="60" t="s">
        <v>112</v>
      </c>
      <c r="E3" s="60" t="s">
        <v>107</v>
      </c>
    </row>
    <row r="4" spans="1:5">
      <c r="A4" s="59" t="s">
        <v>117</v>
      </c>
      <c r="B4" s="58" t="s">
        <v>116</v>
      </c>
      <c r="C4" s="58" t="s">
        <v>116</v>
      </c>
      <c r="D4" s="54" t="str">
        <f t="shared" ref="D4:D45" si="0">IF(AND(CodeFileListUsed="YES", NOT(ISBLANK($A4)),OR(LEFT(B4, 1)="&lt;", ISBLANK(B4))), CheckErr,CheckOK)</f>
        <v/>
      </c>
      <c r="E4" s="54" t="str">
        <f t="shared" ref="E4:E45" si="1">IF(AND(CodeFileListUsed="YES", NOT(ISBLANK($A4)),OR(LEFT(C4, 1)="&lt;", ISBLANK(C4))), CheckErr,CheckOK)</f>
        <v/>
      </c>
    </row>
    <row r="5" spans="1:5">
      <c r="A5" s="57"/>
      <c r="B5" s="55"/>
      <c r="C5" s="55"/>
      <c r="D5" s="54" t="str">
        <f t="shared" si="0"/>
        <v/>
      </c>
      <c r="E5" s="54" t="str">
        <f t="shared" si="1"/>
        <v/>
      </c>
    </row>
    <row r="6" spans="1:5">
      <c r="A6" s="57"/>
      <c r="B6" s="55"/>
      <c r="C6" s="55"/>
      <c r="D6" s="54" t="str">
        <f t="shared" si="0"/>
        <v/>
      </c>
      <c r="E6" s="54" t="str">
        <f t="shared" si="1"/>
        <v/>
      </c>
    </row>
    <row r="7" spans="1:5">
      <c r="A7" s="56"/>
      <c r="B7" s="55"/>
      <c r="C7" s="55"/>
      <c r="D7" s="54" t="str">
        <f t="shared" si="0"/>
        <v/>
      </c>
      <c r="E7" s="54" t="str">
        <f t="shared" si="1"/>
        <v/>
      </c>
    </row>
    <row r="8" spans="1:5">
      <c r="A8" s="57"/>
      <c r="B8" s="55"/>
      <c r="C8" s="55"/>
      <c r="D8" s="54" t="str">
        <f t="shared" si="0"/>
        <v/>
      </c>
      <c r="E8" s="54" t="str">
        <f t="shared" si="1"/>
        <v/>
      </c>
    </row>
    <row r="9" spans="1:5">
      <c r="A9" s="56"/>
      <c r="B9" s="55"/>
      <c r="C9" s="55"/>
      <c r="D9" s="54" t="str">
        <f t="shared" si="0"/>
        <v/>
      </c>
      <c r="E9" s="54" t="str">
        <f t="shared" si="1"/>
        <v/>
      </c>
    </row>
    <row r="10" spans="1:5">
      <c r="A10" s="57"/>
      <c r="B10" s="55"/>
      <c r="C10" s="55"/>
      <c r="D10" s="54" t="str">
        <f t="shared" si="0"/>
        <v/>
      </c>
      <c r="E10" s="54" t="str">
        <f t="shared" si="1"/>
        <v/>
      </c>
    </row>
    <row r="11" spans="1:5">
      <c r="A11" s="56"/>
      <c r="B11" s="55"/>
      <c r="C11" s="55"/>
      <c r="D11" s="54" t="str">
        <f t="shared" si="0"/>
        <v/>
      </c>
      <c r="E11" s="54" t="str">
        <f t="shared" si="1"/>
        <v/>
      </c>
    </row>
    <row r="12" spans="1:5">
      <c r="A12" s="56"/>
      <c r="B12" s="55"/>
      <c r="C12" s="55"/>
      <c r="D12" s="54" t="str">
        <f t="shared" si="0"/>
        <v/>
      </c>
      <c r="E12" s="54" t="str">
        <f t="shared" si="1"/>
        <v/>
      </c>
    </row>
    <row r="13" spans="1:5">
      <c r="A13" s="56"/>
      <c r="B13" s="55"/>
      <c r="C13" s="55"/>
      <c r="D13" s="54" t="str">
        <f t="shared" si="0"/>
        <v/>
      </c>
      <c r="E13" s="54" t="str">
        <f t="shared" si="1"/>
        <v/>
      </c>
    </row>
    <row r="14" spans="1:5">
      <c r="A14" s="56"/>
      <c r="B14" s="55"/>
      <c r="C14" s="55"/>
      <c r="D14" s="54" t="str">
        <f t="shared" si="0"/>
        <v/>
      </c>
      <c r="E14" s="54" t="str">
        <f t="shared" si="1"/>
        <v/>
      </c>
    </row>
    <row r="15" spans="1:5">
      <c r="A15" s="57"/>
      <c r="B15" s="55"/>
      <c r="C15" s="55"/>
      <c r="D15" s="54" t="str">
        <f t="shared" si="0"/>
        <v/>
      </c>
      <c r="E15" s="54" t="str">
        <f t="shared" si="1"/>
        <v/>
      </c>
    </row>
    <row r="16" spans="1:5">
      <c r="A16" s="56"/>
      <c r="B16" s="55"/>
      <c r="C16" s="55"/>
      <c r="D16" s="54" t="str">
        <f t="shared" si="0"/>
        <v/>
      </c>
      <c r="E16" s="54" t="str">
        <f t="shared" si="1"/>
        <v/>
      </c>
    </row>
    <row r="17" spans="1:5">
      <c r="A17" s="56"/>
      <c r="B17" s="55"/>
      <c r="C17" s="55"/>
      <c r="D17" s="54" t="str">
        <f t="shared" si="0"/>
        <v/>
      </c>
      <c r="E17" s="54" t="str">
        <f t="shared" si="1"/>
        <v/>
      </c>
    </row>
    <row r="18" spans="1:5">
      <c r="A18" s="56"/>
      <c r="B18" s="55"/>
      <c r="C18" s="55"/>
      <c r="D18" s="54" t="str">
        <f t="shared" si="0"/>
        <v/>
      </c>
      <c r="E18" s="54" t="str">
        <f t="shared" si="1"/>
        <v/>
      </c>
    </row>
    <row r="19" spans="1:5">
      <c r="A19" s="56"/>
      <c r="B19" s="55"/>
      <c r="C19" s="55"/>
      <c r="D19" s="54" t="str">
        <f t="shared" si="0"/>
        <v/>
      </c>
      <c r="E19" s="54" t="str">
        <f t="shared" si="1"/>
        <v/>
      </c>
    </row>
    <row r="20" spans="1:5">
      <c r="A20" s="56"/>
      <c r="B20" s="55"/>
      <c r="C20" s="55"/>
      <c r="D20" s="54" t="str">
        <f t="shared" si="0"/>
        <v/>
      </c>
      <c r="E20" s="54" t="str">
        <f t="shared" si="1"/>
        <v/>
      </c>
    </row>
    <row r="21" spans="1:5">
      <c r="A21" s="56"/>
      <c r="B21" s="55"/>
      <c r="C21" s="55"/>
      <c r="D21" s="54" t="str">
        <f t="shared" si="0"/>
        <v/>
      </c>
      <c r="E21" s="54" t="str">
        <f t="shared" si="1"/>
        <v/>
      </c>
    </row>
    <row r="22" spans="1:5">
      <c r="A22" s="56"/>
      <c r="B22" s="55"/>
      <c r="C22" s="55"/>
      <c r="D22" s="54" t="str">
        <f t="shared" si="0"/>
        <v/>
      </c>
      <c r="E22" s="54" t="str">
        <f t="shared" si="1"/>
        <v/>
      </c>
    </row>
    <row r="23" spans="1:5">
      <c r="A23" s="56"/>
      <c r="B23" s="55"/>
      <c r="C23" s="55"/>
      <c r="D23" s="54" t="str">
        <f t="shared" si="0"/>
        <v/>
      </c>
      <c r="E23" s="54" t="str">
        <f t="shared" si="1"/>
        <v/>
      </c>
    </row>
    <row r="24" spans="1:5">
      <c r="A24" s="56"/>
      <c r="B24" s="55"/>
      <c r="C24" s="55"/>
      <c r="D24" s="54" t="str">
        <f t="shared" si="0"/>
        <v/>
      </c>
      <c r="E24" s="54" t="str">
        <f t="shared" si="1"/>
        <v/>
      </c>
    </row>
    <row r="25" spans="1:5">
      <c r="A25" s="56"/>
      <c r="B25" s="55"/>
      <c r="C25" s="55"/>
      <c r="D25" s="54" t="str">
        <f t="shared" si="0"/>
        <v/>
      </c>
      <c r="E25" s="54" t="str">
        <f t="shared" si="1"/>
        <v/>
      </c>
    </row>
    <row r="26" spans="1:5">
      <c r="A26" s="56"/>
      <c r="B26" s="55"/>
      <c r="C26" s="55"/>
      <c r="D26" s="54" t="str">
        <f t="shared" si="0"/>
        <v/>
      </c>
      <c r="E26" s="54" t="str">
        <f t="shared" si="1"/>
        <v/>
      </c>
    </row>
    <row r="27" spans="1:5">
      <c r="A27" s="56"/>
      <c r="B27" s="55"/>
      <c r="C27" s="55"/>
      <c r="D27" s="54" t="str">
        <f t="shared" si="0"/>
        <v/>
      </c>
      <c r="E27" s="54" t="str">
        <f t="shared" si="1"/>
        <v/>
      </c>
    </row>
    <row r="28" spans="1:5">
      <c r="A28" s="56"/>
      <c r="B28" s="55"/>
      <c r="C28" s="55"/>
      <c r="D28" s="54" t="str">
        <f t="shared" si="0"/>
        <v/>
      </c>
      <c r="E28" s="54" t="str">
        <f t="shared" si="1"/>
        <v/>
      </c>
    </row>
    <row r="29" spans="1:5">
      <c r="A29" s="55"/>
      <c r="B29" s="55"/>
      <c r="C29" s="55"/>
      <c r="D29" s="54" t="str">
        <f t="shared" si="0"/>
        <v/>
      </c>
      <c r="E29" s="54" t="str">
        <f t="shared" si="1"/>
        <v/>
      </c>
    </row>
    <row r="30" spans="1:5">
      <c r="A30" s="55"/>
      <c r="B30" s="55"/>
      <c r="C30" s="55"/>
      <c r="D30" s="54" t="str">
        <f t="shared" si="0"/>
        <v/>
      </c>
      <c r="E30" s="54" t="str">
        <f t="shared" si="1"/>
        <v/>
      </c>
    </row>
    <row r="31" spans="1:5">
      <c r="A31" s="55"/>
      <c r="B31" s="55"/>
      <c r="C31" s="55"/>
      <c r="D31" s="54" t="str">
        <f t="shared" si="0"/>
        <v/>
      </c>
      <c r="E31" s="54" t="str">
        <f t="shared" si="1"/>
        <v/>
      </c>
    </row>
    <row r="32" spans="1:5">
      <c r="A32" s="55"/>
      <c r="B32" s="55"/>
      <c r="C32" s="55"/>
      <c r="D32" s="54" t="str">
        <f t="shared" si="0"/>
        <v/>
      </c>
      <c r="E32" s="54" t="str">
        <f t="shared" si="1"/>
        <v/>
      </c>
    </row>
    <row r="33" spans="1:5">
      <c r="A33" s="55"/>
      <c r="B33" s="55"/>
      <c r="C33" s="55"/>
      <c r="D33" s="54" t="str">
        <f t="shared" si="0"/>
        <v/>
      </c>
      <c r="E33" s="54" t="str">
        <f t="shared" si="1"/>
        <v/>
      </c>
    </row>
    <row r="34" spans="1:5">
      <c r="A34" s="55"/>
      <c r="B34" s="55"/>
      <c r="C34" s="55"/>
      <c r="D34" s="54" t="str">
        <f t="shared" si="0"/>
        <v/>
      </c>
      <c r="E34" s="54" t="str">
        <f t="shared" si="1"/>
        <v/>
      </c>
    </row>
    <row r="35" spans="1:5">
      <c r="A35" s="55"/>
      <c r="B35" s="55"/>
      <c r="C35" s="55"/>
      <c r="D35" s="54" t="str">
        <f t="shared" si="0"/>
        <v/>
      </c>
      <c r="E35" s="54" t="str">
        <f t="shared" si="1"/>
        <v/>
      </c>
    </row>
    <row r="36" spans="1:5">
      <c r="A36" s="55"/>
      <c r="B36" s="55"/>
      <c r="C36" s="55"/>
      <c r="D36" s="54" t="str">
        <f t="shared" si="0"/>
        <v/>
      </c>
      <c r="E36" s="54" t="str">
        <f t="shared" si="1"/>
        <v/>
      </c>
    </row>
    <row r="37" spans="1:5">
      <c r="A37" s="55"/>
      <c r="B37" s="55"/>
      <c r="C37" s="55"/>
      <c r="D37" s="54" t="str">
        <f t="shared" si="0"/>
        <v/>
      </c>
      <c r="E37" s="54" t="str">
        <f t="shared" si="1"/>
        <v/>
      </c>
    </row>
    <row r="38" spans="1:5">
      <c r="A38" s="55"/>
      <c r="B38" s="55"/>
      <c r="C38" s="55"/>
      <c r="D38" s="54" t="str">
        <f t="shared" si="0"/>
        <v/>
      </c>
      <c r="E38" s="54" t="str">
        <f t="shared" si="1"/>
        <v/>
      </c>
    </row>
    <row r="39" spans="1:5">
      <c r="A39" s="55"/>
      <c r="B39" s="55"/>
      <c r="C39" s="55"/>
      <c r="D39" s="54" t="str">
        <f t="shared" si="0"/>
        <v/>
      </c>
      <c r="E39" s="54" t="str">
        <f t="shared" si="1"/>
        <v/>
      </c>
    </row>
    <row r="40" spans="1:5">
      <c r="A40" s="55"/>
      <c r="B40" s="55"/>
      <c r="C40" s="55"/>
      <c r="D40" s="54" t="str">
        <f t="shared" si="0"/>
        <v/>
      </c>
      <c r="E40" s="54" t="str">
        <f t="shared" si="1"/>
        <v/>
      </c>
    </row>
    <row r="41" spans="1:5">
      <c r="A41" s="55"/>
      <c r="B41" s="55"/>
      <c r="C41" s="55"/>
      <c r="D41" s="54" t="str">
        <f t="shared" si="0"/>
        <v/>
      </c>
      <c r="E41" s="54" t="str">
        <f t="shared" si="1"/>
        <v/>
      </c>
    </row>
    <row r="42" spans="1:5">
      <c r="A42" s="55"/>
      <c r="B42" s="55"/>
      <c r="C42" s="55"/>
      <c r="D42" s="54" t="str">
        <f t="shared" si="0"/>
        <v/>
      </c>
      <c r="E42" s="54" t="str">
        <f t="shared" si="1"/>
        <v/>
      </c>
    </row>
    <row r="43" spans="1:5">
      <c r="A43" s="55"/>
      <c r="B43" s="55"/>
      <c r="C43" s="55"/>
      <c r="D43" s="54" t="str">
        <f t="shared" si="0"/>
        <v/>
      </c>
      <c r="E43" s="54" t="str">
        <f t="shared" si="1"/>
        <v/>
      </c>
    </row>
    <row r="44" spans="1:5">
      <c r="A44" s="55"/>
      <c r="B44" s="55"/>
      <c r="C44" s="55"/>
      <c r="D44" s="54" t="str">
        <f t="shared" si="0"/>
        <v/>
      </c>
      <c r="E44" s="54" t="str">
        <f t="shared" si="1"/>
        <v/>
      </c>
    </row>
    <row r="45" spans="1:5">
      <c r="A45" s="55"/>
      <c r="B45" s="55"/>
      <c r="C45" s="55"/>
      <c r="D45" s="54" t="str">
        <f t="shared" si="0"/>
        <v/>
      </c>
      <c r="E45" s="54" t="str">
        <f t="shared" si="1"/>
        <v/>
      </c>
    </row>
  </sheetData>
  <sheetProtection sheet="1" insertRows="0"/>
  <conditionalFormatting sqref="D1:E1048576">
    <cfRule type="expression" dxfId="17" priority="5" stopIfTrue="1">
      <formula>D1=CheckErr</formula>
    </cfRule>
  </conditionalFormatting>
  <conditionalFormatting sqref="C1:C1048576">
    <cfRule type="expression" dxfId="16" priority="1" stopIfTrue="1">
      <formula>$E1=CheckErr</formula>
    </cfRule>
  </conditionalFormatting>
  <conditionalFormatting sqref="A1:B1048576">
    <cfRule type="expression" dxfId="15" priority="7" stopIfTrue="1">
      <formula>$D1=CheckErr</formula>
    </cfRule>
  </conditionalFormatting>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4.xml><?xml version="1.0" encoding="utf-8"?>
<worksheet xmlns="http://schemas.openxmlformats.org/spreadsheetml/2006/main" xmlns:r="http://schemas.openxmlformats.org/officeDocument/2006/relationships">
  <sheetPr codeName="Sheet10" filterMode="1">
    <outlinePr summaryRight="0"/>
    <pageSetUpPr fitToPage="1"/>
  </sheetPr>
  <dimension ref="A1:R239"/>
  <sheetViews>
    <sheetView tabSelected="1" topLeftCell="B1" zoomScaleNormal="100" workbookViewId="0">
      <pane ySplit="13" topLeftCell="A15" activePane="bottomLeft" state="frozen"/>
      <selection activeCell="A6" sqref="A6"/>
      <selection pane="bottomLeft" activeCell="E15" sqref="E15"/>
    </sheetView>
  </sheetViews>
  <sheetFormatPr defaultColWidth="9.5" defaultRowHeight="13.5" outlineLevelRow="2" outlineLevelCol="1"/>
  <cols>
    <col min="1" max="1" width="4.125" style="62" customWidth="1"/>
    <col min="2" max="2" width="3.5" style="62" customWidth="1"/>
    <col min="3" max="3" width="6.25" style="62" bestFit="1" customWidth="1"/>
    <col min="4" max="4" width="17.25" style="62" bestFit="1" customWidth="1"/>
    <col min="5" max="5" width="51" style="62" bestFit="1" customWidth="1"/>
    <col min="6" max="6" width="53" style="153" customWidth="1" collapsed="1"/>
    <col min="7" max="7" width="9.5" style="62" hidden="1" customWidth="1" outlineLevel="1"/>
    <col min="8" max="8" width="5.25" style="62" bestFit="1" customWidth="1" collapsed="1"/>
    <col min="9" max="9" width="16.875" style="153" customWidth="1"/>
    <col min="10" max="10" width="7.625" style="63" customWidth="1"/>
    <col min="11" max="11" width="3" style="62" bestFit="1" customWidth="1"/>
    <col min="12" max="12" width="7.5" style="62" bestFit="1" customWidth="1"/>
    <col min="13" max="13" width="17.875" style="62" customWidth="1" outlineLevel="1"/>
    <col min="14" max="14" width="2.25" style="64" customWidth="1" outlineLevel="1"/>
    <col min="15" max="15" width="3" style="62" customWidth="1" outlineLevel="1"/>
    <col min="16" max="16" width="5.25" style="62" customWidth="1" outlineLevel="1"/>
    <col min="17" max="16384" width="9.5" style="62"/>
  </cols>
  <sheetData>
    <row r="1" spans="1:18" s="70" customFormat="1" ht="21" outlineLevel="1">
      <c r="A1" s="80" t="s">
        <v>29</v>
      </c>
      <c r="B1" s="80"/>
      <c r="C1" s="80"/>
      <c r="F1" s="149"/>
      <c r="I1" s="149"/>
      <c r="J1" s="71"/>
      <c r="N1" s="72"/>
      <c r="Q1" s="79"/>
      <c r="R1" s="78"/>
    </row>
    <row r="2" spans="1:18" s="70" customFormat="1" outlineLevel="1">
      <c r="F2" s="149"/>
      <c r="I2" s="149"/>
      <c r="J2" s="71"/>
      <c r="N2" s="72"/>
    </row>
    <row r="3" spans="1:18" s="70" customFormat="1" ht="12.75" customHeight="1" outlineLevel="1">
      <c r="A3" s="187" t="s">
        <v>89</v>
      </c>
      <c r="B3" s="188"/>
      <c r="C3" s="188"/>
      <c r="D3" s="190"/>
      <c r="E3" s="190"/>
      <c r="F3" s="190"/>
      <c r="G3" s="190"/>
      <c r="H3" s="190"/>
      <c r="I3" s="190"/>
      <c r="J3" s="191"/>
      <c r="N3" s="169"/>
    </row>
    <row r="4" spans="1:18" s="70" customFormat="1" ht="12.75" customHeight="1" outlineLevel="1">
      <c r="A4" s="202" t="s">
        <v>127</v>
      </c>
      <c r="B4" s="203"/>
      <c r="C4" s="203"/>
      <c r="D4" s="196"/>
      <c r="E4" s="196"/>
      <c r="F4" s="197"/>
      <c r="G4" s="77"/>
      <c r="H4" s="77"/>
      <c r="I4" s="154"/>
      <c r="J4" s="77"/>
      <c r="N4" s="51" t="e">
        <f>IF(AND(OR(LEFT(#REF!,1)="&lt;",COUNTIF(Blanks,#REF!)&gt;0)),CheckErr,CheckOK)</f>
        <v>#REF!</v>
      </c>
    </row>
    <row r="5" spans="1:18" ht="12.75" customHeight="1" outlineLevel="1">
      <c r="A5" s="204" t="s">
        <v>115</v>
      </c>
      <c r="B5" s="205"/>
      <c r="C5" s="205"/>
      <c r="D5" s="196"/>
      <c r="E5" s="196"/>
      <c r="F5" s="197"/>
      <c r="G5" s="76"/>
      <c r="H5" s="76"/>
      <c r="I5" s="155"/>
      <c r="J5" s="76"/>
      <c r="N5" s="51" t="e">
        <f>IF(AND(OR(LEFT(#REF!,1)="&lt;",COUNTIF(Blanks,#REF!)&gt;0)),CheckErr,CheckOK)</f>
        <v>#REF!</v>
      </c>
    </row>
    <row r="6" spans="1:18" s="70" customFormat="1" hidden="1" outlineLevel="2">
      <c r="A6" s="187" t="s">
        <v>99</v>
      </c>
      <c r="B6" s="188"/>
      <c r="C6" s="188"/>
      <c r="D6" s="189"/>
      <c r="E6" s="189"/>
      <c r="F6" s="189"/>
      <c r="G6" s="75"/>
      <c r="H6" s="75"/>
      <c r="I6" s="156"/>
      <c r="J6" s="75"/>
      <c r="N6" s="51"/>
    </row>
    <row r="7" spans="1:18" s="70" customFormat="1" hidden="1" outlineLevel="2">
      <c r="A7" s="187" t="s">
        <v>128</v>
      </c>
      <c r="B7" s="188"/>
      <c r="C7" s="188"/>
      <c r="D7" s="189"/>
      <c r="E7" s="189"/>
      <c r="F7" s="189"/>
      <c r="G7" s="75"/>
      <c r="H7" s="75"/>
      <c r="I7" s="156"/>
      <c r="J7" s="75"/>
      <c r="O7" s="51"/>
    </row>
    <row r="8" spans="1:18" s="70" customFormat="1" hidden="1" outlineLevel="2">
      <c r="A8" s="187" t="s">
        <v>129</v>
      </c>
      <c r="B8" s="188"/>
      <c r="C8" s="188"/>
      <c r="D8" s="189"/>
      <c r="E8" s="189"/>
      <c r="F8" s="189"/>
      <c r="G8" s="75"/>
      <c r="H8" s="75"/>
      <c r="I8" s="156"/>
      <c r="J8" s="75"/>
      <c r="P8" s="51"/>
    </row>
    <row r="9" spans="1:18" s="70" customFormat="1" ht="12.75" customHeight="1" outlineLevel="1" collapsed="1">
      <c r="A9" s="195" t="s">
        <v>126</v>
      </c>
      <c r="B9" s="195"/>
      <c r="C9" s="195"/>
      <c r="D9" s="194"/>
      <c r="E9" s="168"/>
      <c r="F9" s="164"/>
      <c r="G9" s="164"/>
      <c r="H9" s="164"/>
      <c r="I9" s="164"/>
      <c r="J9" s="164"/>
      <c r="N9" s="164"/>
    </row>
    <row r="10" spans="1:18" s="70" customFormat="1" ht="12.75" customHeight="1" outlineLevel="1">
      <c r="D10" s="192"/>
      <c r="E10" s="192"/>
      <c r="F10" s="192"/>
      <c r="G10" s="192"/>
      <c r="H10" s="192"/>
      <c r="I10" s="192"/>
      <c r="J10" s="192"/>
      <c r="N10" s="167"/>
    </row>
    <row r="11" spans="1:18" s="70" customFormat="1" ht="15.75" customHeight="1" outlineLevel="1">
      <c r="A11" s="74"/>
      <c r="B11" s="74"/>
      <c r="C11" s="74"/>
      <c r="D11" s="198"/>
      <c r="E11" s="198"/>
      <c r="F11" s="165" t="str">
        <f>"Comments to action: "&amp;CommentsToAction</f>
        <v>Comments to action: 0</v>
      </c>
      <c r="G11" s="166"/>
      <c r="H11" s="199" t="str">
        <f>"Comments to sign-off: " &amp; CommentsToSignOff</f>
        <v>Comments to sign-off: 0</v>
      </c>
      <c r="I11" s="200"/>
      <c r="J11" s="201"/>
      <c r="M11" s="167"/>
      <c r="N11" s="168"/>
      <c r="O11" s="167"/>
      <c r="P11" s="167"/>
    </row>
    <row r="12" spans="1:18" s="70" customFormat="1" ht="27" customHeight="1" outlineLevel="1">
      <c r="A12" s="73" t="s">
        <v>114</v>
      </c>
      <c r="B12" s="73"/>
      <c r="C12" s="73"/>
      <c r="F12" s="150">
        <f>COUNTA(F14:F1075)</f>
        <v>94</v>
      </c>
      <c r="G12" s="108"/>
      <c r="H12" s="108"/>
      <c r="I12" s="150"/>
      <c r="J12" s="110"/>
      <c r="K12" s="108">
        <f>COUNTIF($O14:$O1075,CheckErr)</f>
        <v>0</v>
      </c>
      <c r="L12" s="108"/>
      <c r="M12" s="108">
        <f>COUNTIF($P14:$P1075,CheckErr)</f>
        <v>0</v>
      </c>
      <c r="N12" s="109"/>
      <c r="O12" s="108"/>
    </row>
    <row r="13" spans="1:18" ht="68.25" customHeight="1">
      <c r="A13" s="69" t="s">
        <v>113</v>
      </c>
      <c r="B13" s="85" t="s">
        <v>134</v>
      </c>
      <c r="C13" s="85" t="s">
        <v>133</v>
      </c>
      <c r="D13" s="103" t="s">
        <v>125</v>
      </c>
      <c r="E13" s="103" t="s">
        <v>573</v>
      </c>
      <c r="F13" s="151" t="s">
        <v>124</v>
      </c>
      <c r="G13" s="87" t="s">
        <v>123</v>
      </c>
      <c r="H13" s="86" t="s">
        <v>122</v>
      </c>
      <c r="I13" s="157" t="s">
        <v>111</v>
      </c>
      <c r="J13" s="101" t="s">
        <v>110</v>
      </c>
      <c r="K13" s="102" t="s">
        <v>109</v>
      </c>
      <c r="L13" s="83" t="s">
        <v>121</v>
      </c>
      <c r="M13" s="84" t="s">
        <v>108</v>
      </c>
      <c r="N13" s="107" t="s">
        <v>112</v>
      </c>
      <c r="O13" s="106" t="s">
        <v>93</v>
      </c>
      <c r="P13" s="106" t="s">
        <v>107</v>
      </c>
    </row>
    <row r="14" spans="1:18" ht="54" hidden="1">
      <c r="A14" s="68">
        <v>1</v>
      </c>
      <c r="B14" s="68" t="s">
        <v>877</v>
      </c>
      <c r="C14" s="68" t="s">
        <v>574</v>
      </c>
      <c r="D14" s="68" t="s">
        <v>575</v>
      </c>
      <c r="E14" s="68" t="s">
        <v>575</v>
      </c>
      <c r="F14" s="152" t="s">
        <v>872</v>
      </c>
      <c r="G14"/>
      <c r="H14"/>
      <c r="I14"/>
      <c r="J14"/>
      <c r="K14"/>
      <c r="L14"/>
      <c r="M14" s="58"/>
      <c r="N14" s="66" t="e">
        <f>IF(OR(AND(CodeFileListUsed="Yes",#REF!="",COUNTA(B14:B14,#REF!)&lt;&gt;0),AND(COUNTA(B14:B14,#REF!)&lt;&gt;0, COUNTA(B14:B14,#REF!)&lt;&gt;COUNTA(B$13:C$13,D$13:F$13))),CheckErr,CheckOK)</f>
        <v>#REF!</v>
      </c>
      <c r="O14" s="50" t="e">
        <f>IF(OR(ISBLANK(#REF!), AND(NOT(ISBLANK(#REF!)),OR(AND(#REF!="Accepted",OR(#REF!="Y",#REF!="y")),#REF!="Noted",#REF!="Duplicate",AND(#REF!="Rejected",NOT(ISBLANK(#REF!)))))),CheckOK,CheckErr)</f>
        <v>#REF!</v>
      </c>
      <c r="P14" s="50" t="str">
        <f>IF(OR(ISBLANK(#REF!),NOT(ISBLANK(#REF!))),CheckOK,CheckErr)</f>
        <v/>
      </c>
    </row>
    <row r="15" spans="1:18">
      <c r="A15" s="68">
        <f t="shared" ref="A15:A46" si="0">A14+1</f>
        <v>2</v>
      </c>
      <c r="B15" s="68" t="s">
        <v>877</v>
      </c>
      <c r="C15" s="68" t="s">
        <v>576</v>
      </c>
      <c r="D15" s="68">
        <v>1.4</v>
      </c>
      <c r="E15" s="68" t="s">
        <v>577</v>
      </c>
      <c r="F15" s="152" t="s">
        <v>578</v>
      </c>
      <c r="G15"/>
      <c r="H15"/>
      <c r="I15"/>
      <c r="J15"/>
      <c r="K15"/>
      <c r="L15"/>
      <c r="M15" s="58"/>
      <c r="N15" s="66" t="e">
        <f>IF(OR(AND(CodeFileListUsed="Yes",#REF!="",COUNTA(B15:B15,#REF!)&lt;&gt;0),AND(COUNTA(B15:B15,#REF!)&lt;&gt;0, COUNTA(B15:B15,#REF!)&lt;&gt;COUNTA(B$13:C$13,D$13:F$13))),CheckErr,CheckOK)</f>
        <v>#REF!</v>
      </c>
      <c r="O15" s="50" t="e">
        <f>IF(OR(ISBLANK(#REF!), AND(NOT(ISBLANK(#REF!)),OR(AND(#REF!="Accepted",OR(#REF!="Y",#REF!="y")),#REF!="Noted",#REF!="Duplicate",AND(#REF!="Rejected",NOT(ISBLANK(#REF!)))))),CheckOK,CheckErr)</f>
        <v>#REF!</v>
      </c>
      <c r="P15" s="50" t="str">
        <f>IF(OR(ISBLANK(#REF!),NOT(ISBLANK(#REF!))),CheckOK,CheckErr)</f>
        <v/>
      </c>
    </row>
    <row r="16" spans="1:18" ht="54" hidden="1">
      <c r="A16" s="57">
        <f t="shared" si="0"/>
        <v>3</v>
      </c>
      <c r="B16" s="68" t="s">
        <v>877</v>
      </c>
      <c r="C16" s="68" t="s">
        <v>579</v>
      </c>
      <c r="D16" s="68">
        <v>1.5</v>
      </c>
      <c r="E16" s="68" t="s">
        <v>580</v>
      </c>
      <c r="F16" s="152" t="s">
        <v>873</v>
      </c>
      <c r="G16"/>
      <c r="H16"/>
      <c r="I16"/>
      <c r="J16"/>
      <c r="K16"/>
      <c r="L16"/>
      <c r="M16" s="58"/>
      <c r="N16" s="66" t="e">
        <f>IF(OR(AND(CodeFileListUsed="Yes",#REF!="",COUNTA(B16:B16,#REF!)&lt;&gt;0),AND(COUNTA(B16:B16,#REF!)&lt;&gt;0, COUNTA(B16:B16,#REF!)&lt;&gt;COUNTA(B$13:C$13,D$13:F$13))),CheckErr,CheckOK)</f>
        <v>#REF!</v>
      </c>
      <c r="O16" s="50" t="e">
        <f>IF(OR(ISBLANK(#REF!), AND(NOT(ISBLANK(#REF!)),OR(AND(#REF!="Accepted",OR(#REF!="Y",#REF!="y")),#REF!="Noted",#REF!="Duplicate",AND(#REF!="Rejected",NOT(ISBLANK(#REF!)))))),CheckOK,CheckErr)</f>
        <v>#REF!</v>
      </c>
      <c r="P16" s="50" t="str">
        <f>IF(OR(ISBLANK(#REF!),NOT(ISBLANK(#REF!))),CheckOK,CheckErr)</f>
        <v/>
      </c>
    </row>
    <row r="17" spans="1:16" hidden="1">
      <c r="A17" s="57">
        <f t="shared" si="0"/>
        <v>4</v>
      </c>
      <c r="B17" s="68" t="s">
        <v>877</v>
      </c>
      <c r="C17" s="68" t="s">
        <v>581</v>
      </c>
      <c r="D17" s="68" t="s">
        <v>582</v>
      </c>
      <c r="E17" s="68" t="s">
        <v>583</v>
      </c>
      <c r="F17" s="152" t="s">
        <v>584</v>
      </c>
      <c r="G17"/>
      <c r="H17"/>
      <c r="I17"/>
      <c r="J17"/>
      <c r="K17"/>
      <c r="L17"/>
      <c r="M17" s="58"/>
      <c r="N17" s="66" t="e">
        <f>IF(OR(AND(CodeFileListUsed="Yes",#REF!="",COUNTA(B17:B17,#REF!)&lt;&gt;0),AND(COUNTA(B17:B17,#REF!)&lt;&gt;0, COUNTA(B17:B17,#REF!)&lt;&gt;COUNTA(B$13:C$13,D$13:F$13))),CheckErr,CheckOK)</f>
        <v>#REF!</v>
      </c>
      <c r="O17" s="50" t="e">
        <f>IF(OR(ISBLANK(#REF!), AND(NOT(ISBLANK(#REF!)),OR(AND(#REF!="Accepted",OR(#REF!="Y",#REF!="y")),#REF!="Noted",#REF!="Duplicate",AND(#REF!="Rejected",NOT(ISBLANK(#REF!)))))),CheckOK,CheckErr)</f>
        <v>#REF!</v>
      </c>
      <c r="P17" s="50" t="str">
        <f>IF(OR(ISBLANK(#REF!),NOT(ISBLANK(#REF!))),CheckOK,CheckErr)</f>
        <v/>
      </c>
    </row>
    <row r="18" spans="1:16" hidden="1">
      <c r="A18" s="57">
        <f t="shared" si="0"/>
        <v>5</v>
      </c>
      <c r="B18" s="68" t="s">
        <v>877</v>
      </c>
      <c r="C18" s="68" t="s">
        <v>585</v>
      </c>
      <c r="D18" s="68" t="s">
        <v>586</v>
      </c>
      <c r="E18" s="68" t="s">
        <v>587</v>
      </c>
      <c r="F18" s="152" t="s">
        <v>588</v>
      </c>
      <c r="G18"/>
      <c r="H18"/>
      <c r="I18"/>
      <c r="J18"/>
      <c r="K18"/>
      <c r="L18"/>
      <c r="M18" s="58"/>
      <c r="N18" s="66" t="e">
        <f>IF(OR(AND(CodeFileListUsed="Yes",#REF!="",COUNTA(B18:B18,#REF!)&lt;&gt;0),AND(COUNTA(B18:B18,#REF!)&lt;&gt;0, COUNTA(B18:B18,#REF!)&lt;&gt;COUNTA(B$13:C$13,D$13:F$13))),CheckErr,CheckOK)</f>
        <v>#REF!</v>
      </c>
      <c r="O18" s="50" t="e">
        <f>IF(OR(ISBLANK(#REF!), AND(NOT(ISBLANK(#REF!)),OR(AND(#REF!="Accepted",OR(#REF!="Y",#REF!="y")),#REF!="Noted",#REF!="Duplicate",AND(#REF!="Rejected",NOT(ISBLANK(#REF!)))))),CheckOK,CheckErr)</f>
        <v>#REF!</v>
      </c>
      <c r="P18" s="50" t="str">
        <f>IF(OR(ISBLANK(#REF!),NOT(ISBLANK(#REF!))),CheckOK,CheckErr)</f>
        <v/>
      </c>
    </row>
    <row r="19" spans="1:16" ht="27" hidden="1">
      <c r="A19" s="57">
        <f t="shared" si="0"/>
        <v>6</v>
      </c>
      <c r="B19" s="68" t="s">
        <v>877</v>
      </c>
      <c r="C19" s="68" t="s">
        <v>589</v>
      </c>
      <c r="D19" s="68" t="s">
        <v>586</v>
      </c>
      <c r="E19" s="68" t="s">
        <v>590</v>
      </c>
      <c r="F19" s="152" t="s">
        <v>874</v>
      </c>
      <c r="G19"/>
      <c r="H19"/>
      <c r="I19"/>
      <c r="J19"/>
      <c r="K19"/>
      <c r="L19"/>
      <c r="M19" s="58"/>
      <c r="N19" s="66" t="e">
        <f>IF(OR(AND(CodeFileListUsed="Yes",#REF!="",COUNTA(B19:B19,#REF!)&lt;&gt;0),AND(COUNTA(B19:B19,#REF!)&lt;&gt;0, COUNTA(B19:B19,#REF!)&lt;&gt;COUNTA(B$13:C$13,D$13:F$13))),CheckErr,CheckOK)</f>
        <v>#REF!</v>
      </c>
      <c r="O19" s="50" t="e">
        <f>IF(OR(ISBLANK(#REF!), AND(NOT(ISBLANK(#REF!)),OR(AND(#REF!="Accepted",OR(#REF!="Y",#REF!="y")),#REF!="Noted",#REF!="Duplicate",AND(#REF!="Rejected",NOT(ISBLANK(#REF!)))))),CheckOK,CheckErr)</f>
        <v>#REF!</v>
      </c>
      <c r="P19" s="50" t="str">
        <f>IF(OR(ISBLANK(#REF!),NOT(ISBLANK(#REF!))),CheckOK,CheckErr)</f>
        <v/>
      </c>
    </row>
    <row r="20" spans="1:16" ht="40.5" hidden="1">
      <c r="A20" s="57">
        <f t="shared" si="0"/>
        <v>7</v>
      </c>
      <c r="B20" s="68" t="s">
        <v>877</v>
      </c>
      <c r="C20" s="68" t="s">
        <v>591</v>
      </c>
      <c r="D20" s="68" t="s">
        <v>592</v>
      </c>
      <c r="E20" s="68" t="s">
        <v>593</v>
      </c>
      <c r="F20" s="152" t="s">
        <v>875</v>
      </c>
      <c r="G20"/>
      <c r="H20"/>
      <c r="I20"/>
      <c r="J20"/>
      <c r="K20"/>
      <c r="L20"/>
      <c r="M20" s="58"/>
      <c r="N20" s="66" t="e">
        <f>IF(OR(AND(CodeFileListUsed="Yes",#REF!="",COUNTA(B20:B20,#REF!)&lt;&gt;0),AND(COUNTA(B20:B20,#REF!)&lt;&gt;0, COUNTA(B20:B20,#REF!)&lt;&gt;COUNTA(B$13:C$13,D$13:F$13))),CheckErr,CheckOK)</f>
        <v>#REF!</v>
      </c>
      <c r="O20" s="50" t="e">
        <f>IF(OR(ISBLANK(#REF!), AND(NOT(ISBLANK(#REF!)),OR(AND(#REF!="Accepted",OR(#REF!="Y",#REF!="y")),#REF!="Noted",#REF!="Duplicate",AND(#REF!="Rejected",NOT(ISBLANK(#REF!)))))),CheckOK,CheckErr)</f>
        <v>#REF!</v>
      </c>
      <c r="P20" s="50" t="str">
        <f>IF(OR(ISBLANK(#REF!),NOT(ISBLANK(#REF!))),CheckOK,CheckErr)</f>
        <v/>
      </c>
    </row>
    <row r="21" spans="1:16" ht="40.5" hidden="1">
      <c r="A21" s="57">
        <f t="shared" si="0"/>
        <v>8</v>
      </c>
      <c r="B21" s="68" t="s">
        <v>877</v>
      </c>
      <c r="C21" s="68" t="s">
        <v>594</v>
      </c>
      <c r="D21" s="68" t="s">
        <v>595</v>
      </c>
      <c r="E21" s="68" t="s">
        <v>596</v>
      </c>
      <c r="F21" s="152" t="s">
        <v>876</v>
      </c>
      <c r="G21"/>
      <c r="H21"/>
      <c r="I21"/>
      <c r="J21"/>
      <c r="K21"/>
      <c r="L21"/>
      <c r="M21" s="58"/>
      <c r="N21" s="66" t="e">
        <f>IF(OR(AND(CodeFileListUsed="Yes",#REF!="",COUNTA(B21:B21,#REF!)&lt;&gt;0),AND(COUNTA(B21:B21,#REF!)&lt;&gt;0, COUNTA(B21:B21,#REF!)&lt;&gt;COUNTA(B$13:C$13,D$13:F$13))),CheckErr,CheckOK)</f>
        <v>#REF!</v>
      </c>
      <c r="O21" s="50" t="e">
        <f>IF(OR(ISBLANK(#REF!), AND(NOT(ISBLANK(#REF!)),OR(AND(#REF!="Accepted",OR(#REF!="Y",#REF!="y")),#REF!="Noted",#REF!="Duplicate",AND(#REF!="Rejected",NOT(ISBLANK(#REF!)))))),CheckOK,CheckErr)</f>
        <v>#REF!</v>
      </c>
      <c r="P21" s="50" t="str">
        <f>IF(OR(ISBLANK(#REF!),NOT(ISBLANK(#REF!))),CheckOK,CheckErr)</f>
        <v/>
      </c>
    </row>
    <row r="22" spans="1:16" ht="40.5" hidden="1">
      <c r="A22" s="57">
        <f t="shared" si="0"/>
        <v>9</v>
      </c>
      <c r="B22" s="68" t="s">
        <v>877</v>
      </c>
      <c r="C22" s="68" t="s">
        <v>597</v>
      </c>
      <c r="D22" s="68" t="s">
        <v>598</v>
      </c>
      <c r="E22" s="68" t="s">
        <v>599</v>
      </c>
      <c r="F22" s="152" t="s">
        <v>600</v>
      </c>
      <c r="G22"/>
      <c r="H22"/>
      <c r="I22"/>
      <c r="J22"/>
      <c r="K22"/>
      <c r="L22"/>
      <c r="M22" s="58"/>
      <c r="N22" s="66" t="e">
        <f>IF(OR(AND(CodeFileListUsed="Yes",#REF!="",COUNTA(B22:B22,#REF!)&lt;&gt;0),AND(COUNTA(B22:B22,#REF!)&lt;&gt;0, COUNTA(B22:B22,#REF!)&lt;&gt;COUNTA(B$13:C$13,D$13:F$13))),CheckErr,CheckOK)</f>
        <v>#REF!</v>
      </c>
      <c r="O22" s="50" t="e">
        <f>IF(OR(ISBLANK(#REF!), AND(NOT(ISBLANK(#REF!)),OR(AND(#REF!="Accepted",OR(#REF!="Y",#REF!="y")),#REF!="Noted",#REF!="Duplicate",AND(#REF!="Rejected",NOT(ISBLANK(#REF!)))))),CheckOK,CheckErr)</f>
        <v>#REF!</v>
      </c>
      <c r="P22" s="50" t="str">
        <f>IF(OR(ISBLANK(#REF!),NOT(ISBLANK(#REF!))),CheckOK,CheckErr)</f>
        <v/>
      </c>
    </row>
    <row r="23" spans="1:16" ht="54" hidden="1">
      <c r="A23" s="57">
        <f t="shared" si="0"/>
        <v>10</v>
      </c>
      <c r="B23" s="68" t="s">
        <v>877</v>
      </c>
      <c r="C23" s="68" t="s">
        <v>601</v>
      </c>
      <c r="D23" s="68">
        <v>3.9</v>
      </c>
      <c r="E23" s="68" t="s">
        <v>602</v>
      </c>
      <c r="F23" s="152" t="s">
        <v>603</v>
      </c>
      <c r="G23"/>
      <c r="H23" s="177" t="s">
        <v>885</v>
      </c>
      <c r="I23" s="3" t="s">
        <v>899</v>
      </c>
      <c r="J23" t="s">
        <v>87</v>
      </c>
      <c r="K23" t="s">
        <v>884</v>
      </c>
      <c r="L23"/>
      <c r="M23" s="58"/>
      <c r="N23" s="66" t="e">
        <f>IF(OR(AND(CodeFileListUsed="Yes",#REF!="",COUNTA(B23:B23,#REF!)&lt;&gt;0),AND(COUNTA(B23:B23,#REF!)&lt;&gt;0, COUNTA(B23:B23,#REF!)&lt;&gt;COUNTA(B$13:C$13,D$13:F$13))),CheckErr,CheckOK)</f>
        <v>#REF!</v>
      </c>
      <c r="O23" s="50" t="e">
        <f>IF(OR(ISBLANK(#REF!), AND(NOT(ISBLANK(#REF!)),OR(AND(#REF!="Accepted",OR(#REF!="Y",#REF!="y")),#REF!="Noted",#REF!="Duplicate",AND(#REF!="Rejected",NOT(ISBLANK(#REF!)))))),CheckOK,CheckErr)</f>
        <v>#REF!</v>
      </c>
      <c r="P23" s="50" t="str">
        <f>IF(OR(ISBLANK(#REF!),NOT(ISBLANK(#REF!))),CheckOK,CheckErr)</f>
        <v/>
      </c>
    </row>
    <row r="24" spans="1:16" ht="310.5" hidden="1">
      <c r="A24" s="57">
        <f t="shared" si="0"/>
        <v>11</v>
      </c>
      <c r="B24" s="68" t="s">
        <v>877</v>
      </c>
      <c r="C24" s="68" t="s">
        <v>604</v>
      </c>
      <c r="D24" s="68" t="s">
        <v>605</v>
      </c>
      <c r="E24" s="68" t="s">
        <v>606</v>
      </c>
      <c r="F24" s="152" t="s">
        <v>882</v>
      </c>
      <c r="G24"/>
      <c r="H24"/>
      <c r="I24"/>
      <c r="J24"/>
      <c r="K24"/>
      <c r="L24"/>
      <c r="M24" s="58"/>
      <c r="N24" s="66" t="e">
        <f>IF(OR(AND(CodeFileListUsed="Yes",#REF!="",COUNTA(B24:B24,#REF!)&lt;&gt;0),AND(COUNTA(B24:B24,#REF!)&lt;&gt;0, COUNTA(B24:B24,#REF!)&lt;&gt;COUNTA(B$13:C$13,D$13:F$13))),CheckErr,CheckOK)</f>
        <v>#REF!</v>
      </c>
      <c r="O24" s="50" t="e">
        <f>IF(OR(ISBLANK(#REF!), AND(NOT(ISBLANK(#REF!)),OR(AND(#REF!="Accepted",OR(#REF!="Y",#REF!="y")),#REF!="Noted",#REF!="Duplicate",AND(#REF!="Rejected",NOT(ISBLANK(#REF!)))))),CheckOK,CheckErr)</f>
        <v>#REF!</v>
      </c>
      <c r="P24" s="50" t="str">
        <f>IF(OR(ISBLANK(#REF!),NOT(ISBLANK(#REF!))),CheckOK,CheckErr)</f>
        <v/>
      </c>
    </row>
    <row r="25" spans="1:16" hidden="1">
      <c r="A25" s="57">
        <f t="shared" si="0"/>
        <v>12</v>
      </c>
      <c r="B25" s="68" t="s">
        <v>877</v>
      </c>
      <c r="C25" s="68" t="s">
        <v>607</v>
      </c>
      <c r="D25" s="68">
        <v>6.1</v>
      </c>
      <c r="E25" s="68" t="s">
        <v>608</v>
      </c>
      <c r="F25" s="152" t="s">
        <v>609</v>
      </c>
      <c r="G25"/>
      <c r="H25" s="177" t="s">
        <v>885</v>
      </c>
      <c r="I25" t="s">
        <v>889</v>
      </c>
      <c r="J25" s="176" t="s">
        <v>87</v>
      </c>
      <c r="K25" s="176" t="s">
        <v>884</v>
      </c>
      <c r="L25"/>
      <c r="M25" s="58"/>
      <c r="N25" s="66" t="e">
        <f>IF(OR(AND(CodeFileListUsed="Yes",#REF!="",COUNTA(B25:B25,#REF!)&lt;&gt;0),AND(COUNTA(B25:B25,#REF!)&lt;&gt;0, COUNTA(B25:B25,#REF!)&lt;&gt;COUNTA(B$13:C$13,D$13:F$13))),CheckErr,CheckOK)</f>
        <v>#REF!</v>
      </c>
      <c r="O25" s="50" t="e">
        <f>IF(OR(ISBLANK(#REF!), AND(NOT(ISBLANK(#REF!)),OR(AND(#REF!="Accepted",OR(#REF!="Y",#REF!="y")),#REF!="Noted",#REF!="Duplicate",AND(#REF!="Rejected",NOT(ISBLANK(#REF!)))))),CheckOK,CheckErr)</f>
        <v>#REF!</v>
      </c>
      <c r="P25" s="50" t="str">
        <f>IF(OR(ISBLANK(#REF!),NOT(ISBLANK(#REF!))),CheckOK,CheckErr)</f>
        <v/>
      </c>
    </row>
    <row r="26" spans="1:16" ht="27" hidden="1">
      <c r="A26" s="57">
        <f t="shared" si="0"/>
        <v>13</v>
      </c>
      <c r="B26" s="68" t="s">
        <v>877</v>
      </c>
      <c r="C26" s="68" t="s">
        <v>610</v>
      </c>
      <c r="D26" s="68" t="s">
        <v>611</v>
      </c>
      <c r="E26" s="68" t="s">
        <v>612</v>
      </c>
      <c r="F26" s="152" t="s">
        <v>613</v>
      </c>
      <c r="G26"/>
      <c r="H26"/>
      <c r="I26"/>
      <c r="J26"/>
      <c r="K26"/>
      <c r="L26"/>
      <c r="M26" s="58"/>
      <c r="N26" s="66" t="e">
        <f>IF(OR(AND(CodeFileListUsed="Yes",#REF!="",COUNTA(B26:B26,#REF!)&lt;&gt;0),AND(COUNTA(B26:B26,#REF!)&lt;&gt;0, COUNTA(B26:B26,#REF!)&lt;&gt;COUNTA(B$13:C$13,D$13:F$13))),CheckErr,CheckOK)</f>
        <v>#REF!</v>
      </c>
      <c r="O26" s="50" t="e">
        <f>IF(OR(ISBLANK(#REF!), AND(NOT(ISBLANK(#REF!)),OR(AND(#REF!="Accepted",OR(#REF!="Y",#REF!="y")),#REF!="Noted",#REF!="Duplicate",AND(#REF!="Rejected",NOT(ISBLANK(#REF!)))))),CheckOK,CheckErr)</f>
        <v>#REF!</v>
      </c>
      <c r="P26" s="50" t="str">
        <f>IF(OR(ISBLANK(#REF!),NOT(ISBLANK(#REF!))),CheckOK,CheckErr)</f>
        <v/>
      </c>
    </row>
    <row r="27" spans="1:16" ht="40.5" hidden="1">
      <c r="A27" s="57">
        <f t="shared" si="0"/>
        <v>14</v>
      </c>
      <c r="B27" s="68" t="s">
        <v>877</v>
      </c>
      <c r="C27" s="68" t="s">
        <v>614</v>
      </c>
      <c r="D27" s="68" t="s">
        <v>615</v>
      </c>
      <c r="E27" s="68" t="s">
        <v>616</v>
      </c>
      <c r="F27" s="152" t="s">
        <v>617</v>
      </c>
      <c r="G27"/>
      <c r="H27"/>
      <c r="I27"/>
      <c r="J27"/>
      <c r="K27"/>
      <c r="L27"/>
      <c r="M27" s="58"/>
      <c r="N27" s="66" t="e">
        <f>IF(OR(AND(CodeFileListUsed="Yes",#REF!="",COUNTA(B27:B27,#REF!)&lt;&gt;0),AND(COUNTA(B27:B27,#REF!)&lt;&gt;0, COUNTA(B27:B27,#REF!)&lt;&gt;COUNTA(B$13:C$13,D$13:F$13))),CheckErr,CheckOK)</f>
        <v>#REF!</v>
      </c>
      <c r="O27" s="50" t="e">
        <f>IF(OR(ISBLANK(#REF!), AND(NOT(ISBLANK(#REF!)),OR(AND(#REF!="Accepted",OR(#REF!="Y",#REF!="y")),#REF!="Noted",#REF!="Duplicate",AND(#REF!="Rejected",NOT(ISBLANK(#REF!)))))),CheckOK,CheckErr)</f>
        <v>#REF!</v>
      </c>
      <c r="P27" s="50" t="str">
        <f>IF(OR(ISBLANK(#REF!),NOT(ISBLANK(#REF!))),CheckOK,CheckErr)</f>
        <v/>
      </c>
    </row>
    <row r="28" spans="1:16" hidden="1">
      <c r="A28" s="57">
        <f t="shared" si="0"/>
        <v>15</v>
      </c>
      <c r="B28" s="68" t="s">
        <v>877</v>
      </c>
      <c r="C28" s="68" t="s">
        <v>618</v>
      </c>
      <c r="D28" s="68" t="s">
        <v>615</v>
      </c>
      <c r="E28" s="68" t="s">
        <v>619</v>
      </c>
      <c r="F28" s="152" t="s">
        <v>620</v>
      </c>
      <c r="G28"/>
      <c r="H28" s="177" t="s">
        <v>885</v>
      </c>
      <c r="I28" t="s">
        <v>889</v>
      </c>
      <c r="J28" s="176" t="s">
        <v>87</v>
      </c>
      <c r="K28" s="176" t="s">
        <v>884</v>
      </c>
      <c r="L28"/>
      <c r="M28" s="58"/>
      <c r="N28" s="66" t="e">
        <f>IF(OR(AND(CodeFileListUsed="Yes",#REF!="",COUNTA(B28:B28,#REF!)&lt;&gt;0),AND(COUNTA(B28:B28,#REF!)&lt;&gt;0, COUNTA(B28:B28,#REF!)&lt;&gt;COUNTA(B$13:C$13,D$13:F$13))),CheckErr,CheckOK)</f>
        <v>#REF!</v>
      </c>
      <c r="O28" s="50" t="e">
        <f>IF(OR(ISBLANK(#REF!), AND(NOT(ISBLANK(#REF!)),OR(AND(#REF!="Accepted",OR(#REF!="Y",#REF!="y")),#REF!="Noted",#REF!="Duplicate",AND(#REF!="Rejected",NOT(ISBLANK(#REF!)))))),CheckOK,CheckErr)</f>
        <v>#REF!</v>
      </c>
      <c r="P28" s="50" t="str">
        <f>IF(OR(ISBLANK(#REF!),NOT(ISBLANK(#REF!))),CheckOK,CheckErr)</f>
        <v/>
      </c>
    </row>
    <row r="29" spans="1:16" hidden="1">
      <c r="A29" s="57">
        <f t="shared" si="0"/>
        <v>16</v>
      </c>
      <c r="B29" s="68" t="s">
        <v>877</v>
      </c>
      <c r="C29" s="68" t="s">
        <v>621</v>
      </c>
      <c r="D29" s="68" t="s">
        <v>622</v>
      </c>
      <c r="E29" s="68" t="s">
        <v>623</v>
      </c>
      <c r="F29" s="152" t="s">
        <v>624</v>
      </c>
      <c r="G29"/>
      <c r="H29"/>
      <c r="I29"/>
      <c r="J29"/>
      <c r="K29"/>
      <c r="L29"/>
      <c r="M29" s="58"/>
      <c r="N29" s="66" t="e">
        <f>IF(OR(AND(CodeFileListUsed="Yes",#REF!="",COUNTA(B29:B29,#REF!)&lt;&gt;0),AND(COUNTA(B29:B29,#REF!)&lt;&gt;0, COUNTA(B29:B29,#REF!)&lt;&gt;COUNTA(B$13:C$13,D$13:F$13))),CheckErr,CheckOK)</f>
        <v>#REF!</v>
      </c>
      <c r="O29" s="50" t="e">
        <f>IF(OR(ISBLANK(#REF!), AND(NOT(ISBLANK(#REF!)),OR(AND(#REF!="Accepted",OR(#REF!="Y",#REF!="y")),#REF!="Noted",#REF!="Duplicate",AND(#REF!="Rejected",NOT(ISBLANK(#REF!)))))),CheckOK,CheckErr)</f>
        <v>#REF!</v>
      </c>
      <c r="P29" s="50" t="str">
        <f>IF(OR(ISBLANK(#REF!),NOT(ISBLANK(#REF!))),CheckOK,CheckErr)</f>
        <v/>
      </c>
    </row>
    <row r="30" spans="1:16" ht="67.5" hidden="1">
      <c r="A30" s="57">
        <f t="shared" si="0"/>
        <v>17</v>
      </c>
      <c r="B30" s="68" t="s">
        <v>877</v>
      </c>
      <c r="C30" s="68" t="s">
        <v>625</v>
      </c>
      <c r="D30" s="68" t="s">
        <v>626</v>
      </c>
      <c r="E30" s="68" t="s">
        <v>627</v>
      </c>
      <c r="F30" s="152" t="s">
        <v>628</v>
      </c>
      <c r="G30"/>
      <c r="H30" s="177" t="s">
        <v>885</v>
      </c>
      <c r="I30" t="s">
        <v>896</v>
      </c>
      <c r="J30" t="s">
        <v>87</v>
      </c>
      <c r="K30" s="176" t="s">
        <v>884</v>
      </c>
      <c r="L30"/>
      <c r="M30" s="58"/>
      <c r="N30" s="66" t="e">
        <f>IF(OR(AND(CodeFileListUsed="Yes",#REF!="",COUNTA(B30:B30,#REF!)&lt;&gt;0),AND(COUNTA(B30:B30,#REF!)&lt;&gt;0, COUNTA(B30:B30,#REF!)&lt;&gt;COUNTA(B$13:C$13,D$13:F$13))),CheckErr,CheckOK)</f>
        <v>#REF!</v>
      </c>
      <c r="O30" s="50" t="e">
        <f>IF(OR(ISBLANK(#REF!), AND(NOT(ISBLANK(#REF!)),OR(AND(#REF!="Accepted",OR(#REF!="Y",#REF!="y")),#REF!="Noted",#REF!="Duplicate",AND(#REF!="Rejected",NOT(ISBLANK(#REF!)))))),CheckOK,CheckErr)</f>
        <v>#REF!</v>
      </c>
      <c r="P30" s="50" t="str">
        <f>IF(OR(ISBLANK(#REF!),NOT(ISBLANK(#REF!))),CheckOK,CheckErr)</f>
        <v/>
      </c>
    </row>
    <row r="31" spans="1:16" hidden="1">
      <c r="A31" s="57">
        <f t="shared" si="0"/>
        <v>18</v>
      </c>
      <c r="B31" s="68" t="s">
        <v>877</v>
      </c>
      <c r="C31" s="68" t="s">
        <v>629</v>
      </c>
      <c r="D31" s="68" t="s">
        <v>630</v>
      </c>
      <c r="E31" s="68" t="s">
        <v>631</v>
      </c>
      <c r="F31" s="152" t="s">
        <v>632</v>
      </c>
      <c r="G31"/>
      <c r="H31" s="177" t="s">
        <v>885</v>
      </c>
      <c r="I31" t="s">
        <v>888</v>
      </c>
      <c r="J31" s="176" t="s">
        <v>87</v>
      </c>
      <c r="K31" s="176" t="s">
        <v>884</v>
      </c>
      <c r="L31"/>
      <c r="M31" s="58"/>
      <c r="N31" s="66" t="e">
        <f>IF(OR(AND(CodeFileListUsed="Yes",#REF!="",COUNTA(B31:B31,#REF!)&lt;&gt;0),AND(COUNTA(B31:B31,#REF!)&lt;&gt;0, COUNTA(B31:B31,#REF!)&lt;&gt;COUNTA(B$13:C$13,D$13:F$13))),CheckErr,CheckOK)</f>
        <v>#REF!</v>
      </c>
      <c r="O31" s="50" t="e">
        <f>IF(OR(ISBLANK(#REF!), AND(NOT(ISBLANK(#REF!)),OR(AND(#REF!="Accepted",OR(#REF!="Y",#REF!="y")),#REF!="Noted",#REF!="Duplicate",AND(#REF!="Rejected",NOT(ISBLANK(#REF!)))))),CheckOK,CheckErr)</f>
        <v>#REF!</v>
      </c>
      <c r="P31" s="50" t="str">
        <f>IF(OR(ISBLANK(#REF!),NOT(ISBLANK(#REF!))),CheckOK,CheckErr)</f>
        <v/>
      </c>
    </row>
    <row r="32" spans="1:16" ht="40.5" hidden="1">
      <c r="A32" s="57">
        <f t="shared" si="0"/>
        <v>19</v>
      </c>
      <c r="B32" s="68" t="s">
        <v>877</v>
      </c>
      <c r="C32" s="68" t="s">
        <v>633</v>
      </c>
      <c r="D32" s="68" t="s">
        <v>630</v>
      </c>
      <c r="E32" s="68" t="s">
        <v>575</v>
      </c>
      <c r="F32" s="152" t="s">
        <v>634</v>
      </c>
      <c r="G32"/>
      <c r="H32"/>
      <c r="I32"/>
      <c r="J32"/>
      <c r="K32"/>
      <c r="L32"/>
      <c r="M32" s="58"/>
      <c r="N32" s="66" t="e">
        <f>IF(OR(AND(CodeFileListUsed="Yes",#REF!="",COUNTA(B32:B32,#REF!)&lt;&gt;0),AND(COUNTA(B32:B32,#REF!)&lt;&gt;0, COUNTA(B32:B32,#REF!)&lt;&gt;COUNTA(B$13:C$13,D$13:F$13))),CheckErr,CheckOK)</f>
        <v>#REF!</v>
      </c>
      <c r="O32" s="50" t="e">
        <f>IF(OR(ISBLANK(#REF!), AND(NOT(ISBLANK(#REF!)),OR(AND(#REF!="Accepted",OR(#REF!="Y",#REF!="y")),#REF!="Noted",#REF!="Duplicate",AND(#REF!="Rejected",NOT(ISBLANK(#REF!)))))),CheckOK,CheckErr)</f>
        <v>#REF!</v>
      </c>
      <c r="P32" s="50" t="str">
        <f>IF(OR(ISBLANK(#REF!),NOT(ISBLANK(#REF!))),CheckOK,CheckErr)</f>
        <v/>
      </c>
    </row>
    <row r="33" spans="1:16" hidden="1">
      <c r="A33" s="57">
        <f t="shared" si="0"/>
        <v>20</v>
      </c>
      <c r="B33" s="68" t="s">
        <v>877</v>
      </c>
      <c r="C33" s="68" t="s">
        <v>635</v>
      </c>
      <c r="D33" s="68" t="s">
        <v>636</v>
      </c>
      <c r="E33" s="68" t="s">
        <v>637</v>
      </c>
      <c r="F33" s="152" t="s">
        <v>638</v>
      </c>
      <c r="G33"/>
      <c r="H33" s="177" t="s">
        <v>885</v>
      </c>
      <c r="I33" s="91" t="s">
        <v>886</v>
      </c>
      <c r="J33" s="91" t="s">
        <v>87</v>
      </c>
      <c r="K33" s="178" t="s">
        <v>884</v>
      </c>
      <c r="L33"/>
      <c r="M33" s="58"/>
      <c r="N33" s="66" t="e">
        <f>IF(OR(AND(CodeFileListUsed="Yes",#REF!="",COUNTA(B33:B33,#REF!)&lt;&gt;0),AND(COUNTA(B33:B33,#REF!)&lt;&gt;0, COUNTA(B33:B33,#REF!)&lt;&gt;COUNTA(B$13:C$13,D$13:F$13))),CheckErr,CheckOK)</f>
        <v>#REF!</v>
      </c>
      <c r="O33" s="50" t="e">
        <f>IF(OR(ISBLANK(#REF!), AND(NOT(ISBLANK(#REF!)),OR(AND(#REF!="Accepted",OR(#REF!="Y",#REF!="y")),#REF!="Noted",#REF!="Duplicate",AND(#REF!="Rejected",NOT(ISBLANK(#REF!)))))),CheckOK,CheckErr)</f>
        <v>#REF!</v>
      </c>
      <c r="P33" s="50" t="str">
        <f>IF(OR(ISBLANK(#REF!),NOT(ISBLANK(#REF!))),CheckOK,CheckErr)</f>
        <v/>
      </c>
    </row>
    <row r="34" spans="1:16" ht="27" hidden="1">
      <c r="A34" s="57">
        <f t="shared" si="0"/>
        <v>21</v>
      </c>
      <c r="B34" s="68" t="s">
        <v>877</v>
      </c>
      <c r="C34" s="68" t="s">
        <v>639</v>
      </c>
      <c r="D34" s="68" t="s">
        <v>640</v>
      </c>
      <c r="E34" s="68" t="s">
        <v>641</v>
      </c>
      <c r="F34" s="152" t="s">
        <v>642</v>
      </c>
      <c r="G34"/>
      <c r="H34"/>
      <c r="I34"/>
      <c r="J34"/>
      <c r="K34"/>
      <c r="L34"/>
      <c r="M34" s="58"/>
      <c r="N34" s="66" t="e">
        <f>IF(OR(AND(CodeFileListUsed="Yes",#REF!="",COUNTA(B34:B34,#REF!)&lt;&gt;0),AND(COUNTA(B34:B34,#REF!)&lt;&gt;0, COUNTA(B34:B34,#REF!)&lt;&gt;COUNTA(B$13:C$13,D$13:F$13))),CheckErr,CheckOK)</f>
        <v>#REF!</v>
      </c>
      <c r="O34" s="50" t="e">
        <f>IF(OR(ISBLANK(#REF!), AND(NOT(ISBLANK(#REF!)),OR(AND(#REF!="Accepted",OR(#REF!="Y",#REF!="y")),#REF!="Noted",#REF!="Duplicate",AND(#REF!="Rejected",NOT(ISBLANK(#REF!)))))),CheckOK,CheckErr)</f>
        <v>#REF!</v>
      </c>
      <c r="P34" s="50" t="str">
        <f>IF(OR(ISBLANK(#REF!),NOT(ISBLANK(#REF!))),CheckOK,CheckErr)</f>
        <v/>
      </c>
    </row>
    <row r="35" spans="1:16" ht="54" hidden="1">
      <c r="A35" s="57">
        <f t="shared" si="0"/>
        <v>22</v>
      </c>
      <c r="B35" s="68" t="s">
        <v>877</v>
      </c>
      <c r="C35" s="68" t="s">
        <v>643</v>
      </c>
      <c r="D35" s="68" t="s">
        <v>640</v>
      </c>
      <c r="E35" s="68" t="s">
        <v>644</v>
      </c>
      <c r="F35" s="152" t="s">
        <v>645</v>
      </c>
      <c r="G35"/>
      <c r="H35" s="177" t="s">
        <v>885</v>
      </c>
      <c r="I35" s="3" t="s">
        <v>890</v>
      </c>
      <c r="J35" t="s">
        <v>86</v>
      </c>
      <c r="K35"/>
      <c r="L35"/>
      <c r="M35" s="58"/>
      <c r="N35" s="66" t="e">
        <f>IF(OR(AND(CodeFileListUsed="Yes",#REF!="",COUNTA(B35:B35,#REF!)&lt;&gt;0),AND(COUNTA(B35:B35,#REF!)&lt;&gt;0, COUNTA(B35:B35,#REF!)&lt;&gt;COUNTA(B$13:C$13,D$13:F$13))),CheckErr,CheckOK)</f>
        <v>#REF!</v>
      </c>
      <c r="O35" s="50" t="e">
        <f>IF(OR(ISBLANK(#REF!), AND(NOT(ISBLANK(#REF!)),OR(AND(#REF!="Accepted",OR(#REF!="Y",#REF!="y")),#REF!="Noted",#REF!="Duplicate",AND(#REF!="Rejected",NOT(ISBLANK(#REF!)))))),CheckOK,CheckErr)</f>
        <v>#REF!</v>
      </c>
      <c r="P35" s="50" t="str">
        <f>IF(OR(ISBLANK(#REF!),NOT(ISBLANK(#REF!))),CheckOK,CheckErr)</f>
        <v/>
      </c>
    </row>
    <row r="36" spans="1:16" ht="27" hidden="1">
      <c r="A36" s="57">
        <f t="shared" si="0"/>
        <v>23</v>
      </c>
      <c r="B36" s="68" t="s">
        <v>877</v>
      </c>
      <c r="C36" s="68" t="s">
        <v>646</v>
      </c>
      <c r="D36" s="68">
        <v>10</v>
      </c>
      <c r="E36" s="68" t="s">
        <v>647</v>
      </c>
      <c r="F36" s="152" t="s">
        <v>648</v>
      </c>
      <c r="G36"/>
      <c r="H36"/>
      <c r="I36"/>
      <c r="J36"/>
      <c r="K36"/>
      <c r="L36"/>
      <c r="M36" s="58"/>
      <c r="N36" s="66" t="e">
        <f>IF(OR(AND(CodeFileListUsed="Yes",#REF!="",COUNTA(B36:B36,#REF!)&lt;&gt;0),AND(COUNTA(B36:B36,#REF!)&lt;&gt;0, COUNTA(B36:B36,#REF!)&lt;&gt;COUNTA(B$13:C$13,D$13:F$13))),CheckErr,CheckOK)</f>
        <v>#REF!</v>
      </c>
      <c r="O36" s="50" t="e">
        <f>IF(OR(ISBLANK(#REF!), AND(NOT(ISBLANK(#REF!)),OR(AND(#REF!="Accepted",OR(#REF!="Y",#REF!="y")),#REF!="Noted",#REF!="Duplicate",AND(#REF!="Rejected",NOT(ISBLANK(#REF!)))))),CheckOK,CheckErr)</f>
        <v>#REF!</v>
      </c>
      <c r="P36" s="50" t="str">
        <f>IF(OR(ISBLANK(#REF!),NOT(ISBLANK(#REF!))),CheckOK,CheckErr)</f>
        <v/>
      </c>
    </row>
    <row r="37" spans="1:16" ht="27" hidden="1">
      <c r="A37" s="57">
        <f t="shared" si="0"/>
        <v>24</v>
      </c>
      <c r="B37" s="68" t="s">
        <v>877</v>
      </c>
      <c r="C37" s="68" t="s">
        <v>649</v>
      </c>
      <c r="D37" s="68">
        <v>11.1</v>
      </c>
      <c r="E37" s="68" t="s">
        <v>650</v>
      </c>
      <c r="F37" s="152" t="s">
        <v>651</v>
      </c>
      <c r="G37"/>
      <c r="H37"/>
      <c r="I37"/>
      <c r="J37"/>
      <c r="K37"/>
      <c r="L37"/>
      <c r="M37" s="58"/>
      <c r="N37" s="66" t="e">
        <f>IF(OR(AND(CodeFileListUsed="Yes",#REF!="",COUNTA(B37:B37,#REF!)&lt;&gt;0),AND(COUNTA(B37:B37,#REF!)&lt;&gt;0, COUNTA(B37:B37,#REF!)&lt;&gt;COUNTA(B$13:C$13,D$13:F$13))),CheckErr,CheckOK)</f>
        <v>#REF!</v>
      </c>
      <c r="O37" s="50" t="e">
        <f>IF(OR(ISBLANK(#REF!), AND(NOT(ISBLANK(#REF!)),OR(AND(#REF!="Accepted",OR(#REF!="Y",#REF!="y")),#REF!="Noted",#REF!="Duplicate",AND(#REF!="Rejected",NOT(ISBLANK(#REF!)))))),CheckOK,CheckErr)</f>
        <v>#REF!</v>
      </c>
      <c r="P37" s="50" t="str">
        <f>IF(OR(ISBLANK(#REF!),NOT(ISBLANK(#REF!))),CheckOK,CheckErr)</f>
        <v/>
      </c>
    </row>
    <row r="38" spans="1:16" ht="270" hidden="1">
      <c r="A38" s="57">
        <f t="shared" si="0"/>
        <v>25</v>
      </c>
      <c r="B38" s="68" t="s">
        <v>877</v>
      </c>
      <c r="C38" s="68" t="s">
        <v>652</v>
      </c>
      <c r="D38" s="68">
        <v>11.2</v>
      </c>
      <c r="E38" s="68" t="s">
        <v>653</v>
      </c>
      <c r="F38" s="152" t="s">
        <v>881</v>
      </c>
      <c r="G38"/>
      <c r="H38"/>
      <c r="I38"/>
      <c r="J38"/>
      <c r="K38"/>
      <c r="L38"/>
      <c r="M38" s="58"/>
      <c r="N38" s="66" t="e">
        <f>IF(OR(AND(CodeFileListUsed="Yes",#REF!="",COUNTA(B38:B38,#REF!)&lt;&gt;0),AND(COUNTA(B38:B38,#REF!)&lt;&gt;0, COUNTA(B38:B38,#REF!)&lt;&gt;COUNTA(B$13:C$13,D$13:F$13))),CheckErr,CheckOK)</f>
        <v>#REF!</v>
      </c>
      <c r="O38" s="50" t="e">
        <f>IF(OR(ISBLANK(#REF!), AND(NOT(ISBLANK(#REF!)),OR(AND(#REF!="Accepted",OR(#REF!="Y",#REF!="y")),#REF!="Noted",#REF!="Duplicate",AND(#REF!="Rejected",NOT(ISBLANK(#REF!)))))),CheckOK,CheckErr)</f>
        <v>#REF!</v>
      </c>
      <c r="P38" s="50" t="str">
        <f>IF(OR(ISBLANK(#REF!),NOT(ISBLANK(#REF!))),CheckOK,CheckErr)</f>
        <v/>
      </c>
    </row>
    <row r="39" spans="1:16" ht="40.5" hidden="1">
      <c r="A39" s="57">
        <f t="shared" si="0"/>
        <v>26</v>
      </c>
      <c r="B39" s="68" t="s">
        <v>877</v>
      </c>
      <c r="C39" s="68" t="s">
        <v>654</v>
      </c>
      <c r="D39" s="68" t="s">
        <v>655</v>
      </c>
      <c r="E39" s="68" t="s">
        <v>612</v>
      </c>
      <c r="F39" s="152" t="s">
        <v>656</v>
      </c>
      <c r="G39"/>
      <c r="H39"/>
      <c r="I39"/>
      <c r="J39"/>
      <c r="K39"/>
      <c r="L39"/>
      <c r="M39" s="58"/>
      <c r="N39" s="66" t="e">
        <f>IF(OR(AND(CodeFileListUsed="Yes",#REF!="",COUNTA(B39:B39,#REF!)&lt;&gt;0),AND(COUNTA(B39:B39,#REF!)&lt;&gt;0, COUNTA(B39:B39,#REF!)&lt;&gt;COUNTA(B$13:C$13,D$13:F$13))),CheckErr,CheckOK)</f>
        <v>#REF!</v>
      </c>
      <c r="O39" s="50" t="e">
        <f>IF(OR(ISBLANK(#REF!), AND(NOT(ISBLANK(#REF!)),OR(AND(#REF!="Accepted",OR(#REF!="Y",#REF!="y")),#REF!="Noted",#REF!="Duplicate",AND(#REF!="Rejected",NOT(ISBLANK(#REF!)))))),CheckOK,CheckErr)</f>
        <v>#REF!</v>
      </c>
      <c r="P39" s="50" t="str">
        <f>IF(OR(ISBLANK(#REF!),NOT(ISBLANK(#REF!))),CheckOK,CheckErr)</f>
        <v/>
      </c>
    </row>
    <row r="40" spans="1:16" ht="27" hidden="1">
      <c r="A40" s="57">
        <f t="shared" si="0"/>
        <v>27</v>
      </c>
      <c r="B40" s="68" t="s">
        <v>877</v>
      </c>
      <c r="C40" s="68" t="s">
        <v>657</v>
      </c>
      <c r="D40" s="68" t="s">
        <v>575</v>
      </c>
      <c r="E40" s="68" t="s">
        <v>612</v>
      </c>
      <c r="F40" s="152" t="s">
        <v>658</v>
      </c>
      <c r="G40"/>
      <c r="H40"/>
      <c r="I40"/>
      <c r="J40"/>
      <c r="K40"/>
      <c r="L40"/>
      <c r="M40" s="58"/>
      <c r="N40" s="66" t="e">
        <f>IF(OR(AND(CodeFileListUsed="Yes",#REF!="",COUNTA(B40:B40,#REF!)&lt;&gt;0),AND(COUNTA(B40:B40,#REF!)&lt;&gt;0, COUNTA(B40:B40,#REF!)&lt;&gt;COUNTA(B$13:C$13,D$13:F$13))),CheckErr,CheckOK)</f>
        <v>#REF!</v>
      </c>
      <c r="O40" s="50" t="e">
        <f>IF(OR(ISBLANK(#REF!), AND(NOT(ISBLANK(#REF!)),OR(AND(#REF!="Accepted",OR(#REF!="Y",#REF!="y")),#REF!="Noted",#REF!="Duplicate",AND(#REF!="Rejected",NOT(ISBLANK(#REF!)))))),CheckOK,CheckErr)</f>
        <v>#REF!</v>
      </c>
      <c r="P40" s="50" t="str">
        <f>IF(OR(ISBLANK(#REF!),NOT(ISBLANK(#REF!))),CheckOK,CheckErr)</f>
        <v/>
      </c>
    </row>
    <row r="41" spans="1:16" ht="40.5" hidden="1">
      <c r="A41" s="57">
        <f t="shared" si="0"/>
        <v>28</v>
      </c>
      <c r="B41" s="68" t="s">
        <v>877</v>
      </c>
      <c r="C41" s="68" t="s">
        <v>659</v>
      </c>
      <c r="D41" s="68" t="s">
        <v>575</v>
      </c>
      <c r="E41" s="68" t="s">
        <v>612</v>
      </c>
      <c r="F41" s="152" t="s">
        <v>660</v>
      </c>
      <c r="G41"/>
      <c r="H41"/>
      <c r="I41"/>
      <c r="J41"/>
      <c r="K41"/>
      <c r="L41"/>
      <c r="M41" s="58"/>
      <c r="N41" s="66" t="e">
        <f>IF(OR(AND(CodeFileListUsed="Yes",#REF!="",COUNTA(B41:B41,#REF!)&lt;&gt;0),AND(COUNTA(B41:B41,#REF!)&lt;&gt;0, COUNTA(B41:B41,#REF!)&lt;&gt;COUNTA(B$13:C$13,D$13:F$13))),CheckErr,CheckOK)</f>
        <v>#REF!</v>
      </c>
      <c r="O41" s="50" t="e">
        <f>IF(OR(ISBLANK(#REF!), AND(NOT(ISBLANK(#REF!)),OR(AND(#REF!="Accepted",OR(#REF!="Y",#REF!="y")),#REF!="Noted",#REF!="Duplicate",AND(#REF!="Rejected",NOT(ISBLANK(#REF!)))))),CheckOK,CheckErr)</f>
        <v>#REF!</v>
      </c>
      <c r="P41" s="50" t="str">
        <f>IF(OR(ISBLANK(#REF!),NOT(ISBLANK(#REF!))),CheckOK,CheckErr)</f>
        <v/>
      </c>
    </row>
    <row r="42" spans="1:16" hidden="1">
      <c r="A42" s="57">
        <f t="shared" si="0"/>
        <v>29</v>
      </c>
      <c r="B42" s="68" t="s">
        <v>878</v>
      </c>
      <c r="C42" s="68" t="s">
        <v>661</v>
      </c>
      <c r="D42" s="68" t="s">
        <v>662</v>
      </c>
      <c r="E42" s="68">
        <v>1</v>
      </c>
      <c r="F42" s="152" t="s">
        <v>663</v>
      </c>
      <c r="G42"/>
      <c r="H42" s="177" t="s">
        <v>885</v>
      </c>
      <c r="I42" s="91" t="s">
        <v>886</v>
      </c>
      <c r="J42" t="s">
        <v>87</v>
      </c>
      <c r="K42" s="176" t="s">
        <v>884</v>
      </c>
      <c r="L42"/>
      <c r="M42" s="58"/>
      <c r="N42" s="66" t="e">
        <f>IF(OR(AND(CodeFileListUsed="Yes",#REF!="",COUNTA(B42:B42,#REF!)&lt;&gt;0),AND(COUNTA(B42:B42,#REF!)&lt;&gt;0, COUNTA(B42:B42,#REF!)&lt;&gt;COUNTA(B$13:C$13,D$13:F$13))),CheckErr,CheckOK)</f>
        <v>#REF!</v>
      </c>
      <c r="O42" s="50" t="e">
        <f>IF(OR(ISBLANK(#REF!), AND(NOT(ISBLANK(#REF!)),OR(AND(#REF!="Accepted",OR(#REF!="Y",#REF!="y")),#REF!="Noted",#REF!="Duplicate",AND(#REF!="Rejected",NOT(ISBLANK(#REF!)))))),CheckOK,CheckErr)</f>
        <v>#REF!</v>
      </c>
      <c r="P42" s="50" t="str">
        <f>IF(OR(ISBLANK(#REF!),NOT(ISBLANK(#REF!))),CheckOK,CheckErr)</f>
        <v/>
      </c>
    </row>
    <row r="43" spans="1:16" hidden="1">
      <c r="A43" s="57">
        <f t="shared" si="0"/>
        <v>30</v>
      </c>
      <c r="B43" s="68" t="s">
        <v>878</v>
      </c>
      <c r="C43" s="68" t="s">
        <v>664</v>
      </c>
      <c r="D43" s="68" t="s">
        <v>662</v>
      </c>
      <c r="E43" s="68">
        <v>1</v>
      </c>
      <c r="F43" s="152" t="s">
        <v>665</v>
      </c>
      <c r="G43"/>
      <c r="H43"/>
      <c r="I43"/>
      <c r="J43"/>
      <c r="K43"/>
      <c r="L43"/>
      <c r="M43" s="58"/>
      <c r="N43" s="66" t="e">
        <f>IF(OR(AND(CodeFileListUsed="Yes",#REF!="",COUNTA(B43:B43,#REF!)&lt;&gt;0),AND(COUNTA(B43:B43,#REF!)&lt;&gt;0, COUNTA(B43:B43,#REF!)&lt;&gt;COUNTA(B$13:C$13,D$13:F$13))),CheckErr,CheckOK)</f>
        <v>#REF!</v>
      </c>
      <c r="O43" s="50" t="e">
        <f>IF(OR(ISBLANK(#REF!), AND(NOT(ISBLANK(#REF!)),OR(AND(#REF!="Accepted",OR(#REF!="Y",#REF!="y")),#REF!="Noted",#REF!="Duplicate",AND(#REF!="Rejected",NOT(ISBLANK(#REF!)))))),CheckOK,CheckErr)</f>
        <v>#REF!</v>
      </c>
      <c r="P43" s="50" t="str">
        <f>IF(OR(ISBLANK(#REF!),NOT(ISBLANK(#REF!))),CheckOK,CheckErr)</f>
        <v/>
      </c>
    </row>
    <row r="44" spans="1:16" ht="27" hidden="1">
      <c r="A44" s="57">
        <f t="shared" si="0"/>
        <v>31</v>
      </c>
      <c r="B44" s="68" t="s">
        <v>878</v>
      </c>
      <c r="C44" s="68" t="s">
        <v>666</v>
      </c>
      <c r="D44" s="68" t="s">
        <v>667</v>
      </c>
      <c r="E44" s="68" t="s">
        <v>668</v>
      </c>
      <c r="F44" s="152" t="s">
        <v>669</v>
      </c>
      <c r="G44"/>
      <c r="H44"/>
      <c r="I44"/>
      <c r="J44"/>
      <c r="K44"/>
      <c r="L44"/>
      <c r="M44" s="58"/>
      <c r="N44" s="66" t="e">
        <f>IF(OR(AND(CodeFileListUsed="Yes",#REF!="",COUNTA(B44:B44,#REF!)&lt;&gt;0),AND(COUNTA(B44:B44,#REF!)&lt;&gt;0, COUNTA(B44:B44,#REF!)&lt;&gt;COUNTA(B$13:C$13,D$13:F$13))),CheckErr,CheckOK)</f>
        <v>#REF!</v>
      </c>
      <c r="O44" s="50" t="e">
        <f>IF(OR(ISBLANK(#REF!), AND(NOT(ISBLANK(#REF!)),OR(AND(#REF!="Accepted",OR(#REF!="Y",#REF!="y")),#REF!="Noted",#REF!="Duplicate",AND(#REF!="Rejected",NOT(ISBLANK(#REF!)))))),CheckOK,CheckErr)</f>
        <v>#REF!</v>
      </c>
      <c r="P44" s="50" t="str">
        <f>IF(OR(ISBLANK(#REF!),NOT(ISBLANK(#REF!))),CheckOK,CheckErr)</f>
        <v/>
      </c>
    </row>
    <row r="45" spans="1:16" hidden="1">
      <c r="A45" s="57">
        <f t="shared" si="0"/>
        <v>32</v>
      </c>
      <c r="B45" s="68" t="s">
        <v>878</v>
      </c>
      <c r="C45" s="68" t="s">
        <v>670</v>
      </c>
      <c r="D45" s="68" t="s">
        <v>667</v>
      </c>
      <c r="E45" s="68" t="s">
        <v>671</v>
      </c>
      <c r="F45" s="152" t="s">
        <v>672</v>
      </c>
      <c r="G45"/>
      <c r="H45"/>
      <c r="I45"/>
      <c r="J45"/>
      <c r="K45"/>
      <c r="L45"/>
      <c r="M45" s="58"/>
      <c r="N45" s="66" t="e">
        <f>IF(OR(AND(CodeFileListUsed="Yes",#REF!="",COUNTA(B45:B45,#REF!)&lt;&gt;0),AND(COUNTA(B45:B45,#REF!)&lt;&gt;0, COUNTA(B45:B45,#REF!)&lt;&gt;COUNTA(B$13:C$13,D$13:F$13))),CheckErr,CheckOK)</f>
        <v>#REF!</v>
      </c>
      <c r="O45" s="50" t="e">
        <f>IF(OR(ISBLANK(#REF!), AND(NOT(ISBLANK(#REF!)),OR(AND(#REF!="Accepted",OR(#REF!="Y",#REF!="y")),#REF!="Noted",#REF!="Duplicate",AND(#REF!="Rejected",NOT(ISBLANK(#REF!)))))),CheckOK,CheckErr)</f>
        <v>#REF!</v>
      </c>
      <c r="P45" s="50" t="str">
        <f>IF(OR(ISBLANK(#REF!),NOT(ISBLANK(#REF!))),CheckOK,CheckErr)</f>
        <v/>
      </c>
    </row>
    <row r="46" spans="1:16">
      <c r="A46" s="57">
        <f t="shared" si="0"/>
        <v>33</v>
      </c>
      <c r="B46" s="68" t="s">
        <v>878</v>
      </c>
      <c r="C46" s="68" t="s">
        <v>673</v>
      </c>
      <c r="D46" s="68">
        <v>1.1000000000000001</v>
      </c>
      <c r="E46" s="68" t="s">
        <v>674</v>
      </c>
      <c r="F46" s="152" t="s">
        <v>675</v>
      </c>
      <c r="G46"/>
      <c r="H46"/>
      <c r="I46"/>
      <c r="J46"/>
      <c r="K46"/>
      <c r="L46"/>
      <c r="M46" s="58"/>
      <c r="N46" s="66" t="e">
        <f>IF(OR(AND(CodeFileListUsed="Yes",#REF!="",COUNTA(B46:B46,#REF!)&lt;&gt;0),AND(COUNTA(B46:B46,#REF!)&lt;&gt;0, COUNTA(B46:B46,#REF!)&lt;&gt;COUNTA(B$13:C$13,D$13:F$13))),CheckErr,CheckOK)</f>
        <v>#REF!</v>
      </c>
      <c r="O46" s="50" t="e">
        <f>IF(OR(ISBLANK(#REF!), AND(NOT(ISBLANK(#REF!)),OR(AND(#REF!="Accepted",OR(#REF!="Y",#REF!="y")),#REF!="Noted",#REF!="Duplicate",AND(#REF!="Rejected",NOT(ISBLANK(#REF!)))))),CheckOK,CheckErr)</f>
        <v>#REF!</v>
      </c>
      <c r="P46" s="50" t="str">
        <f>IF(OR(ISBLANK(#REF!),NOT(ISBLANK(#REF!))),CheckOK,CheckErr)</f>
        <v/>
      </c>
    </row>
    <row r="47" spans="1:16">
      <c r="A47" s="57">
        <f t="shared" ref="A47:A78" si="1">A46+1</f>
        <v>34</v>
      </c>
      <c r="B47" s="68" t="s">
        <v>878</v>
      </c>
      <c r="C47" s="68" t="s">
        <v>676</v>
      </c>
      <c r="D47" s="68">
        <v>1.4</v>
      </c>
      <c r="E47" s="68" t="s">
        <v>677</v>
      </c>
      <c r="F47" s="152" t="s">
        <v>678</v>
      </c>
      <c r="G47"/>
      <c r="H47"/>
      <c r="I47"/>
      <c r="J47"/>
      <c r="K47"/>
      <c r="L47"/>
      <c r="M47" s="58"/>
      <c r="N47" s="66" t="e">
        <f>IF(OR(AND(CodeFileListUsed="Yes",#REF!="",COUNTA(B47:B47,#REF!)&lt;&gt;0),AND(COUNTA(B47:B47,#REF!)&lt;&gt;0, COUNTA(B47:B47,#REF!)&lt;&gt;COUNTA(B$13:C$13,D$13:F$13))),CheckErr,CheckOK)</f>
        <v>#REF!</v>
      </c>
      <c r="O47" s="50" t="e">
        <f>IF(OR(ISBLANK(#REF!), AND(NOT(ISBLANK(#REF!)),OR(AND(#REF!="Accepted",OR(#REF!="Y",#REF!="y")),#REF!="Noted",#REF!="Duplicate",AND(#REF!="Rejected",NOT(ISBLANK(#REF!)))))),CheckOK,CheckErr)</f>
        <v>#REF!</v>
      </c>
      <c r="P47" s="50" t="str">
        <f>IF(OR(ISBLANK(#REF!),NOT(ISBLANK(#REF!))),CheckOK,CheckErr)</f>
        <v/>
      </c>
    </row>
    <row r="48" spans="1:16" ht="27" hidden="1">
      <c r="A48" s="57">
        <f t="shared" si="1"/>
        <v>35</v>
      </c>
      <c r="B48" s="68" t="s">
        <v>878</v>
      </c>
      <c r="C48" s="68" t="s">
        <v>679</v>
      </c>
      <c r="D48" s="68">
        <v>1.4</v>
      </c>
      <c r="E48" s="68" t="s">
        <v>677</v>
      </c>
      <c r="F48" s="152" t="s">
        <v>680</v>
      </c>
      <c r="G48"/>
      <c r="H48"/>
      <c r="I48"/>
      <c r="J48"/>
      <c r="K48"/>
      <c r="L48"/>
      <c r="M48" s="58"/>
      <c r="N48" s="66" t="e">
        <f>IF(OR(AND(CodeFileListUsed="Yes",#REF!="",COUNTA(B48:B48,#REF!)&lt;&gt;0),AND(COUNTA(B48:B48,#REF!)&lt;&gt;0, COUNTA(B48:B48,#REF!)&lt;&gt;COUNTA(B$13:C$13,D$13:F$13))),CheckErr,CheckOK)</f>
        <v>#REF!</v>
      </c>
      <c r="O48" s="50" t="e">
        <f>IF(OR(ISBLANK(#REF!), AND(NOT(ISBLANK(#REF!)),OR(AND(#REF!="Accepted",OR(#REF!="Y",#REF!="y")),#REF!="Noted",#REF!="Duplicate",AND(#REF!="Rejected",NOT(ISBLANK(#REF!)))))),CheckOK,CheckErr)</f>
        <v>#REF!</v>
      </c>
      <c r="P48" s="50" t="str">
        <f>IF(OR(ISBLANK(#REF!),NOT(ISBLANK(#REF!))),CheckOK,CheckErr)</f>
        <v/>
      </c>
    </row>
    <row r="49" spans="1:16" ht="27">
      <c r="A49" s="57">
        <f t="shared" si="1"/>
        <v>36</v>
      </c>
      <c r="B49" s="68" t="s">
        <v>878</v>
      </c>
      <c r="C49" s="68" t="s">
        <v>681</v>
      </c>
      <c r="D49" s="68">
        <v>1.5</v>
      </c>
      <c r="E49" s="68" t="s">
        <v>682</v>
      </c>
      <c r="F49" s="152" t="s">
        <v>683</v>
      </c>
      <c r="G49"/>
      <c r="H49"/>
      <c r="I49"/>
      <c r="J49"/>
      <c r="K49"/>
      <c r="L49"/>
      <c r="M49" s="58"/>
      <c r="N49" s="66" t="e">
        <f>IF(OR(AND(CodeFileListUsed="Yes",#REF!="",COUNTA(B49:B49,#REF!)&lt;&gt;0),AND(COUNTA(B49:B49,#REF!)&lt;&gt;0, COUNTA(B49:B49,#REF!)&lt;&gt;COUNTA(B$13:C$13,D$13:F$13))),CheckErr,CheckOK)</f>
        <v>#REF!</v>
      </c>
      <c r="O49" s="50" t="e">
        <f>IF(OR(ISBLANK(#REF!), AND(NOT(ISBLANK(#REF!)),OR(AND(#REF!="Accepted",OR(#REF!="Y",#REF!="y")),#REF!="Noted",#REF!="Duplicate",AND(#REF!="Rejected",NOT(ISBLANK(#REF!)))))),CheckOK,CheckErr)</f>
        <v>#REF!</v>
      </c>
      <c r="P49" s="50" t="str">
        <f>IF(OR(ISBLANK(#REF!),NOT(ISBLANK(#REF!))),CheckOK,CheckErr)</f>
        <v/>
      </c>
    </row>
    <row r="50" spans="1:16" ht="54" hidden="1">
      <c r="A50" s="57">
        <f t="shared" si="1"/>
        <v>37</v>
      </c>
      <c r="B50" s="68" t="s">
        <v>878</v>
      </c>
      <c r="C50" s="68" t="s">
        <v>684</v>
      </c>
      <c r="D50" s="68">
        <v>1.5</v>
      </c>
      <c r="E50" s="68" t="s">
        <v>685</v>
      </c>
      <c r="F50" s="152" t="s">
        <v>686</v>
      </c>
      <c r="G50"/>
      <c r="H50"/>
      <c r="I50"/>
      <c r="J50"/>
      <c r="K50"/>
      <c r="L50"/>
      <c r="M50" s="58"/>
      <c r="N50" s="66" t="e">
        <f>IF(OR(AND(CodeFileListUsed="Yes",#REF!="",COUNTA(B50:B50,#REF!)&lt;&gt;0),AND(COUNTA(B50:B50,#REF!)&lt;&gt;0, COUNTA(B50:B50,#REF!)&lt;&gt;COUNTA(B$13:C$13,D$13:F$13))),CheckErr,CheckOK)</f>
        <v>#REF!</v>
      </c>
      <c r="O50" s="50" t="e">
        <f>IF(OR(ISBLANK(#REF!), AND(NOT(ISBLANK(#REF!)),OR(AND(#REF!="Accepted",OR(#REF!="Y",#REF!="y")),#REF!="Noted",#REF!="Duplicate",AND(#REF!="Rejected",NOT(ISBLANK(#REF!)))))),CheckOK,CheckErr)</f>
        <v>#REF!</v>
      </c>
      <c r="P50" s="50" t="str">
        <f>IF(OR(ISBLANK(#REF!),NOT(ISBLANK(#REF!))),CheckOK,CheckErr)</f>
        <v/>
      </c>
    </row>
    <row r="51" spans="1:16" ht="27" hidden="1">
      <c r="A51" s="57">
        <f t="shared" si="1"/>
        <v>38</v>
      </c>
      <c r="B51" s="68" t="s">
        <v>878</v>
      </c>
      <c r="C51" s="68" t="s">
        <v>687</v>
      </c>
      <c r="D51" s="68" t="s">
        <v>688</v>
      </c>
      <c r="E51" s="68" t="s">
        <v>689</v>
      </c>
      <c r="F51" s="152" t="s">
        <v>690</v>
      </c>
      <c r="G51"/>
      <c r="H51"/>
      <c r="I51"/>
      <c r="J51"/>
      <c r="K51"/>
      <c r="L51"/>
      <c r="M51" s="58"/>
      <c r="N51" s="66" t="e">
        <f>IF(OR(AND(CodeFileListUsed="Yes",#REF!="",COUNTA(B51:B51,#REF!)&lt;&gt;0),AND(COUNTA(B51:B51,#REF!)&lt;&gt;0, COUNTA(B51:B51,#REF!)&lt;&gt;COUNTA(B$13:C$13,D$13:F$13))),CheckErr,CheckOK)</f>
        <v>#REF!</v>
      </c>
      <c r="O51" s="50" t="e">
        <f>IF(OR(ISBLANK(#REF!), AND(NOT(ISBLANK(#REF!)),OR(AND(#REF!="Accepted",OR(#REF!="Y",#REF!="y")),#REF!="Noted",#REF!="Duplicate",AND(#REF!="Rejected",NOT(ISBLANK(#REF!)))))),CheckOK,CheckErr)</f>
        <v>#REF!</v>
      </c>
      <c r="P51" s="50" t="str">
        <f>IF(OR(ISBLANK(#REF!),NOT(ISBLANK(#REF!))),CheckOK,CheckErr)</f>
        <v/>
      </c>
    </row>
    <row r="52" spans="1:16" ht="27" hidden="1">
      <c r="A52" s="57">
        <f t="shared" si="1"/>
        <v>39</v>
      </c>
      <c r="B52" s="68" t="s">
        <v>878</v>
      </c>
      <c r="C52" s="68" t="s">
        <v>691</v>
      </c>
      <c r="D52" s="68" t="s">
        <v>692</v>
      </c>
      <c r="E52" s="68" t="s">
        <v>693</v>
      </c>
      <c r="F52" s="152" t="s">
        <v>694</v>
      </c>
      <c r="G52"/>
      <c r="H52"/>
      <c r="I52"/>
      <c r="J52"/>
      <c r="K52"/>
      <c r="L52"/>
      <c r="M52" s="58"/>
      <c r="N52" s="66" t="e">
        <f>IF(OR(AND(CodeFileListUsed="Yes",#REF!="",COUNTA(B52:B52,#REF!)&lt;&gt;0),AND(COUNTA(B52:B52,#REF!)&lt;&gt;0, COUNTA(B52:B52,#REF!)&lt;&gt;COUNTA(B$13:C$13,D$13:F$13))),CheckErr,CheckOK)</f>
        <v>#REF!</v>
      </c>
      <c r="O52" s="50" t="e">
        <f>IF(OR(ISBLANK(#REF!), AND(NOT(ISBLANK(#REF!)),OR(AND(#REF!="Accepted",OR(#REF!="Y",#REF!="y")),#REF!="Noted",#REF!="Duplicate",AND(#REF!="Rejected",NOT(ISBLANK(#REF!)))))),CheckOK,CheckErr)</f>
        <v>#REF!</v>
      </c>
      <c r="P52" s="50" t="str">
        <f>IF(OR(ISBLANK(#REF!),NOT(ISBLANK(#REF!))),CheckOK,CheckErr)</f>
        <v/>
      </c>
    </row>
    <row r="53" spans="1:16" ht="67.5">
      <c r="A53" s="57">
        <f t="shared" si="1"/>
        <v>40</v>
      </c>
      <c r="B53" s="68" t="s">
        <v>878</v>
      </c>
      <c r="C53" s="68" t="s">
        <v>695</v>
      </c>
      <c r="D53" s="68" t="s">
        <v>692</v>
      </c>
      <c r="E53" s="68" t="s">
        <v>696</v>
      </c>
      <c r="F53" s="152" t="s">
        <v>697</v>
      </c>
      <c r="G53"/>
      <c r="H53"/>
      <c r="I53"/>
      <c r="J53"/>
      <c r="K53"/>
      <c r="L53"/>
      <c r="M53" s="58"/>
      <c r="N53" s="66" t="e">
        <f>IF(OR(AND(CodeFileListUsed="Yes",#REF!="",COUNTA(B53:B53,#REF!)&lt;&gt;0),AND(COUNTA(B53:B53,#REF!)&lt;&gt;0, COUNTA(B53:B53,#REF!)&lt;&gt;COUNTA(B$13:C$13,D$13:F$13))),CheckErr,CheckOK)</f>
        <v>#REF!</v>
      </c>
      <c r="O53" s="50" t="e">
        <f>IF(OR(ISBLANK(#REF!), AND(NOT(ISBLANK(#REF!)),OR(AND(#REF!="Accepted",OR(#REF!="Y",#REF!="y")),#REF!="Noted",#REF!="Duplicate",AND(#REF!="Rejected",NOT(ISBLANK(#REF!)))))),CheckOK,CheckErr)</f>
        <v>#REF!</v>
      </c>
      <c r="P53" s="50" t="str">
        <f>IF(OR(ISBLANK(#REF!),NOT(ISBLANK(#REF!))),CheckOK,CheckErr)</f>
        <v/>
      </c>
    </row>
    <row r="54" spans="1:16" hidden="1">
      <c r="A54" s="57">
        <f t="shared" si="1"/>
        <v>41</v>
      </c>
      <c r="B54" s="68" t="s">
        <v>878</v>
      </c>
      <c r="C54" s="68" t="s">
        <v>698</v>
      </c>
      <c r="D54" s="68">
        <v>1.6</v>
      </c>
      <c r="E54" s="68" t="s">
        <v>699</v>
      </c>
      <c r="F54" s="152" t="s">
        <v>700</v>
      </c>
      <c r="G54"/>
      <c r="H54"/>
      <c r="I54"/>
      <c r="J54"/>
      <c r="K54"/>
      <c r="L54"/>
      <c r="M54" s="58"/>
      <c r="N54" s="66" t="e">
        <f>IF(OR(AND(CodeFileListUsed="Yes",#REF!="",COUNTA(B54:B54,#REF!)&lt;&gt;0),AND(COUNTA(B54:B54,#REF!)&lt;&gt;0, COUNTA(B54:B54,#REF!)&lt;&gt;COUNTA(B$13:C$13,D$13:F$13))),CheckErr,CheckOK)</f>
        <v>#REF!</v>
      </c>
      <c r="O54" s="50" t="e">
        <f>IF(OR(ISBLANK(#REF!), AND(NOT(ISBLANK(#REF!)),OR(AND(#REF!="Accepted",OR(#REF!="Y",#REF!="y")),#REF!="Noted",#REF!="Duplicate",AND(#REF!="Rejected",NOT(ISBLANK(#REF!)))))),CheckOK,CheckErr)</f>
        <v>#REF!</v>
      </c>
      <c r="P54" s="50" t="str">
        <f>IF(OR(ISBLANK(#REF!),NOT(ISBLANK(#REF!))),CheckOK,CheckErr)</f>
        <v/>
      </c>
    </row>
    <row r="55" spans="1:16" hidden="1">
      <c r="A55" s="57">
        <f t="shared" si="1"/>
        <v>42</v>
      </c>
      <c r="B55" s="68" t="s">
        <v>878</v>
      </c>
      <c r="C55" s="68" t="s">
        <v>701</v>
      </c>
      <c r="D55" s="68" t="s">
        <v>702</v>
      </c>
      <c r="E55" s="68">
        <v>6</v>
      </c>
      <c r="F55" s="152" t="s">
        <v>703</v>
      </c>
      <c r="G55"/>
      <c r="H55"/>
      <c r="I55"/>
      <c r="J55"/>
      <c r="K55"/>
      <c r="L55"/>
      <c r="M55" s="58"/>
      <c r="N55" s="66" t="e">
        <f>IF(OR(AND(CodeFileListUsed="Yes",#REF!="",COUNTA(B55:B55,#REF!)&lt;&gt;0),AND(COUNTA(B55:B55,#REF!)&lt;&gt;0, COUNTA(B55:B55,#REF!)&lt;&gt;COUNTA(B$13:C$13,D$13:F$13))),CheckErr,CheckOK)</f>
        <v>#REF!</v>
      </c>
      <c r="O55" s="50" t="e">
        <f>IF(OR(ISBLANK(#REF!), AND(NOT(ISBLANK(#REF!)),OR(AND(#REF!="Accepted",OR(#REF!="Y",#REF!="y")),#REF!="Noted",#REF!="Duplicate",AND(#REF!="Rejected",NOT(ISBLANK(#REF!)))))),CheckOK,CheckErr)</f>
        <v>#REF!</v>
      </c>
      <c r="P55" s="50" t="str">
        <f>IF(OR(ISBLANK(#REF!),NOT(ISBLANK(#REF!))),CheckOK,CheckErr)</f>
        <v/>
      </c>
    </row>
    <row r="56" spans="1:16" ht="27" hidden="1">
      <c r="A56" s="57">
        <f t="shared" si="1"/>
        <v>43</v>
      </c>
      <c r="B56" s="68" t="s">
        <v>878</v>
      </c>
      <c r="C56" s="68" t="s">
        <v>704</v>
      </c>
      <c r="D56" s="68" t="s">
        <v>667</v>
      </c>
      <c r="E56" s="68" t="s">
        <v>705</v>
      </c>
      <c r="F56" s="152" t="s">
        <v>706</v>
      </c>
      <c r="G56"/>
      <c r="H56"/>
      <c r="I56"/>
      <c r="J56"/>
      <c r="K56"/>
      <c r="L56"/>
      <c r="M56" s="58"/>
      <c r="N56" s="66" t="e">
        <f>IF(OR(AND(CodeFileListUsed="Yes",#REF!="",COUNTA(B56:B56,#REF!)&lt;&gt;0),AND(COUNTA(B56:B56,#REF!)&lt;&gt;0, COUNTA(B56:B56,#REF!)&lt;&gt;COUNTA(B$13:C$13,D$13:F$13))),CheckErr,CheckOK)</f>
        <v>#REF!</v>
      </c>
      <c r="O56" s="50" t="e">
        <f>IF(OR(ISBLANK(#REF!), AND(NOT(ISBLANK(#REF!)),OR(AND(#REF!="Accepted",OR(#REF!="Y",#REF!="y")),#REF!="Noted",#REF!="Duplicate",AND(#REF!="Rejected",NOT(ISBLANK(#REF!)))))),CheckOK,CheckErr)</f>
        <v>#REF!</v>
      </c>
      <c r="P56" s="50" t="str">
        <f>IF(OR(ISBLANK(#REF!),NOT(ISBLANK(#REF!))),CheckOK,CheckErr)</f>
        <v/>
      </c>
    </row>
    <row r="57" spans="1:16" hidden="1">
      <c r="A57" s="57">
        <f t="shared" si="1"/>
        <v>44</v>
      </c>
      <c r="B57" s="68" t="s">
        <v>878</v>
      </c>
      <c r="C57" s="68" t="s">
        <v>707</v>
      </c>
      <c r="D57" s="68">
        <v>1.8</v>
      </c>
      <c r="E57" s="68" t="s">
        <v>708</v>
      </c>
      <c r="F57" s="152" t="s">
        <v>709</v>
      </c>
      <c r="G57"/>
      <c r="H57"/>
      <c r="I57"/>
      <c r="J57"/>
      <c r="K57"/>
      <c r="L57"/>
      <c r="M57" s="58"/>
      <c r="N57" s="66" t="e">
        <f>IF(OR(AND(CodeFileListUsed="Yes",#REF!="",COUNTA(B57:B57,#REF!)&lt;&gt;0),AND(COUNTA(B57:B57,#REF!)&lt;&gt;0, COUNTA(B57:B57,#REF!)&lt;&gt;COUNTA(B$13:C$13,D$13:F$13))),CheckErr,CheckOK)</f>
        <v>#REF!</v>
      </c>
      <c r="O57" s="50" t="e">
        <f>IF(OR(ISBLANK(#REF!), AND(NOT(ISBLANK(#REF!)),OR(AND(#REF!="Accepted",OR(#REF!="Y",#REF!="y")),#REF!="Noted",#REF!="Duplicate",AND(#REF!="Rejected",NOT(ISBLANK(#REF!)))))),CheckOK,CheckErr)</f>
        <v>#REF!</v>
      </c>
      <c r="P57" s="50" t="str">
        <f>IF(OR(ISBLANK(#REF!),NOT(ISBLANK(#REF!))),CheckOK,CheckErr)</f>
        <v/>
      </c>
    </row>
    <row r="58" spans="1:16" ht="27" hidden="1">
      <c r="A58" s="57">
        <f t="shared" si="1"/>
        <v>45</v>
      </c>
      <c r="B58" s="68" t="s">
        <v>878</v>
      </c>
      <c r="C58" s="68" t="s">
        <v>710</v>
      </c>
      <c r="D58" s="68">
        <v>1.8</v>
      </c>
      <c r="E58" s="68" t="s">
        <v>711</v>
      </c>
      <c r="F58" s="152" t="s">
        <v>712</v>
      </c>
      <c r="G58"/>
      <c r="H58"/>
      <c r="I58"/>
      <c r="J58"/>
      <c r="K58"/>
      <c r="L58"/>
      <c r="M58" s="58"/>
      <c r="N58" s="66" t="e">
        <f>IF(OR(AND(CodeFileListUsed="Yes",#REF!="",COUNTA(B58:B58,#REF!)&lt;&gt;0),AND(COUNTA(B58:B58,#REF!)&lt;&gt;0, COUNTA(B58:B58,#REF!)&lt;&gt;COUNTA(B$13:C$13,D$13:F$13))),CheckErr,CheckOK)</f>
        <v>#REF!</v>
      </c>
      <c r="O58" s="50" t="e">
        <f>IF(OR(ISBLANK(#REF!), AND(NOT(ISBLANK(#REF!)),OR(AND(#REF!="Accepted",OR(#REF!="Y",#REF!="y")),#REF!="Noted",#REF!="Duplicate",AND(#REF!="Rejected",NOT(ISBLANK(#REF!)))))),CheckOK,CheckErr)</f>
        <v>#REF!</v>
      </c>
      <c r="P58" s="50" t="str">
        <f>IF(OR(ISBLANK(#REF!),NOT(ISBLANK(#REF!))),CheckOK,CheckErr)</f>
        <v/>
      </c>
    </row>
    <row r="59" spans="1:16" hidden="1">
      <c r="A59" s="57">
        <f t="shared" si="1"/>
        <v>46</v>
      </c>
      <c r="B59" s="68" t="s">
        <v>878</v>
      </c>
      <c r="C59" s="68" t="s">
        <v>713</v>
      </c>
      <c r="D59" s="68" t="s">
        <v>714</v>
      </c>
      <c r="E59" s="68" t="s">
        <v>715</v>
      </c>
      <c r="F59" s="152" t="s">
        <v>716</v>
      </c>
      <c r="G59"/>
      <c r="H59"/>
      <c r="I59"/>
      <c r="J59"/>
      <c r="K59"/>
      <c r="L59"/>
      <c r="M59" s="58"/>
      <c r="N59" s="66" t="e">
        <f>IF(OR(AND(CodeFileListUsed="Yes",#REF!="",COUNTA(B59:B59,#REF!)&lt;&gt;0),AND(COUNTA(B59:B59,#REF!)&lt;&gt;0, COUNTA(B59:B59,#REF!)&lt;&gt;COUNTA(B$13:C$13,D$13:F$13))),CheckErr,CheckOK)</f>
        <v>#REF!</v>
      </c>
      <c r="O59" s="50" t="e">
        <f>IF(OR(ISBLANK(#REF!), AND(NOT(ISBLANK(#REF!)),OR(AND(#REF!="Accepted",OR(#REF!="Y",#REF!="y")),#REF!="Noted",#REF!="Duplicate",AND(#REF!="Rejected",NOT(ISBLANK(#REF!)))))),CheckOK,CheckErr)</f>
        <v>#REF!</v>
      </c>
      <c r="P59" s="50" t="str">
        <f>IF(OR(ISBLANK(#REF!),NOT(ISBLANK(#REF!))),CheckOK,CheckErr)</f>
        <v/>
      </c>
    </row>
    <row r="60" spans="1:16" hidden="1">
      <c r="A60" s="57">
        <f t="shared" si="1"/>
        <v>47</v>
      </c>
      <c r="B60" s="68" t="s">
        <v>878</v>
      </c>
      <c r="C60" s="68" t="s">
        <v>717</v>
      </c>
      <c r="D60" s="68" t="s">
        <v>718</v>
      </c>
      <c r="E60" s="68" t="s">
        <v>719</v>
      </c>
      <c r="F60" s="152" t="s">
        <v>720</v>
      </c>
      <c r="G60"/>
      <c r="H60"/>
      <c r="I60"/>
      <c r="J60"/>
      <c r="K60"/>
      <c r="L60"/>
      <c r="M60" s="58"/>
      <c r="N60" s="66" t="e">
        <f>IF(OR(AND(CodeFileListUsed="Yes",#REF!="",COUNTA(B60:B60,#REF!)&lt;&gt;0),AND(COUNTA(B60:B60,#REF!)&lt;&gt;0, COUNTA(B60:B60,#REF!)&lt;&gt;COUNTA(B$13:C$13,D$13:F$13))),CheckErr,CheckOK)</f>
        <v>#REF!</v>
      </c>
      <c r="O60" s="50" t="e">
        <f>IF(OR(ISBLANK(#REF!), AND(NOT(ISBLANK(#REF!)),OR(AND(#REF!="Accepted",OR(#REF!="Y",#REF!="y")),#REF!="Noted",#REF!="Duplicate",AND(#REF!="Rejected",NOT(ISBLANK(#REF!)))))),CheckOK,CheckErr)</f>
        <v>#REF!</v>
      </c>
      <c r="P60" s="50" t="str">
        <f>IF(OR(ISBLANK(#REF!),NOT(ISBLANK(#REF!))),CheckOK,CheckErr)</f>
        <v/>
      </c>
    </row>
    <row r="61" spans="1:16" ht="40.5" hidden="1">
      <c r="A61" s="57">
        <f t="shared" si="1"/>
        <v>48</v>
      </c>
      <c r="B61" s="68" t="s">
        <v>878</v>
      </c>
      <c r="C61" s="68" t="s">
        <v>721</v>
      </c>
      <c r="D61" s="68" t="s">
        <v>722</v>
      </c>
      <c r="E61" s="68" t="s">
        <v>723</v>
      </c>
      <c r="F61" s="152" t="s">
        <v>724</v>
      </c>
      <c r="G61"/>
      <c r="H61"/>
      <c r="I61"/>
      <c r="J61"/>
      <c r="K61"/>
      <c r="L61"/>
      <c r="M61" s="58"/>
      <c r="N61" s="66" t="e">
        <f>IF(OR(AND(CodeFileListUsed="Yes",#REF!="",COUNTA(B61:B61,#REF!)&lt;&gt;0),AND(COUNTA(B61:B61,#REF!)&lt;&gt;0, COUNTA(B61:B61,#REF!)&lt;&gt;COUNTA(B$13:C$13,D$13:F$13))),CheckErr,CheckOK)</f>
        <v>#REF!</v>
      </c>
      <c r="O61" s="50" t="e">
        <f>IF(OR(ISBLANK(#REF!), AND(NOT(ISBLANK(#REF!)),OR(AND(#REF!="Accepted",OR(#REF!="Y",#REF!="y")),#REF!="Noted",#REF!="Duplicate",AND(#REF!="Rejected",NOT(ISBLANK(#REF!)))))),CheckOK,CheckErr)</f>
        <v>#REF!</v>
      </c>
      <c r="P61" s="50" t="str">
        <f>IF(OR(ISBLANK(#REF!),NOT(ISBLANK(#REF!))),CheckOK,CheckErr)</f>
        <v/>
      </c>
    </row>
    <row r="62" spans="1:16" hidden="1">
      <c r="A62" s="57">
        <f t="shared" si="1"/>
        <v>49</v>
      </c>
      <c r="B62" s="68" t="s">
        <v>878</v>
      </c>
      <c r="C62" s="68" t="s">
        <v>725</v>
      </c>
      <c r="D62" s="68" t="s">
        <v>726</v>
      </c>
      <c r="E62" s="68" t="s">
        <v>727</v>
      </c>
      <c r="F62" s="152" t="s">
        <v>728</v>
      </c>
      <c r="G62"/>
      <c r="H62"/>
      <c r="I62"/>
      <c r="J62"/>
      <c r="K62"/>
      <c r="L62"/>
      <c r="M62" s="58"/>
      <c r="N62" s="66" t="e">
        <f>IF(OR(AND(CodeFileListUsed="Yes",#REF!="",COUNTA(B62:B62,#REF!)&lt;&gt;0),AND(COUNTA(B62:B62,#REF!)&lt;&gt;0, COUNTA(B62:B62,#REF!)&lt;&gt;COUNTA(B$13:C$13,D$13:F$13))),CheckErr,CheckOK)</f>
        <v>#REF!</v>
      </c>
      <c r="O62" s="50" t="e">
        <f>IF(OR(ISBLANK(#REF!), AND(NOT(ISBLANK(#REF!)),OR(AND(#REF!="Accepted",OR(#REF!="Y",#REF!="y")),#REF!="Noted",#REF!="Duplicate",AND(#REF!="Rejected",NOT(ISBLANK(#REF!)))))),CheckOK,CheckErr)</f>
        <v>#REF!</v>
      </c>
      <c r="P62" s="50" t="str">
        <f>IF(OR(ISBLANK(#REF!),NOT(ISBLANK(#REF!))),CheckOK,CheckErr)</f>
        <v/>
      </c>
    </row>
    <row r="63" spans="1:16" ht="27" hidden="1">
      <c r="A63" s="57">
        <f t="shared" si="1"/>
        <v>50</v>
      </c>
      <c r="B63" s="68" t="s">
        <v>878</v>
      </c>
      <c r="C63" s="68" t="s">
        <v>729</v>
      </c>
      <c r="D63" s="68" t="s">
        <v>730</v>
      </c>
      <c r="E63" s="68" t="s">
        <v>731</v>
      </c>
      <c r="F63" s="152" t="s">
        <v>732</v>
      </c>
      <c r="G63"/>
      <c r="H63"/>
      <c r="I63"/>
      <c r="J63"/>
      <c r="K63"/>
      <c r="L63"/>
      <c r="M63" s="58"/>
      <c r="N63" s="66" t="e">
        <f>IF(OR(AND(CodeFileListUsed="Yes",#REF!="",COUNTA(B63:B63,#REF!)&lt;&gt;0),AND(COUNTA(B63:B63,#REF!)&lt;&gt;0, COUNTA(B63:B63,#REF!)&lt;&gt;COUNTA(B$13:C$13,D$13:F$13))),CheckErr,CheckOK)</f>
        <v>#REF!</v>
      </c>
      <c r="O63" s="50" t="e">
        <f>IF(OR(ISBLANK(#REF!), AND(NOT(ISBLANK(#REF!)),OR(AND(#REF!="Accepted",OR(#REF!="Y",#REF!="y")),#REF!="Noted",#REF!="Duplicate",AND(#REF!="Rejected",NOT(ISBLANK(#REF!)))))),CheckOK,CheckErr)</f>
        <v>#REF!</v>
      </c>
      <c r="P63" s="50" t="str">
        <f>IF(OR(ISBLANK(#REF!),NOT(ISBLANK(#REF!))),CheckOK,CheckErr)</f>
        <v/>
      </c>
    </row>
    <row r="64" spans="1:16" hidden="1">
      <c r="A64" s="57">
        <f t="shared" si="1"/>
        <v>51</v>
      </c>
      <c r="B64" s="68" t="s">
        <v>878</v>
      </c>
      <c r="C64" s="68" t="s">
        <v>733</v>
      </c>
      <c r="D64" s="68" t="s">
        <v>734</v>
      </c>
      <c r="E64" s="68">
        <v>14</v>
      </c>
      <c r="F64" s="152" t="s">
        <v>735</v>
      </c>
      <c r="G64"/>
      <c r="H64"/>
      <c r="I64"/>
      <c r="J64"/>
      <c r="K64"/>
      <c r="L64"/>
      <c r="M64" s="58"/>
      <c r="N64" s="66" t="e">
        <f>IF(OR(AND(CodeFileListUsed="Yes",#REF!="",COUNTA(B64:B64,#REF!)&lt;&gt;0),AND(COUNTA(B64:B64,#REF!)&lt;&gt;0, COUNTA(B64:B64,#REF!)&lt;&gt;COUNTA(B$13:C$13,D$13:F$13))),CheckErr,CheckOK)</f>
        <v>#REF!</v>
      </c>
      <c r="O64" s="50" t="e">
        <f>IF(OR(ISBLANK(#REF!), AND(NOT(ISBLANK(#REF!)),OR(AND(#REF!="Accepted",OR(#REF!="Y",#REF!="y")),#REF!="Noted",#REF!="Duplicate",AND(#REF!="Rejected",NOT(ISBLANK(#REF!)))))),CheckOK,CheckErr)</f>
        <v>#REF!</v>
      </c>
      <c r="P64" s="50" t="str">
        <f>IF(OR(ISBLANK(#REF!),NOT(ISBLANK(#REF!))),CheckOK,CheckErr)</f>
        <v/>
      </c>
    </row>
    <row r="65" spans="1:16" hidden="1">
      <c r="A65" s="57">
        <f t="shared" si="1"/>
        <v>52</v>
      </c>
      <c r="B65" s="68" t="s">
        <v>878</v>
      </c>
      <c r="C65" s="68" t="s">
        <v>736</v>
      </c>
      <c r="D65" s="68">
        <v>1.1100000000000001</v>
      </c>
      <c r="E65" s="68">
        <v>15</v>
      </c>
      <c r="F65" s="152" t="s">
        <v>737</v>
      </c>
      <c r="G65"/>
      <c r="H65"/>
      <c r="I65"/>
      <c r="J65"/>
      <c r="K65"/>
      <c r="L65"/>
      <c r="M65" s="58"/>
      <c r="N65" s="66" t="e">
        <f>IF(OR(AND(CodeFileListUsed="Yes",#REF!="",COUNTA(B65:B65,#REF!)&lt;&gt;0),AND(COUNTA(B65:B65,#REF!)&lt;&gt;0, COUNTA(B65:B65,#REF!)&lt;&gt;COUNTA(B$13:C$13,D$13:F$13))),CheckErr,CheckOK)</f>
        <v>#REF!</v>
      </c>
      <c r="O65" s="50" t="e">
        <f>IF(OR(ISBLANK(#REF!), AND(NOT(ISBLANK(#REF!)),OR(AND(#REF!="Accepted",OR(#REF!="Y",#REF!="y")),#REF!="Noted",#REF!="Duplicate",AND(#REF!="Rejected",NOT(ISBLANK(#REF!)))))),CheckOK,CheckErr)</f>
        <v>#REF!</v>
      </c>
      <c r="P65" s="50" t="str">
        <f>IF(OR(ISBLANK(#REF!),NOT(ISBLANK(#REF!))),CheckOK,CheckErr)</f>
        <v/>
      </c>
    </row>
    <row r="66" spans="1:16" hidden="1">
      <c r="A66" s="57">
        <f t="shared" si="1"/>
        <v>53</v>
      </c>
      <c r="B66" s="68" t="s">
        <v>878</v>
      </c>
      <c r="C66" s="68" t="s">
        <v>738</v>
      </c>
      <c r="D66" s="68">
        <v>11.2</v>
      </c>
      <c r="E66" s="68">
        <v>67</v>
      </c>
      <c r="F66" s="152" t="s">
        <v>739</v>
      </c>
      <c r="G66"/>
      <c r="H66"/>
      <c r="I66"/>
      <c r="J66"/>
      <c r="K66"/>
      <c r="L66"/>
      <c r="M66" s="58"/>
      <c r="N66" s="66" t="e">
        <f>IF(OR(AND(CodeFileListUsed="Yes",#REF!="",COUNTA(B66:B66,#REF!)&lt;&gt;0),AND(COUNTA(B66:B66,#REF!)&lt;&gt;0, COUNTA(B66:B66,#REF!)&lt;&gt;COUNTA(B$13:C$13,D$13:F$13))),CheckErr,CheckOK)</f>
        <v>#REF!</v>
      </c>
      <c r="O66" s="50" t="e">
        <f>IF(OR(ISBLANK(#REF!), AND(NOT(ISBLANK(#REF!)),OR(AND(#REF!="Accepted",OR(#REF!="Y",#REF!="y")),#REF!="Noted",#REF!="Duplicate",AND(#REF!="Rejected",NOT(ISBLANK(#REF!)))))),CheckOK,CheckErr)</f>
        <v>#REF!</v>
      </c>
      <c r="P66" s="50" t="str">
        <f>IF(OR(ISBLANK(#REF!),NOT(ISBLANK(#REF!))),CheckOK,CheckErr)</f>
        <v/>
      </c>
    </row>
    <row r="67" spans="1:16" ht="27" hidden="1">
      <c r="A67" s="57">
        <f t="shared" si="1"/>
        <v>54</v>
      </c>
      <c r="B67" s="68" t="s">
        <v>878</v>
      </c>
      <c r="C67" s="68" t="s">
        <v>740</v>
      </c>
      <c r="D67" s="68" t="s">
        <v>741</v>
      </c>
      <c r="E67" s="68">
        <v>66</v>
      </c>
      <c r="F67" s="152" t="s">
        <v>742</v>
      </c>
      <c r="G67"/>
      <c r="H67"/>
      <c r="I67"/>
      <c r="J67"/>
      <c r="K67"/>
      <c r="L67"/>
      <c r="M67" s="58"/>
      <c r="N67" s="66" t="e">
        <f>IF(OR(AND(CodeFileListUsed="Yes",#REF!="",COUNTA(B67:B67,#REF!)&lt;&gt;0),AND(COUNTA(B67:B67,#REF!)&lt;&gt;0, COUNTA(B67:B67,#REF!)&lt;&gt;COUNTA(B$13:C$13,D$13:F$13))),CheckErr,CheckOK)</f>
        <v>#REF!</v>
      </c>
      <c r="O67" s="50" t="e">
        <f>IF(OR(ISBLANK(#REF!), AND(NOT(ISBLANK(#REF!)),OR(AND(#REF!="Accepted",OR(#REF!="Y",#REF!="y")),#REF!="Noted",#REF!="Duplicate",AND(#REF!="Rejected",NOT(ISBLANK(#REF!)))))),CheckOK,CheckErr)</f>
        <v>#REF!</v>
      </c>
      <c r="P67" s="50" t="str">
        <f>IF(OR(ISBLANK(#REF!),NOT(ISBLANK(#REF!))),CheckOK,CheckErr)</f>
        <v/>
      </c>
    </row>
    <row r="68" spans="1:16" hidden="1">
      <c r="A68" s="57">
        <f t="shared" si="1"/>
        <v>55</v>
      </c>
      <c r="B68" s="68" t="s">
        <v>878</v>
      </c>
      <c r="C68" s="68" t="s">
        <v>743</v>
      </c>
      <c r="D68" s="68">
        <v>9</v>
      </c>
      <c r="E68" s="68">
        <v>63</v>
      </c>
      <c r="F68" s="152" t="s">
        <v>744</v>
      </c>
      <c r="G68"/>
      <c r="H68"/>
      <c r="I68"/>
      <c r="J68"/>
      <c r="K68"/>
      <c r="L68"/>
      <c r="M68" s="58"/>
      <c r="N68" s="66" t="e">
        <f>IF(OR(AND(CodeFileListUsed="Yes",#REF!="",COUNTA(B68:B68,#REF!)&lt;&gt;0),AND(COUNTA(B68:B68,#REF!)&lt;&gt;0, COUNTA(B68:B68,#REF!)&lt;&gt;COUNTA(B$13:C$13,D$13:F$13))),CheckErr,CheckOK)</f>
        <v>#REF!</v>
      </c>
      <c r="O68" s="50" t="e">
        <f>IF(OR(ISBLANK(#REF!), AND(NOT(ISBLANK(#REF!)),OR(AND(#REF!="Accepted",OR(#REF!="Y",#REF!="y")),#REF!="Noted",#REF!="Duplicate",AND(#REF!="Rejected",NOT(ISBLANK(#REF!)))))),CheckOK,CheckErr)</f>
        <v>#REF!</v>
      </c>
      <c r="P68" s="50" t="str">
        <f>IF(OR(ISBLANK(#REF!),NOT(ISBLANK(#REF!))),CheckOK,CheckErr)</f>
        <v/>
      </c>
    </row>
    <row r="69" spans="1:16" ht="27" hidden="1">
      <c r="A69" s="57">
        <f t="shared" si="1"/>
        <v>56</v>
      </c>
      <c r="B69" s="68" t="s">
        <v>878</v>
      </c>
      <c r="C69" s="68" t="s">
        <v>745</v>
      </c>
      <c r="D69" s="68" t="s">
        <v>746</v>
      </c>
      <c r="E69" s="68" t="s">
        <v>747</v>
      </c>
      <c r="F69" s="152" t="s">
        <v>748</v>
      </c>
      <c r="G69"/>
      <c r="H69" s="177" t="s">
        <v>885</v>
      </c>
      <c r="I69" s="91" t="s">
        <v>887</v>
      </c>
      <c r="J69" s="178" t="s">
        <v>86</v>
      </c>
      <c r="K69"/>
      <c r="L69"/>
      <c r="M69" s="58"/>
      <c r="N69" s="66" t="e">
        <f>IF(OR(AND(CodeFileListUsed="Yes",#REF!="",COUNTA(B69:B69,#REF!)&lt;&gt;0),AND(COUNTA(B69:B69,#REF!)&lt;&gt;0, COUNTA(B69:B69,#REF!)&lt;&gt;COUNTA(B$13:C$13,D$13:F$13))),CheckErr,CheckOK)</f>
        <v>#REF!</v>
      </c>
      <c r="O69" s="50" t="e">
        <f>IF(OR(ISBLANK(#REF!), AND(NOT(ISBLANK(#REF!)),OR(AND(#REF!="Accepted",OR(#REF!="Y",#REF!="y")),#REF!="Noted",#REF!="Duplicate",AND(#REF!="Rejected",NOT(ISBLANK(#REF!)))))),CheckOK,CheckErr)</f>
        <v>#REF!</v>
      </c>
      <c r="P69" s="50" t="str">
        <f>IF(OR(ISBLANK(#REF!),NOT(ISBLANK(#REF!))),CheckOK,CheckErr)</f>
        <v/>
      </c>
    </row>
    <row r="70" spans="1:16" ht="27">
      <c r="A70" s="57">
        <f t="shared" si="1"/>
        <v>57</v>
      </c>
      <c r="B70" s="68" t="s">
        <v>879</v>
      </c>
      <c r="C70" s="68" t="s">
        <v>749</v>
      </c>
      <c r="D70" s="68">
        <v>1.2</v>
      </c>
      <c r="E70" s="68" t="s">
        <v>750</v>
      </c>
      <c r="F70" s="152" t="s">
        <v>751</v>
      </c>
      <c r="G70"/>
      <c r="H70"/>
      <c r="I70"/>
      <c r="J70"/>
      <c r="K70"/>
      <c r="L70"/>
      <c r="M70" s="58"/>
      <c r="N70" s="66" t="e">
        <f>IF(OR(AND(CodeFileListUsed="Yes",#REF!="",COUNTA(B70:B70,#REF!)&lt;&gt;0),AND(COUNTA(B70:B70,#REF!)&lt;&gt;0, COUNTA(B70:B70,#REF!)&lt;&gt;COUNTA(B$13:C$13,D$13:F$13))),CheckErr,CheckOK)</f>
        <v>#REF!</v>
      </c>
      <c r="O70" s="50" t="e">
        <f>IF(OR(ISBLANK(#REF!), AND(NOT(ISBLANK(#REF!)),OR(AND(#REF!="Accepted",OR(#REF!="Y",#REF!="y")),#REF!="Noted",#REF!="Duplicate",AND(#REF!="Rejected",NOT(ISBLANK(#REF!)))))),CheckOK,CheckErr)</f>
        <v>#REF!</v>
      </c>
      <c r="P70" s="50" t="str">
        <f>IF(OR(ISBLANK(#REF!),NOT(ISBLANK(#REF!))),CheckOK,CheckErr)</f>
        <v/>
      </c>
    </row>
    <row r="71" spans="1:16" ht="40.5" hidden="1">
      <c r="A71" s="57">
        <f t="shared" si="1"/>
        <v>58</v>
      </c>
      <c r="B71" s="68" t="s">
        <v>879</v>
      </c>
      <c r="C71" s="68" t="s">
        <v>752</v>
      </c>
      <c r="D71" s="68">
        <v>1.2</v>
      </c>
      <c r="E71" s="68" t="s">
        <v>753</v>
      </c>
      <c r="F71" s="152" t="s">
        <v>754</v>
      </c>
      <c r="G71"/>
      <c r="H71"/>
      <c r="I71"/>
      <c r="J71"/>
      <c r="K71"/>
      <c r="L71"/>
      <c r="M71" s="58"/>
      <c r="N71" s="66" t="e">
        <f>IF(OR(AND(CodeFileListUsed="Yes",#REF!="",COUNTA(B71:B71,#REF!)&lt;&gt;0),AND(COUNTA(B71:B71,#REF!)&lt;&gt;0, COUNTA(B71:B71,#REF!)&lt;&gt;COUNTA(B$13:C$13,D$13:F$13))),CheckErr,CheckOK)</f>
        <v>#REF!</v>
      </c>
      <c r="O71" s="50" t="e">
        <f>IF(OR(ISBLANK(#REF!), AND(NOT(ISBLANK(#REF!)),OR(AND(#REF!="Accepted",OR(#REF!="Y",#REF!="y")),#REF!="Noted",#REF!="Duplicate",AND(#REF!="Rejected",NOT(ISBLANK(#REF!)))))),CheckOK,CheckErr)</f>
        <v>#REF!</v>
      </c>
      <c r="P71" s="50" t="str">
        <f>IF(OR(ISBLANK(#REF!),NOT(ISBLANK(#REF!))),CheckOK,CheckErr)</f>
        <v/>
      </c>
    </row>
    <row r="72" spans="1:16">
      <c r="A72" s="57">
        <f t="shared" si="1"/>
        <v>59</v>
      </c>
      <c r="B72" s="68" t="s">
        <v>879</v>
      </c>
      <c r="C72" s="68" t="s">
        <v>755</v>
      </c>
      <c r="D72" s="68">
        <v>1.4</v>
      </c>
      <c r="E72" s="68" t="s">
        <v>756</v>
      </c>
      <c r="F72" s="152" t="s">
        <v>757</v>
      </c>
      <c r="G72"/>
      <c r="H72"/>
      <c r="I72"/>
      <c r="J72"/>
      <c r="K72"/>
      <c r="L72"/>
      <c r="M72" s="58"/>
      <c r="N72" s="66" t="e">
        <f>IF(OR(AND(CodeFileListUsed="Yes",#REF!="",COUNTA(B72:B72,#REF!)&lt;&gt;0),AND(COUNTA(B72:B72,#REF!)&lt;&gt;0, COUNTA(B72:B72,#REF!)&lt;&gt;COUNTA(B$13:C$13,D$13:F$13))),CheckErr,CheckOK)</f>
        <v>#REF!</v>
      </c>
      <c r="O72" s="50" t="e">
        <f>IF(OR(ISBLANK(#REF!), AND(NOT(ISBLANK(#REF!)),OR(AND(#REF!="Accepted",OR(#REF!="Y",#REF!="y")),#REF!="Noted",#REF!="Duplicate",AND(#REF!="Rejected",NOT(ISBLANK(#REF!)))))),CheckOK,CheckErr)</f>
        <v>#REF!</v>
      </c>
      <c r="P72" s="50" t="str">
        <f>IF(OR(ISBLANK(#REF!),NOT(ISBLANK(#REF!))),CheckOK,CheckErr)</f>
        <v/>
      </c>
    </row>
    <row r="73" spans="1:16" ht="54" hidden="1">
      <c r="A73" s="57">
        <f t="shared" si="1"/>
        <v>60</v>
      </c>
      <c r="B73" s="68" t="s">
        <v>879</v>
      </c>
      <c r="C73" s="68" t="s">
        <v>758</v>
      </c>
      <c r="D73" s="68" t="s">
        <v>688</v>
      </c>
      <c r="E73" s="68" t="s">
        <v>688</v>
      </c>
      <c r="F73" s="152" t="s">
        <v>759</v>
      </c>
      <c r="G73"/>
      <c r="H73"/>
      <c r="I73"/>
      <c r="J73"/>
      <c r="K73"/>
      <c r="L73"/>
      <c r="M73" s="58"/>
      <c r="N73" s="66" t="e">
        <f>IF(OR(AND(CodeFileListUsed="Yes",#REF!="",COUNTA(B73:B73,#REF!)&lt;&gt;0),AND(COUNTA(B73:B73,#REF!)&lt;&gt;0, COUNTA(B73:B73,#REF!)&lt;&gt;COUNTA(B$13:C$13,D$13:F$13))),CheckErr,CheckOK)</f>
        <v>#REF!</v>
      </c>
      <c r="O73" s="50" t="e">
        <f>IF(OR(ISBLANK(#REF!), AND(NOT(ISBLANK(#REF!)),OR(AND(#REF!="Accepted",OR(#REF!="Y",#REF!="y")),#REF!="Noted",#REF!="Duplicate",AND(#REF!="Rejected",NOT(ISBLANK(#REF!)))))),CheckOK,CheckErr)</f>
        <v>#REF!</v>
      </c>
      <c r="P73" s="50" t="str">
        <f>IF(OR(ISBLANK(#REF!),NOT(ISBLANK(#REF!))),CheckOK,CheckErr)</f>
        <v/>
      </c>
    </row>
    <row r="74" spans="1:16" ht="27">
      <c r="A74" s="57">
        <f t="shared" si="1"/>
        <v>61</v>
      </c>
      <c r="B74" s="68" t="s">
        <v>879</v>
      </c>
      <c r="C74" s="68" t="s">
        <v>760</v>
      </c>
      <c r="D74" s="68" t="s">
        <v>761</v>
      </c>
      <c r="E74" s="68" t="s">
        <v>762</v>
      </c>
      <c r="F74" s="152" t="s">
        <v>763</v>
      </c>
      <c r="G74"/>
      <c r="H74"/>
      <c r="I74"/>
      <c r="J74"/>
      <c r="K74"/>
      <c r="L74"/>
      <c r="M74" s="58"/>
      <c r="N74" s="66" t="e">
        <f>IF(OR(AND(CodeFileListUsed="Yes",#REF!="",COUNTA(B74:B74,#REF!)&lt;&gt;0),AND(COUNTA(B74:B74,#REF!)&lt;&gt;0, COUNTA(B74:B74,#REF!)&lt;&gt;COUNTA(B$13:C$13,D$13:F$13))),CheckErr,CheckOK)</f>
        <v>#REF!</v>
      </c>
      <c r="O74" s="50" t="e">
        <f>IF(OR(ISBLANK(#REF!), AND(NOT(ISBLANK(#REF!)),OR(AND(#REF!="Accepted",OR(#REF!="Y",#REF!="y")),#REF!="Noted",#REF!="Duplicate",AND(#REF!="Rejected",NOT(ISBLANK(#REF!)))))),CheckOK,CheckErr)</f>
        <v>#REF!</v>
      </c>
      <c r="P74" s="50" t="str">
        <f>IF(OR(ISBLANK(#REF!),NOT(ISBLANK(#REF!))),CheckOK,CheckErr)</f>
        <v/>
      </c>
    </row>
    <row r="75" spans="1:16" ht="27">
      <c r="A75" s="57">
        <f t="shared" si="1"/>
        <v>62</v>
      </c>
      <c r="B75" s="68" t="s">
        <v>879</v>
      </c>
      <c r="C75" s="68" t="s">
        <v>764</v>
      </c>
      <c r="D75" s="68" t="s">
        <v>765</v>
      </c>
      <c r="E75" s="68" t="s">
        <v>766</v>
      </c>
      <c r="F75" s="152" t="s">
        <v>767</v>
      </c>
      <c r="G75"/>
      <c r="H75"/>
      <c r="I75"/>
      <c r="J75"/>
      <c r="K75"/>
      <c r="L75"/>
      <c r="M75" s="58"/>
      <c r="N75" s="66" t="e">
        <f>IF(OR(AND(CodeFileListUsed="Yes",#REF!="",COUNTA(B75:B75,#REF!)&lt;&gt;0),AND(COUNTA(B75:B75,#REF!)&lt;&gt;0, COUNTA(B75:B75,#REF!)&lt;&gt;COUNTA(B$13:C$13,D$13:F$13))),CheckErr,CheckOK)</f>
        <v>#REF!</v>
      </c>
      <c r="O75" s="50" t="e">
        <f>IF(OR(ISBLANK(#REF!), AND(NOT(ISBLANK(#REF!)),OR(AND(#REF!="Accepted",OR(#REF!="Y",#REF!="y")),#REF!="Noted",#REF!="Duplicate",AND(#REF!="Rejected",NOT(ISBLANK(#REF!)))))),CheckOK,CheckErr)</f>
        <v>#REF!</v>
      </c>
      <c r="P75" s="50" t="str">
        <f>IF(OR(ISBLANK(#REF!),NOT(ISBLANK(#REF!))),CheckOK,CheckErr)</f>
        <v/>
      </c>
    </row>
    <row r="76" spans="1:16" ht="40.5" hidden="1">
      <c r="A76" s="57">
        <f t="shared" si="1"/>
        <v>63</v>
      </c>
      <c r="B76" s="68" t="s">
        <v>879</v>
      </c>
      <c r="C76" s="68" t="s">
        <v>768</v>
      </c>
      <c r="D76" s="68" t="s">
        <v>769</v>
      </c>
      <c r="E76" s="68" t="s">
        <v>705</v>
      </c>
      <c r="F76" s="152" t="s">
        <v>770</v>
      </c>
      <c r="G76"/>
      <c r="H76"/>
      <c r="I76"/>
      <c r="J76"/>
      <c r="K76"/>
      <c r="L76"/>
      <c r="M76" s="58"/>
      <c r="N76" s="66" t="e">
        <f>IF(OR(AND(CodeFileListUsed="Yes",#REF!="",COUNTA(B76:B76,#REF!)&lt;&gt;0),AND(COUNTA(B76:B76,#REF!)&lt;&gt;0, COUNTA(B76:B76,#REF!)&lt;&gt;COUNTA(B$13:C$13,D$13:F$13))),CheckErr,CheckOK)</f>
        <v>#REF!</v>
      </c>
      <c r="O76" s="50" t="e">
        <f>IF(OR(ISBLANK(#REF!), AND(NOT(ISBLANK(#REF!)),OR(AND(#REF!="Accepted",OR(#REF!="Y",#REF!="y")),#REF!="Noted",#REF!="Duplicate",AND(#REF!="Rejected",NOT(ISBLANK(#REF!)))))),CheckOK,CheckErr)</f>
        <v>#REF!</v>
      </c>
      <c r="P76" s="50" t="str">
        <f>IF(OR(ISBLANK(#REF!),NOT(ISBLANK(#REF!))),CheckOK,CheckErr)</f>
        <v/>
      </c>
    </row>
    <row r="77" spans="1:16">
      <c r="A77" s="57">
        <f t="shared" si="1"/>
        <v>64</v>
      </c>
      <c r="B77" s="68" t="s">
        <v>879</v>
      </c>
      <c r="C77" s="68" t="s">
        <v>771</v>
      </c>
      <c r="D77" s="68">
        <v>1.8</v>
      </c>
      <c r="E77" s="68" t="s">
        <v>772</v>
      </c>
      <c r="F77" s="152" t="s">
        <v>773</v>
      </c>
      <c r="G77"/>
      <c r="H77"/>
      <c r="I77"/>
      <c r="J77"/>
      <c r="K77"/>
      <c r="L77"/>
      <c r="M77" s="58"/>
      <c r="N77" s="66" t="e">
        <f>IF(OR(AND(CodeFileListUsed="Yes",#REF!="",COUNTA(B77:B77,#REF!)&lt;&gt;0),AND(COUNTA(B77:B77,#REF!)&lt;&gt;0, COUNTA(B77:B77,#REF!)&lt;&gt;COUNTA(B$13:C$13,D$13:F$13))),CheckErr,CheckOK)</f>
        <v>#REF!</v>
      </c>
      <c r="O77" s="50" t="e">
        <f>IF(OR(ISBLANK(#REF!), AND(NOT(ISBLANK(#REF!)),OR(AND(#REF!="Accepted",OR(#REF!="Y",#REF!="y")),#REF!="Noted",#REF!="Duplicate",AND(#REF!="Rejected",NOT(ISBLANK(#REF!)))))),CheckOK,CheckErr)</f>
        <v>#REF!</v>
      </c>
      <c r="P77" s="50" t="str">
        <f>IF(OR(ISBLANK(#REF!),NOT(ISBLANK(#REF!))),CheckOK,CheckErr)</f>
        <v/>
      </c>
    </row>
    <row r="78" spans="1:16" ht="54" hidden="1">
      <c r="A78" s="57">
        <f t="shared" si="1"/>
        <v>65</v>
      </c>
      <c r="B78" s="68" t="s">
        <v>879</v>
      </c>
      <c r="C78" s="68" t="s">
        <v>774</v>
      </c>
      <c r="D78" s="68">
        <v>1.8</v>
      </c>
      <c r="E78" s="68" t="s">
        <v>775</v>
      </c>
      <c r="F78" s="152" t="s">
        <v>776</v>
      </c>
      <c r="G78"/>
      <c r="H78"/>
      <c r="I78"/>
      <c r="J78"/>
      <c r="K78"/>
      <c r="L78"/>
      <c r="M78" s="58"/>
      <c r="N78" s="66" t="e">
        <f>IF(OR(AND(CodeFileListUsed="Yes",#REF!="",COUNTA(B78:B78,#REF!)&lt;&gt;0),AND(COUNTA(B78:B78,#REF!)&lt;&gt;0, COUNTA(B78:B78,#REF!)&lt;&gt;COUNTA(B$13:C$13,D$13:F$13))),CheckErr,CheckOK)</f>
        <v>#REF!</v>
      </c>
      <c r="O78" s="50" t="e">
        <f>IF(OR(ISBLANK(#REF!), AND(NOT(ISBLANK(#REF!)),OR(AND(#REF!="Accepted",OR(#REF!="Y",#REF!="y")),#REF!="Noted",#REF!="Duplicate",AND(#REF!="Rejected",NOT(ISBLANK(#REF!)))))),CheckOK,CheckErr)</f>
        <v>#REF!</v>
      </c>
      <c r="P78" s="50" t="str">
        <f>IF(OR(ISBLANK(#REF!),NOT(ISBLANK(#REF!))),CheckOK,CheckErr)</f>
        <v/>
      </c>
    </row>
    <row r="79" spans="1:16" hidden="1">
      <c r="A79" s="57">
        <f t="shared" ref="A79:A110" si="2">A78+1</f>
        <v>66</v>
      </c>
      <c r="B79" s="68" t="s">
        <v>879</v>
      </c>
      <c r="C79" s="68" t="s">
        <v>777</v>
      </c>
      <c r="D79" s="68">
        <v>1.8</v>
      </c>
      <c r="E79" s="68" t="s">
        <v>778</v>
      </c>
      <c r="F79" s="152" t="s">
        <v>779</v>
      </c>
      <c r="G79"/>
      <c r="H79"/>
      <c r="I79"/>
      <c r="J79"/>
      <c r="K79"/>
      <c r="L79"/>
      <c r="M79" s="58"/>
      <c r="N79" s="66" t="e">
        <f>IF(OR(AND(CodeFileListUsed="Yes",#REF!="",COUNTA(B79:B79,#REF!)&lt;&gt;0),AND(COUNTA(B79:B79,#REF!)&lt;&gt;0, COUNTA(B79:B79,#REF!)&lt;&gt;COUNTA(B$13:C$13,D$13:F$13))),CheckErr,CheckOK)</f>
        <v>#REF!</v>
      </c>
      <c r="O79" s="50" t="e">
        <f>IF(OR(ISBLANK(#REF!), AND(NOT(ISBLANK(#REF!)),OR(AND(#REF!="Accepted",OR(#REF!="Y",#REF!="y")),#REF!="Noted",#REF!="Duplicate",AND(#REF!="Rejected",NOT(ISBLANK(#REF!)))))),CheckOK,CheckErr)</f>
        <v>#REF!</v>
      </c>
      <c r="P79" s="50" t="str">
        <f>IF(OR(ISBLANK(#REF!),NOT(ISBLANK(#REF!))),CheckOK,CheckErr)</f>
        <v/>
      </c>
    </row>
    <row r="80" spans="1:16" ht="40.5" hidden="1">
      <c r="A80" s="57">
        <f t="shared" si="2"/>
        <v>67</v>
      </c>
      <c r="B80" s="68" t="s">
        <v>879</v>
      </c>
      <c r="C80" s="68" t="s">
        <v>780</v>
      </c>
      <c r="D80" s="68">
        <v>1.8</v>
      </c>
      <c r="E80" s="68" t="s">
        <v>781</v>
      </c>
      <c r="F80" s="152" t="s">
        <v>782</v>
      </c>
      <c r="G80"/>
      <c r="H80"/>
      <c r="I80"/>
      <c r="J80"/>
      <c r="K80"/>
      <c r="L80"/>
      <c r="M80" s="58"/>
      <c r="N80" s="66" t="e">
        <f>IF(OR(AND(CodeFileListUsed="Yes",#REF!="",COUNTA(B80:B80,#REF!)&lt;&gt;0),AND(COUNTA(B80:B80,#REF!)&lt;&gt;0, COUNTA(B80:B80,#REF!)&lt;&gt;COUNTA(B$13:C$13,D$13:F$13))),CheckErr,CheckOK)</f>
        <v>#REF!</v>
      </c>
      <c r="O80" s="50" t="e">
        <f>IF(OR(ISBLANK(#REF!), AND(NOT(ISBLANK(#REF!)),OR(AND(#REF!="Accepted",OR(#REF!="Y",#REF!="y")),#REF!="Noted",#REF!="Duplicate",AND(#REF!="Rejected",NOT(ISBLANK(#REF!)))))),CheckOK,CheckErr)</f>
        <v>#REF!</v>
      </c>
      <c r="P80" s="50" t="str">
        <f>IF(OR(ISBLANK(#REF!),NOT(ISBLANK(#REF!))),CheckOK,CheckErr)</f>
        <v/>
      </c>
    </row>
    <row r="81" spans="1:16" ht="27" hidden="1">
      <c r="A81" s="57">
        <f t="shared" si="2"/>
        <v>68</v>
      </c>
      <c r="B81" s="68" t="s">
        <v>879</v>
      </c>
      <c r="C81" s="68" t="s">
        <v>783</v>
      </c>
      <c r="D81" s="68">
        <v>1.8</v>
      </c>
      <c r="E81" s="68" t="s">
        <v>784</v>
      </c>
      <c r="F81" s="152" t="s">
        <v>785</v>
      </c>
      <c r="G81"/>
      <c r="H81"/>
      <c r="I81"/>
      <c r="J81"/>
      <c r="K81"/>
      <c r="L81"/>
      <c r="M81" s="58"/>
      <c r="N81" s="66" t="e">
        <f>IF(OR(AND(CodeFileListUsed="Yes",#REF!="",COUNTA(B81:B81,#REF!)&lt;&gt;0),AND(COUNTA(B81:B81,#REF!)&lt;&gt;0, COUNTA(B81:B81,#REF!)&lt;&gt;COUNTA(B$13:C$13,D$13:F$13))),CheckErr,CheckOK)</f>
        <v>#REF!</v>
      </c>
      <c r="O81" s="50" t="e">
        <f>IF(OR(ISBLANK(#REF!), AND(NOT(ISBLANK(#REF!)),OR(AND(#REF!="Accepted",OR(#REF!="Y",#REF!="y")),#REF!="Noted",#REF!="Duplicate",AND(#REF!="Rejected",NOT(ISBLANK(#REF!)))))),CheckOK,CheckErr)</f>
        <v>#REF!</v>
      </c>
      <c r="P81" s="50" t="str">
        <f>IF(OR(ISBLANK(#REF!),NOT(ISBLANK(#REF!))),CheckOK,CheckErr)</f>
        <v/>
      </c>
    </row>
    <row r="82" spans="1:16" ht="81" hidden="1">
      <c r="A82" s="57">
        <f t="shared" si="2"/>
        <v>69</v>
      </c>
      <c r="B82" s="68" t="s">
        <v>879</v>
      </c>
      <c r="C82" s="68" t="s">
        <v>786</v>
      </c>
      <c r="D82" s="68">
        <v>1.2</v>
      </c>
      <c r="E82" s="68" t="s">
        <v>705</v>
      </c>
      <c r="F82" s="152" t="s">
        <v>787</v>
      </c>
      <c r="G82"/>
      <c r="H82"/>
      <c r="I82"/>
      <c r="J82"/>
      <c r="K82"/>
      <c r="L82"/>
      <c r="M82" s="58"/>
      <c r="N82" s="66" t="e">
        <f>IF(OR(AND(CodeFileListUsed="Yes",#REF!="",COUNTA(B82:B82,#REF!)&lt;&gt;0),AND(COUNTA(B82:B82,#REF!)&lt;&gt;0, COUNTA(B82:B82,#REF!)&lt;&gt;COUNTA(B$13:C$13,D$13:F$13))),CheckErr,CheckOK)</f>
        <v>#REF!</v>
      </c>
      <c r="O82" s="50" t="e">
        <f>IF(OR(ISBLANK(#REF!), AND(NOT(ISBLANK(#REF!)),OR(AND(#REF!="Accepted",OR(#REF!="Y",#REF!="y")),#REF!="Noted",#REF!="Duplicate",AND(#REF!="Rejected",NOT(ISBLANK(#REF!)))))),CheckOK,CheckErr)</f>
        <v>#REF!</v>
      </c>
      <c r="P82" s="50" t="str">
        <f>IF(OR(ISBLANK(#REF!),NOT(ISBLANK(#REF!))),CheckOK,CheckErr)</f>
        <v/>
      </c>
    </row>
    <row r="83" spans="1:16" ht="27" hidden="1">
      <c r="A83" s="57">
        <f t="shared" si="2"/>
        <v>70</v>
      </c>
      <c r="B83" s="68" t="s">
        <v>879</v>
      </c>
      <c r="C83" s="68" t="s">
        <v>788</v>
      </c>
      <c r="D83" s="68" t="s">
        <v>726</v>
      </c>
      <c r="E83" s="68" t="s">
        <v>688</v>
      </c>
      <c r="F83" s="152" t="s">
        <v>789</v>
      </c>
      <c r="G83"/>
      <c r="H83"/>
      <c r="I83"/>
      <c r="J83"/>
      <c r="K83"/>
      <c r="L83"/>
      <c r="M83" s="58"/>
      <c r="N83" s="66" t="e">
        <f>IF(OR(AND(CodeFileListUsed="Yes",#REF!="",COUNTA(B83:B83,#REF!)&lt;&gt;0),AND(COUNTA(B83:B83,#REF!)&lt;&gt;0, COUNTA(B83:B83,#REF!)&lt;&gt;COUNTA(B$13:C$13,D$13:F$13))),CheckErr,CheckOK)</f>
        <v>#REF!</v>
      </c>
      <c r="O83" s="50" t="e">
        <f>IF(OR(ISBLANK(#REF!), AND(NOT(ISBLANK(#REF!)),OR(AND(#REF!="Accepted",OR(#REF!="Y",#REF!="y")),#REF!="Noted",#REF!="Duplicate",AND(#REF!="Rejected",NOT(ISBLANK(#REF!)))))),CheckOK,CheckErr)</f>
        <v>#REF!</v>
      </c>
      <c r="P83" s="50" t="str">
        <f>IF(OR(ISBLANK(#REF!),NOT(ISBLANK(#REF!))),CheckOK,CheckErr)</f>
        <v/>
      </c>
    </row>
    <row r="84" spans="1:16" ht="40.5" hidden="1">
      <c r="A84" s="57">
        <f t="shared" si="2"/>
        <v>71</v>
      </c>
      <c r="B84" s="68" t="s">
        <v>879</v>
      </c>
      <c r="C84" s="68" t="s">
        <v>790</v>
      </c>
      <c r="D84" s="68" t="s">
        <v>791</v>
      </c>
      <c r="E84" s="68" t="s">
        <v>792</v>
      </c>
      <c r="F84" s="152" t="s">
        <v>793</v>
      </c>
      <c r="G84"/>
      <c r="H84" s="177" t="s">
        <v>885</v>
      </c>
      <c r="I84" s="3" t="s">
        <v>900</v>
      </c>
      <c r="J84" t="s">
        <v>87</v>
      </c>
      <c r="K84" t="s">
        <v>884</v>
      </c>
      <c r="L84"/>
      <c r="M84" s="58"/>
      <c r="N84" s="66" t="e">
        <f>IF(OR(AND(CodeFileListUsed="Yes",#REF!="",COUNTA(B84:B84,#REF!)&lt;&gt;0),AND(COUNTA(B84:B84,#REF!)&lt;&gt;0, COUNTA(B84:B84,#REF!)&lt;&gt;COUNTA(B$13:C$13,D$13:F$13))),CheckErr,CheckOK)</f>
        <v>#REF!</v>
      </c>
      <c r="O84" s="50" t="e">
        <f>IF(OR(ISBLANK(#REF!), AND(NOT(ISBLANK(#REF!)),OR(AND(#REF!="Accepted",OR(#REF!="Y",#REF!="y")),#REF!="Noted",#REF!="Duplicate",AND(#REF!="Rejected",NOT(ISBLANK(#REF!)))))),CheckOK,CheckErr)</f>
        <v>#REF!</v>
      </c>
      <c r="P84" s="50" t="str">
        <f>IF(OR(ISBLANK(#REF!),NOT(ISBLANK(#REF!))),CheckOK,CheckErr)</f>
        <v/>
      </c>
    </row>
    <row r="85" spans="1:16" ht="40.5" hidden="1">
      <c r="A85" s="57">
        <f t="shared" si="2"/>
        <v>72</v>
      </c>
      <c r="B85" s="68" t="s">
        <v>879</v>
      </c>
      <c r="C85" s="68" t="s">
        <v>794</v>
      </c>
      <c r="D85" s="68" t="s">
        <v>795</v>
      </c>
      <c r="E85" s="68" t="s">
        <v>688</v>
      </c>
      <c r="F85" s="152" t="s">
        <v>796</v>
      </c>
      <c r="G85"/>
      <c r="H85"/>
      <c r="I85"/>
      <c r="J85"/>
      <c r="K85"/>
      <c r="L85"/>
      <c r="M85" s="58"/>
      <c r="N85" s="66" t="e">
        <f>IF(OR(AND(CodeFileListUsed="Yes",#REF!="",COUNTA(B85:B85,#REF!)&lt;&gt;0),AND(COUNTA(B85:B85,#REF!)&lt;&gt;0, COUNTA(B85:B85,#REF!)&lt;&gt;COUNTA(B$13:C$13,D$13:F$13))),CheckErr,CheckOK)</f>
        <v>#REF!</v>
      </c>
      <c r="O85" s="50" t="e">
        <f>IF(OR(ISBLANK(#REF!), AND(NOT(ISBLANK(#REF!)),OR(AND(#REF!="Accepted",OR(#REF!="Y",#REF!="y")),#REF!="Noted",#REF!="Duplicate",AND(#REF!="Rejected",NOT(ISBLANK(#REF!)))))),CheckOK,CheckErr)</f>
        <v>#REF!</v>
      </c>
      <c r="P85" s="50" t="str">
        <f>IF(OR(ISBLANK(#REF!),NOT(ISBLANK(#REF!))),CheckOK,CheckErr)</f>
        <v/>
      </c>
    </row>
    <row r="86" spans="1:16" ht="27" hidden="1">
      <c r="A86" s="57">
        <f t="shared" si="2"/>
        <v>73</v>
      </c>
      <c r="B86" s="68" t="s">
        <v>879</v>
      </c>
      <c r="C86" s="68" t="s">
        <v>797</v>
      </c>
      <c r="D86" s="68">
        <v>5.0999999999999996</v>
      </c>
      <c r="E86" s="68" t="s">
        <v>798</v>
      </c>
      <c r="F86" s="152" t="s">
        <v>799</v>
      </c>
      <c r="G86"/>
      <c r="H86" s="177" t="s">
        <v>885</v>
      </c>
      <c r="I86" t="s">
        <v>889</v>
      </c>
      <c r="J86" t="s">
        <v>87</v>
      </c>
      <c r="K86" s="176" t="s">
        <v>884</v>
      </c>
      <c r="L86"/>
      <c r="M86" s="58"/>
      <c r="N86" s="66" t="e">
        <f>IF(OR(AND(CodeFileListUsed="Yes",#REF!="",COUNTA(B86:B86,#REF!)&lt;&gt;0),AND(COUNTA(B86:B86,#REF!)&lt;&gt;0, COUNTA(B86:B86,#REF!)&lt;&gt;COUNTA(B$13:C$13,D$13:F$13))),CheckErr,CheckOK)</f>
        <v>#REF!</v>
      </c>
      <c r="O86" s="50" t="e">
        <f>IF(OR(ISBLANK(#REF!), AND(NOT(ISBLANK(#REF!)),OR(AND(#REF!="Accepted",OR(#REF!="Y",#REF!="y")),#REF!="Noted",#REF!="Duplicate",AND(#REF!="Rejected",NOT(ISBLANK(#REF!)))))),CheckOK,CheckErr)</f>
        <v>#REF!</v>
      </c>
      <c r="P86" s="50" t="str">
        <f>IF(OR(ISBLANK(#REF!),NOT(ISBLANK(#REF!))),CheckOK,CheckErr)</f>
        <v/>
      </c>
    </row>
    <row r="87" spans="1:16" ht="27" hidden="1">
      <c r="A87" s="57">
        <f t="shared" si="2"/>
        <v>74</v>
      </c>
      <c r="B87" s="68" t="s">
        <v>879</v>
      </c>
      <c r="C87" s="68" t="s">
        <v>800</v>
      </c>
      <c r="D87" s="68">
        <v>6.1</v>
      </c>
      <c r="E87" s="68" t="s">
        <v>801</v>
      </c>
      <c r="F87" s="152" t="s">
        <v>802</v>
      </c>
      <c r="G87"/>
      <c r="H87" s="177" t="s">
        <v>885</v>
      </c>
      <c r="I87" t="s">
        <v>895</v>
      </c>
      <c r="J87" s="176" t="s">
        <v>86</v>
      </c>
      <c r="K87"/>
      <c r="L87"/>
      <c r="M87" s="58"/>
      <c r="N87" s="66" t="e">
        <f>IF(OR(AND(CodeFileListUsed="Yes",#REF!="",COUNTA(B87:B87,#REF!)&lt;&gt;0),AND(COUNTA(B87:B87,#REF!)&lt;&gt;0, COUNTA(B87:B87,#REF!)&lt;&gt;COUNTA(B$13:C$13,D$13:F$13))),CheckErr,CheckOK)</f>
        <v>#REF!</v>
      </c>
      <c r="O87" s="50" t="e">
        <f>IF(OR(ISBLANK(#REF!), AND(NOT(ISBLANK(#REF!)),OR(AND(#REF!="Accepted",OR(#REF!="Y",#REF!="y")),#REF!="Noted",#REF!="Duplicate",AND(#REF!="Rejected",NOT(ISBLANK(#REF!)))))),CheckOK,CheckErr)</f>
        <v>#REF!</v>
      </c>
      <c r="P87" s="50" t="str">
        <f>IF(OR(ISBLANK(#REF!),NOT(ISBLANK(#REF!))),CheckOK,CheckErr)</f>
        <v/>
      </c>
    </row>
    <row r="88" spans="1:16" ht="40.5" hidden="1">
      <c r="A88" s="57">
        <f t="shared" si="2"/>
        <v>75</v>
      </c>
      <c r="B88" s="68" t="s">
        <v>879</v>
      </c>
      <c r="C88" s="68" t="s">
        <v>800</v>
      </c>
      <c r="D88" s="68" t="s">
        <v>803</v>
      </c>
      <c r="E88" s="68" t="s">
        <v>804</v>
      </c>
      <c r="F88" s="152" t="s">
        <v>805</v>
      </c>
      <c r="G88"/>
      <c r="H88"/>
      <c r="I88"/>
      <c r="J88"/>
      <c r="K88"/>
      <c r="L88"/>
      <c r="M88" s="58"/>
      <c r="N88" s="66" t="e">
        <f>IF(OR(AND(CodeFileListUsed="Yes",#REF!="",COUNTA(B88:B88,#REF!)&lt;&gt;0),AND(COUNTA(B88:B88,#REF!)&lt;&gt;0, COUNTA(B88:B88,#REF!)&lt;&gt;COUNTA(B$13:C$13,D$13:F$13))),CheckErr,CheckOK)</f>
        <v>#REF!</v>
      </c>
      <c r="O88" s="50" t="e">
        <f>IF(OR(ISBLANK(#REF!), AND(NOT(ISBLANK(#REF!)),OR(AND(#REF!="Accepted",OR(#REF!="Y",#REF!="y")),#REF!="Noted",#REF!="Duplicate",AND(#REF!="Rejected",NOT(ISBLANK(#REF!)))))),CheckOK,CheckErr)</f>
        <v>#REF!</v>
      </c>
      <c r="P88" s="50" t="str">
        <f>IF(OR(ISBLANK(#REF!),NOT(ISBLANK(#REF!))),CheckOK,CheckErr)</f>
        <v/>
      </c>
    </row>
    <row r="89" spans="1:16" hidden="1">
      <c r="A89" s="57">
        <f t="shared" si="2"/>
        <v>76</v>
      </c>
      <c r="B89" s="68" t="s">
        <v>879</v>
      </c>
      <c r="C89" s="68" t="s">
        <v>806</v>
      </c>
      <c r="D89" s="68" t="s">
        <v>807</v>
      </c>
      <c r="E89" s="68" t="s">
        <v>808</v>
      </c>
      <c r="F89" s="152" t="s">
        <v>809</v>
      </c>
      <c r="G89"/>
      <c r="H89" s="177" t="s">
        <v>885</v>
      </c>
      <c r="I89" t="s">
        <v>886</v>
      </c>
      <c r="J89" t="s">
        <v>87</v>
      </c>
      <c r="K89" s="176" t="s">
        <v>884</v>
      </c>
      <c r="L89"/>
      <c r="M89" s="58"/>
      <c r="N89" s="66" t="e">
        <f>IF(OR(AND(CodeFileListUsed="Yes",#REF!="",COUNTA(B89:B89,#REF!)&lt;&gt;0),AND(COUNTA(B89:B89,#REF!)&lt;&gt;0, COUNTA(B89:B89,#REF!)&lt;&gt;COUNTA(B$13:C$13,D$13:F$13))),CheckErr,CheckOK)</f>
        <v>#REF!</v>
      </c>
      <c r="O89" s="50" t="e">
        <f>IF(OR(ISBLANK(#REF!), AND(NOT(ISBLANK(#REF!)),OR(AND(#REF!="Accepted",OR(#REF!="Y",#REF!="y")),#REF!="Noted",#REF!="Duplicate",AND(#REF!="Rejected",NOT(ISBLANK(#REF!)))))),CheckOK,CheckErr)</f>
        <v>#REF!</v>
      </c>
      <c r="P89" s="50" t="str">
        <f>IF(OR(ISBLANK(#REF!),NOT(ISBLANK(#REF!))),CheckOK,CheckErr)</f>
        <v/>
      </c>
    </row>
    <row r="90" spans="1:16" ht="54" hidden="1">
      <c r="A90" s="57">
        <f t="shared" si="2"/>
        <v>77</v>
      </c>
      <c r="B90" s="68" t="s">
        <v>879</v>
      </c>
      <c r="C90" s="68" t="s">
        <v>810</v>
      </c>
      <c r="D90" s="68" t="s">
        <v>811</v>
      </c>
      <c r="E90" s="68" t="s">
        <v>812</v>
      </c>
      <c r="F90" s="152" t="s">
        <v>813</v>
      </c>
      <c r="G90"/>
      <c r="H90" s="177" t="s">
        <v>885</v>
      </c>
      <c r="I90" t="s">
        <v>898</v>
      </c>
      <c r="J90" t="s">
        <v>87</v>
      </c>
      <c r="K90" s="176" t="s">
        <v>884</v>
      </c>
      <c r="L90"/>
      <c r="M90" s="58"/>
      <c r="N90" s="66" t="e">
        <f>IF(OR(AND(CodeFileListUsed="Yes",#REF!="",COUNTA(B90:B90,#REF!)&lt;&gt;0),AND(COUNTA(B90:B90,#REF!)&lt;&gt;0, COUNTA(B90:B90,#REF!)&lt;&gt;COUNTA(B$13:C$13,D$13:F$13))),CheckErr,CheckOK)</f>
        <v>#REF!</v>
      </c>
      <c r="O90" s="50" t="e">
        <f>IF(OR(ISBLANK(#REF!), AND(NOT(ISBLANK(#REF!)),OR(AND(#REF!="Accepted",OR(#REF!="Y",#REF!="y")),#REF!="Noted",#REF!="Duplicate",AND(#REF!="Rejected",NOT(ISBLANK(#REF!)))))),CheckOK,CheckErr)</f>
        <v>#REF!</v>
      </c>
      <c r="P90" s="50" t="str">
        <f>IF(OR(ISBLANK(#REF!),NOT(ISBLANK(#REF!))),CheckOK,CheckErr)</f>
        <v/>
      </c>
    </row>
    <row r="91" spans="1:16" ht="81" hidden="1">
      <c r="A91" s="57">
        <f t="shared" si="2"/>
        <v>78</v>
      </c>
      <c r="B91" s="68" t="s">
        <v>879</v>
      </c>
      <c r="C91" s="68" t="s">
        <v>814</v>
      </c>
      <c r="D91" s="68" t="s">
        <v>811</v>
      </c>
      <c r="E91" s="68" t="s">
        <v>815</v>
      </c>
      <c r="F91" s="152" t="s">
        <v>816</v>
      </c>
      <c r="G91"/>
      <c r="H91" s="177" t="s">
        <v>885</v>
      </c>
      <c r="I91" s="3" t="s">
        <v>897</v>
      </c>
      <c r="J91" t="s">
        <v>86</v>
      </c>
      <c r="K91"/>
      <c r="L91"/>
      <c r="M91" s="58"/>
      <c r="N91" s="66" t="e">
        <f>IF(OR(AND(CodeFileListUsed="Yes",#REF!="",COUNTA(B91:B91,#REF!)&lt;&gt;0),AND(COUNTA(B91:B91,#REF!)&lt;&gt;0, COUNTA(B91:B91,#REF!)&lt;&gt;COUNTA(B$13:C$13,D$13:F$13))),CheckErr,CheckOK)</f>
        <v>#REF!</v>
      </c>
      <c r="O91" s="50" t="e">
        <f>IF(OR(ISBLANK(#REF!), AND(NOT(ISBLANK(#REF!)),OR(AND(#REF!="Accepted",OR(#REF!="Y",#REF!="y")),#REF!="Noted",#REF!="Duplicate",AND(#REF!="Rejected",NOT(ISBLANK(#REF!)))))),CheckOK,CheckErr)</f>
        <v>#REF!</v>
      </c>
      <c r="P91" s="50" t="str">
        <f>IF(OR(ISBLANK(#REF!),NOT(ISBLANK(#REF!))),CheckOK,CheckErr)</f>
        <v/>
      </c>
    </row>
    <row r="92" spans="1:16" ht="27" hidden="1">
      <c r="A92" s="57">
        <f t="shared" si="2"/>
        <v>79</v>
      </c>
      <c r="B92" s="68" t="s">
        <v>879</v>
      </c>
      <c r="C92" s="68" t="s">
        <v>817</v>
      </c>
      <c r="D92" s="68" t="s">
        <v>811</v>
      </c>
      <c r="E92" s="68" t="s">
        <v>818</v>
      </c>
      <c r="F92" s="152" t="s">
        <v>819</v>
      </c>
      <c r="G92"/>
      <c r="H92" s="177" t="s">
        <v>885</v>
      </c>
      <c r="I92" t="s">
        <v>886</v>
      </c>
      <c r="J92" t="s">
        <v>87</v>
      </c>
      <c r="K92" s="176" t="s">
        <v>884</v>
      </c>
      <c r="L92"/>
      <c r="M92" s="58"/>
      <c r="N92" s="66" t="e">
        <f>IF(OR(AND(CodeFileListUsed="Yes",#REF!="",COUNTA(B92:B92,#REF!)&lt;&gt;0),AND(COUNTA(B92:B92,#REF!)&lt;&gt;0, COUNTA(B92:B92,#REF!)&lt;&gt;COUNTA(B$13:C$13,D$13:F$13))),CheckErr,CheckOK)</f>
        <v>#REF!</v>
      </c>
      <c r="O92" s="50" t="e">
        <f>IF(OR(ISBLANK(#REF!), AND(NOT(ISBLANK(#REF!)),OR(AND(#REF!="Accepted",OR(#REF!="Y",#REF!="y")),#REF!="Noted",#REF!="Duplicate",AND(#REF!="Rejected",NOT(ISBLANK(#REF!)))))),CheckOK,CheckErr)</f>
        <v>#REF!</v>
      </c>
      <c r="P92" s="50" t="str">
        <f>IF(OR(ISBLANK(#REF!),NOT(ISBLANK(#REF!))),CheckOK,CheckErr)</f>
        <v/>
      </c>
    </row>
    <row r="93" spans="1:16" hidden="1">
      <c r="A93" s="57">
        <f t="shared" si="2"/>
        <v>80</v>
      </c>
      <c r="B93" s="68" t="s">
        <v>879</v>
      </c>
      <c r="C93" s="68" t="s">
        <v>820</v>
      </c>
      <c r="D93" s="68" t="s">
        <v>821</v>
      </c>
      <c r="E93" s="68" t="s">
        <v>822</v>
      </c>
      <c r="F93" s="152" t="s">
        <v>823</v>
      </c>
      <c r="G93"/>
      <c r="H93" s="177" t="s">
        <v>885</v>
      </c>
      <c r="I93" t="s">
        <v>892</v>
      </c>
      <c r="J93" s="176" t="s">
        <v>86</v>
      </c>
      <c r="K93"/>
      <c r="L93"/>
      <c r="M93" s="58"/>
      <c r="N93" s="66" t="e">
        <f>IF(OR(AND(CodeFileListUsed="Yes",#REF!="",COUNTA(B93:B93,#REF!)&lt;&gt;0),AND(COUNTA(B93:B93,#REF!)&lt;&gt;0, COUNTA(B93:B93,#REF!)&lt;&gt;COUNTA(B$13:C$13,D$13:F$13))),CheckErr,CheckOK)</f>
        <v>#REF!</v>
      </c>
      <c r="O93" s="50" t="e">
        <f>IF(OR(ISBLANK(#REF!), AND(NOT(ISBLANK(#REF!)),OR(AND(#REF!="Accepted",OR(#REF!="Y",#REF!="y")),#REF!="Noted",#REF!="Duplicate",AND(#REF!="Rejected",NOT(ISBLANK(#REF!)))))),CheckOK,CheckErr)</f>
        <v>#REF!</v>
      </c>
      <c r="P93" s="50" t="str">
        <f>IF(OR(ISBLANK(#REF!),NOT(ISBLANK(#REF!))),CheckOK,CheckErr)</f>
        <v/>
      </c>
    </row>
    <row r="94" spans="1:16" hidden="1">
      <c r="A94" s="57">
        <f t="shared" si="2"/>
        <v>81</v>
      </c>
      <c r="B94" s="68" t="s">
        <v>879</v>
      </c>
      <c r="C94" s="68" t="s">
        <v>824</v>
      </c>
      <c r="D94" s="68" t="s">
        <v>825</v>
      </c>
      <c r="E94" s="68" t="s">
        <v>688</v>
      </c>
      <c r="F94" s="152" t="s">
        <v>826</v>
      </c>
      <c r="G94"/>
      <c r="H94"/>
      <c r="I94"/>
      <c r="J94" t="s">
        <v>85</v>
      </c>
      <c r="K94" t="s">
        <v>884</v>
      </c>
      <c r="L94"/>
      <c r="M94" s="58"/>
      <c r="N94" s="66" t="e">
        <f>IF(OR(AND(CodeFileListUsed="Yes",#REF!="",COUNTA(B94:B94,#REF!)&lt;&gt;0),AND(COUNTA(B94:B94,#REF!)&lt;&gt;0, COUNTA(B94:B94,#REF!)&lt;&gt;COUNTA(B$13:C$13,D$13:F$13))),CheckErr,CheckOK)</f>
        <v>#REF!</v>
      </c>
      <c r="O94" s="50" t="e">
        <f>IF(OR(ISBLANK(#REF!), AND(NOT(ISBLANK(#REF!)),OR(AND(#REF!="Accepted",OR(#REF!="Y",#REF!="y")),#REF!="Noted",#REF!="Duplicate",AND(#REF!="Rejected",NOT(ISBLANK(#REF!)))))),CheckOK,CheckErr)</f>
        <v>#REF!</v>
      </c>
      <c r="P94" s="50" t="str">
        <f>IF(OR(ISBLANK(#REF!),NOT(ISBLANK(#REF!))),CheckOK,CheckErr)</f>
        <v/>
      </c>
    </row>
    <row r="95" spans="1:16" ht="27" hidden="1">
      <c r="A95" s="57">
        <f t="shared" si="2"/>
        <v>82</v>
      </c>
      <c r="B95" s="68" t="s">
        <v>879</v>
      </c>
      <c r="C95" s="68" t="s">
        <v>827</v>
      </c>
      <c r="D95" s="68" t="s">
        <v>828</v>
      </c>
      <c r="E95" s="68" t="s">
        <v>829</v>
      </c>
      <c r="F95" s="152" t="s">
        <v>830</v>
      </c>
      <c r="G95"/>
      <c r="H95" s="177" t="s">
        <v>885</v>
      </c>
      <c r="I95" s="91" t="s">
        <v>891</v>
      </c>
      <c r="J95" s="178" t="s">
        <v>86</v>
      </c>
      <c r="K95"/>
      <c r="L95"/>
      <c r="M95" s="58"/>
      <c r="N95" s="66" t="e">
        <f>IF(OR(AND(CodeFileListUsed="Yes",#REF!="",COUNTA(B95:B95,#REF!)&lt;&gt;0),AND(COUNTA(B95:B95,#REF!)&lt;&gt;0, COUNTA(B95:B95,#REF!)&lt;&gt;COUNTA(B$13:C$13,D$13:F$13))),CheckErr,CheckOK)</f>
        <v>#REF!</v>
      </c>
      <c r="O95" s="50" t="e">
        <f>IF(OR(ISBLANK(#REF!), AND(NOT(ISBLANK(#REF!)),OR(AND(#REF!="Accepted",OR(#REF!="Y",#REF!="y")),#REF!="Noted",#REF!="Duplicate",AND(#REF!="Rejected",NOT(ISBLANK(#REF!)))))),CheckOK,CheckErr)</f>
        <v>#REF!</v>
      </c>
      <c r="P95" s="50" t="str">
        <f>IF(OR(ISBLANK(#REF!),NOT(ISBLANK(#REF!))),CheckOK,CheckErr)</f>
        <v/>
      </c>
    </row>
    <row r="96" spans="1:16" ht="54" hidden="1">
      <c r="A96" s="57">
        <f t="shared" si="2"/>
        <v>83</v>
      </c>
      <c r="B96" s="68" t="s">
        <v>879</v>
      </c>
      <c r="C96" s="68" t="s">
        <v>831</v>
      </c>
      <c r="D96" s="68" t="s">
        <v>832</v>
      </c>
      <c r="E96" s="68" t="s">
        <v>833</v>
      </c>
      <c r="F96" s="152" t="s">
        <v>834</v>
      </c>
      <c r="G96"/>
      <c r="H96" s="177" t="s">
        <v>885</v>
      </c>
      <c r="I96" t="s">
        <v>886</v>
      </c>
      <c r="J96" t="s">
        <v>87</v>
      </c>
      <c r="K96" s="176" t="s">
        <v>884</v>
      </c>
      <c r="L96"/>
      <c r="M96" s="58"/>
      <c r="N96" s="66" t="e">
        <f>IF(OR(AND(CodeFileListUsed="Yes",#REF!="",COUNTA(B96:B96,#REF!)&lt;&gt;0),AND(COUNTA(B96:B96,#REF!)&lt;&gt;0, COUNTA(B96:B96,#REF!)&lt;&gt;COUNTA(B$13:C$13,D$13:F$13))),CheckErr,CheckOK)</f>
        <v>#REF!</v>
      </c>
      <c r="O96" s="50" t="e">
        <f>IF(OR(ISBLANK(#REF!), AND(NOT(ISBLANK(#REF!)),OR(AND(#REF!="Accepted",OR(#REF!="Y",#REF!="y")),#REF!="Noted",#REF!="Duplicate",AND(#REF!="Rejected",NOT(ISBLANK(#REF!)))))),CheckOK,CheckErr)</f>
        <v>#REF!</v>
      </c>
      <c r="P96" s="50" t="str">
        <f>IF(OR(ISBLANK(#REF!),NOT(ISBLANK(#REF!))),CheckOK,CheckErr)</f>
        <v/>
      </c>
    </row>
    <row r="97" spans="1:16" hidden="1">
      <c r="A97" s="57">
        <f t="shared" si="2"/>
        <v>84</v>
      </c>
      <c r="B97" s="68" t="s">
        <v>879</v>
      </c>
      <c r="C97" s="68" t="s">
        <v>835</v>
      </c>
      <c r="D97" s="68">
        <v>7</v>
      </c>
      <c r="E97" s="68" t="s">
        <v>836</v>
      </c>
      <c r="F97" s="152" t="s">
        <v>837</v>
      </c>
      <c r="G97"/>
      <c r="H97" s="177" t="s">
        <v>885</v>
      </c>
      <c r="I97" t="s">
        <v>886</v>
      </c>
      <c r="J97" t="s">
        <v>87</v>
      </c>
      <c r="K97" s="176" t="s">
        <v>884</v>
      </c>
      <c r="L97"/>
      <c r="M97" s="58"/>
      <c r="N97" s="66" t="e">
        <f>IF(OR(AND(CodeFileListUsed="Yes",#REF!="",COUNTA(B97:B97,#REF!)&lt;&gt;0),AND(COUNTA(B97:B97,#REF!)&lt;&gt;0, COUNTA(B97:B97,#REF!)&lt;&gt;COUNTA(B$13:C$13,D$13:F$13))),CheckErr,CheckOK)</f>
        <v>#REF!</v>
      </c>
      <c r="O97" s="50" t="e">
        <f>IF(OR(ISBLANK(#REF!), AND(NOT(ISBLANK(#REF!)),OR(AND(#REF!="Accepted",OR(#REF!="Y",#REF!="y")),#REF!="Noted",#REF!="Duplicate",AND(#REF!="Rejected",NOT(ISBLANK(#REF!)))))),CheckOK,CheckErr)</f>
        <v>#REF!</v>
      </c>
      <c r="P97" s="50" t="str">
        <f>IF(OR(ISBLANK(#REF!),NOT(ISBLANK(#REF!))),CheckOK,CheckErr)</f>
        <v/>
      </c>
    </row>
    <row r="98" spans="1:16" ht="40.5" hidden="1">
      <c r="A98" s="57">
        <f t="shared" si="2"/>
        <v>85</v>
      </c>
      <c r="B98" s="68" t="s">
        <v>879</v>
      </c>
      <c r="C98" s="68" t="s">
        <v>838</v>
      </c>
      <c r="D98" s="68" t="s">
        <v>839</v>
      </c>
      <c r="E98" s="68" t="s">
        <v>840</v>
      </c>
      <c r="F98" s="152" t="s">
        <v>841</v>
      </c>
      <c r="G98"/>
      <c r="H98" s="177" t="s">
        <v>885</v>
      </c>
      <c r="I98" t="s">
        <v>886</v>
      </c>
      <c r="J98" t="s">
        <v>87</v>
      </c>
      <c r="K98" s="176" t="s">
        <v>884</v>
      </c>
      <c r="L98"/>
      <c r="M98" s="58"/>
      <c r="N98" s="66" t="e">
        <f>IF(OR(AND(CodeFileListUsed="Yes",#REF!="",COUNTA(B98:B98,#REF!)&lt;&gt;0),AND(COUNTA(B98:B98,#REF!)&lt;&gt;0, COUNTA(B98:B98,#REF!)&lt;&gt;COUNTA(B$13:C$13,D$13:F$13))),CheckErr,CheckOK)</f>
        <v>#REF!</v>
      </c>
      <c r="O98" s="50" t="e">
        <f>IF(OR(ISBLANK(#REF!), AND(NOT(ISBLANK(#REF!)),OR(AND(#REF!="Accepted",OR(#REF!="Y",#REF!="y")),#REF!="Noted",#REF!="Duplicate",AND(#REF!="Rejected",NOT(ISBLANK(#REF!)))))),CheckOK,CheckErr)</f>
        <v>#REF!</v>
      </c>
      <c r="P98" s="50" t="str">
        <f>IF(OR(ISBLANK(#REF!),NOT(ISBLANK(#REF!))),CheckOK,CheckErr)</f>
        <v/>
      </c>
    </row>
    <row r="99" spans="1:16" ht="27" hidden="1">
      <c r="A99" s="57">
        <f t="shared" si="2"/>
        <v>86</v>
      </c>
      <c r="B99" s="68" t="s">
        <v>879</v>
      </c>
      <c r="C99" s="68" t="s">
        <v>842</v>
      </c>
      <c r="D99" s="68" t="s">
        <v>843</v>
      </c>
      <c r="E99" s="68" t="s">
        <v>844</v>
      </c>
      <c r="F99" s="152" t="s">
        <v>845</v>
      </c>
      <c r="G99"/>
      <c r="H99" s="177" t="s">
        <v>885</v>
      </c>
      <c r="I99" t="s">
        <v>889</v>
      </c>
      <c r="J99" t="s">
        <v>87</v>
      </c>
      <c r="K99" s="176" t="s">
        <v>884</v>
      </c>
      <c r="L99"/>
      <c r="M99" s="58"/>
      <c r="N99" s="66" t="e">
        <f>IF(OR(AND(CodeFileListUsed="Yes",#REF!="",COUNTA(B99:B99,#REF!)&lt;&gt;0),AND(COUNTA(B99:B99,#REF!)&lt;&gt;0, COUNTA(B99:B99,#REF!)&lt;&gt;COUNTA(B$13:C$13,D$13:F$13))),CheckErr,CheckOK)</f>
        <v>#REF!</v>
      </c>
      <c r="O99" s="50" t="e">
        <f>IF(OR(ISBLANK(#REF!), AND(NOT(ISBLANK(#REF!)),OR(AND(#REF!="Accepted",OR(#REF!="Y",#REF!="y")),#REF!="Noted",#REF!="Duplicate",AND(#REF!="Rejected",NOT(ISBLANK(#REF!)))))),CheckOK,CheckErr)</f>
        <v>#REF!</v>
      </c>
      <c r="P99" s="50" t="str">
        <f>IF(OR(ISBLANK(#REF!),NOT(ISBLANK(#REF!))),CheckOK,CheckErr)</f>
        <v/>
      </c>
    </row>
    <row r="100" spans="1:16" ht="40.5" hidden="1">
      <c r="A100" s="57">
        <f t="shared" si="2"/>
        <v>87</v>
      </c>
      <c r="B100" s="68" t="s">
        <v>879</v>
      </c>
      <c r="C100" s="68" t="s">
        <v>846</v>
      </c>
      <c r="D100" s="68">
        <v>7.1</v>
      </c>
      <c r="E100" s="68" t="s">
        <v>847</v>
      </c>
      <c r="F100" s="152" t="s">
        <v>848</v>
      </c>
      <c r="G100"/>
      <c r="H100" s="177" t="s">
        <v>885</v>
      </c>
      <c r="I100" s="3" t="s">
        <v>894</v>
      </c>
      <c r="J100" t="s">
        <v>86</v>
      </c>
      <c r="K100"/>
      <c r="L100"/>
      <c r="M100" s="58"/>
      <c r="N100" s="66" t="e">
        <f>IF(OR(AND(CodeFileListUsed="Yes",#REF!="",COUNTA(B100:B100,#REF!)&lt;&gt;0),AND(COUNTA(B100:B100,#REF!)&lt;&gt;0, COUNTA(B100:B100,#REF!)&lt;&gt;COUNTA(B$13:C$13,D$13:F$13))),CheckErr,CheckOK)</f>
        <v>#REF!</v>
      </c>
      <c r="O100" s="50" t="e">
        <f>IF(OR(ISBLANK(#REF!), AND(NOT(ISBLANK(#REF!)),OR(AND(#REF!="Accepted",OR(#REF!="Y",#REF!="y")),#REF!="Noted",#REF!="Duplicate",AND(#REF!="Rejected",NOT(ISBLANK(#REF!)))))),CheckOK,CheckErr)</f>
        <v>#REF!</v>
      </c>
      <c r="P100" s="50" t="str">
        <f>IF(OR(ISBLANK(#REF!),NOT(ISBLANK(#REF!))),CheckOK,CheckErr)</f>
        <v/>
      </c>
    </row>
    <row r="101" spans="1:16" hidden="1">
      <c r="A101" s="57">
        <f t="shared" si="2"/>
        <v>88</v>
      </c>
      <c r="B101" s="68" t="s">
        <v>879</v>
      </c>
      <c r="C101" s="68" t="s">
        <v>849</v>
      </c>
      <c r="D101" s="68">
        <v>7.1</v>
      </c>
      <c r="E101" s="68" t="s">
        <v>850</v>
      </c>
      <c r="F101" s="152" t="s">
        <v>851</v>
      </c>
      <c r="G101"/>
      <c r="H101" s="177" t="s">
        <v>885</v>
      </c>
      <c r="I101" t="s">
        <v>888</v>
      </c>
      <c r="J101" t="s">
        <v>87</v>
      </c>
      <c r="K101" s="176" t="s">
        <v>884</v>
      </c>
      <c r="L101"/>
      <c r="M101" s="58"/>
      <c r="N101" s="66" t="e">
        <f>IF(OR(AND(CodeFileListUsed="Yes",#REF!="",COUNTA(B101:B101,#REF!)&lt;&gt;0),AND(COUNTA(B101:B101,#REF!)&lt;&gt;0, COUNTA(B101:B101,#REF!)&lt;&gt;COUNTA(B$13:C$13,D$13:F$13))),CheckErr,CheckOK)</f>
        <v>#REF!</v>
      </c>
      <c r="O101" s="50" t="e">
        <f>IF(OR(ISBLANK(#REF!), AND(NOT(ISBLANK(#REF!)),OR(AND(#REF!="Accepted",OR(#REF!="Y",#REF!="y")),#REF!="Noted",#REF!="Duplicate",AND(#REF!="Rejected",NOT(ISBLANK(#REF!)))))),CheckOK,CheckErr)</f>
        <v>#REF!</v>
      </c>
      <c r="P101" s="50" t="str">
        <f>IF(OR(ISBLANK(#REF!),NOT(ISBLANK(#REF!))),CheckOK,CheckErr)</f>
        <v/>
      </c>
    </row>
    <row r="102" spans="1:16" ht="40.5" hidden="1">
      <c r="A102" s="57">
        <f t="shared" si="2"/>
        <v>89</v>
      </c>
      <c r="B102" s="68" t="s">
        <v>879</v>
      </c>
      <c r="C102" s="68" t="s">
        <v>852</v>
      </c>
      <c r="D102" s="68">
        <v>7.1</v>
      </c>
      <c r="E102" s="68" t="s">
        <v>853</v>
      </c>
      <c r="F102" s="152" t="s">
        <v>854</v>
      </c>
      <c r="G102"/>
      <c r="H102" s="177" t="s">
        <v>885</v>
      </c>
      <c r="I102" s="3" t="s">
        <v>893</v>
      </c>
      <c r="J102" t="s">
        <v>87</v>
      </c>
      <c r="K102" s="176" t="s">
        <v>884</v>
      </c>
      <c r="L102"/>
      <c r="M102" s="58"/>
      <c r="N102" s="66" t="e">
        <f>IF(OR(AND(CodeFileListUsed="Yes",#REF!="",COUNTA(B102:B102,#REF!)&lt;&gt;0),AND(COUNTA(B102:B102,#REF!)&lt;&gt;0, COUNTA(B102:B102,#REF!)&lt;&gt;COUNTA(B$13:C$13,D$13:F$13))),CheckErr,CheckOK)</f>
        <v>#REF!</v>
      </c>
      <c r="O102" s="50" t="e">
        <f>IF(OR(ISBLANK(#REF!), AND(NOT(ISBLANK(#REF!)),OR(AND(#REF!="Accepted",OR(#REF!="Y",#REF!="y")),#REF!="Noted",#REF!="Duplicate",AND(#REF!="Rejected",NOT(ISBLANK(#REF!)))))),CheckOK,CheckErr)</f>
        <v>#REF!</v>
      </c>
      <c r="P102" s="50" t="str">
        <f>IF(OR(ISBLANK(#REF!),NOT(ISBLANK(#REF!))),CheckOK,CheckErr)</f>
        <v/>
      </c>
    </row>
    <row r="103" spans="1:16" ht="27" hidden="1">
      <c r="A103" s="57">
        <f t="shared" si="2"/>
        <v>90</v>
      </c>
      <c r="B103" s="68" t="s">
        <v>879</v>
      </c>
      <c r="C103" s="68" t="s">
        <v>855</v>
      </c>
      <c r="D103" s="68" t="s">
        <v>856</v>
      </c>
      <c r="E103" s="68" t="s">
        <v>857</v>
      </c>
      <c r="F103" s="152" t="s">
        <v>858</v>
      </c>
      <c r="G103"/>
      <c r="H103" s="177" t="s">
        <v>885</v>
      </c>
      <c r="I103" s="91" t="s">
        <v>886</v>
      </c>
      <c r="J103" s="91" t="s">
        <v>87</v>
      </c>
      <c r="K103" s="178" t="s">
        <v>884</v>
      </c>
      <c r="L103"/>
      <c r="M103" s="58"/>
      <c r="N103" s="66" t="e">
        <f>IF(OR(AND(CodeFileListUsed="Yes",#REF!="",COUNTA(B103:B103,#REF!)&lt;&gt;0),AND(COUNTA(B103:B103,#REF!)&lt;&gt;0, COUNTA(B103:B103,#REF!)&lt;&gt;COUNTA(B$13:C$13,D$13:F$13))),CheckErr,CheckOK)</f>
        <v>#REF!</v>
      </c>
      <c r="O103" s="50" t="e">
        <f>IF(OR(ISBLANK(#REF!), AND(NOT(ISBLANK(#REF!)),OR(AND(#REF!="Accepted",OR(#REF!="Y",#REF!="y")),#REF!="Noted",#REF!="Duplicate",AND(#REF!="Rejected",NOT(ISBLANK(#REF!)))))),CheckOK,CheckErr)</f>
        <v>#REF!</v>
      </c>
      <c r="P103" s="50" t="str">
        <f>IF(OR(ISBLANK(#REF!),NOT(ISBLANK(#REF!))),CheckOK,CheckErr)</f>
        <v/>
      </c>
    </row>
    <row r="104" spans="1:16" ht="27" hidden="1">
      <c r="A104" s="57">
        <f t="shared" si="2"/>
        <v>91</v>
      </c>
      <c r="B104" s="68" t="s">
        <v>879</v>
      </c>
      <c r="C104" s="68" t="s">
        <v>859</v>
      </c>
      <c r="D104" s="68" t="s">
        <v>860</v>
      </c>
      <c r="E104" s="68" t="s">
        <v>861</v>
      </c>
      <c r="F104" s="152" t="s">
        <v>862</v>
      </c>
      <c r="G104"/>
      <c r="H104" s="177" t="s">
        <v>885</v>
      </c>
      <c r="I104" s="91" t="s">
        <v>888</v>
      </c>
      <c r="J104" t="s">
        <v>87</v>
      </c>
      <c r="K104" s="176" t="s">
        <v>884</v>
      </c>
      <c r="L104"/>
      <c r="M104" s="58"/>
      <c r="N104" s="66" t="e">
        <f>IF(OR(AND(CodeFileListUsed="Yes",#REF!="",COUNTA(B104:B104,#REF!)&lt;&gt;0),AND(COUNTA(B104:B104,#REF!)&lt;&gt;0, COUNTA(B104:B104,#REF!)&lt;&gt;COUNTA(B$13:C$13,D$13:F$13))),CheckErr,CheckOK)</f>
        <v>#REF!</v>
      </c>
      <c r="O104" s="50" t="e">
        <f>IF(OR(ISBLANK(#REF!), AND(NOT(ISBLANK(#REF!)),OR(AND(#REF!="Accepted",OR(#REF!="Y",#REF!="y")),#REF!="Noted",#REF!="Duplicate",AND(#REF!="Rejected",NOT(ISBLANK(#REF!)))))),CheckOK,CheckErr)</f>
        <v>#REF!</v>
      </c>
      <c r="P104" s="50" t="str">
        <f>IF(OR(ISBLANK(#REF!),NOT(ISBLANK(#REF!))),CheckOK,CheckErr)</f>
        <v/>
      </c>
    </row>
    <row r="105" spans="1:16" ht="81" hidden="1">
      <c r="A105" s="57">
        <f t="shared" si="2"/>
        <v>92</v>
      </c>
      <c r="B105" s="68" t="s">
        <v>879</v>
      </c>
      <c r="C105" s="68" t="s">
        <v>863</v>
      </c>
      <c r="D105" s="68" t="s">
        <v>864</v>
      </c>
      <c r="E105" s="68" t="s">
        <v>865</v>
      </c>
      <c r="F105" s="152" t="s">
        <v>866</v>
      </c>
      <c r="G105"/>
      <c r="H105"/>
      <c r="I105"/>
      <c r="J105"/>
      <c r="K105"/>
      <c r="L105"/>
      <c r="M105" s="58"/>
      <c r="N105" s="66" t="e">
        <f>IF(OR(AND(CodeFileListUsed="Yes",#REF!="",COUNTA(B105:B105,#REF!)&lt;&gt;0),AND(COUNTA(B105:B105,#REF!)&lt;&gt;0, COUNTA(B105:B105,#REF!)&lt;&gt;COUNTA(B$13:C$13,D$13:F$13))),CheckErr,CheckOK)</f>
        <v>#REF!</v>
      </c>
      <c r="O105" s="50" t="e">
        <f>IF(OR(ISBLANK(#REF!), AND(NOT(ISBLANK(#REF!)),OR(AND(#REF!="Accepted",OR(#REF!="Y",#REF!="y")),#REF!="Noted",#REF!="Duplicate",AND(#REF!="Rejected",NOT(ISBLANK(#REF!)))))),CheckOK,CheckErr)</f>
        <v>#REF!</v>
      </c>
      <c r="P105" s="50" t="str">
        <f>IF(OR(ISBLANK(#REF!),NOT(ISBLANK(#REF!))),CheckOK,CheckErr)</f>
        <v/>
      </c>
    </row>
    <row r="106" spans="1:16" ht="40.5" hidden="1">
      <c r="A106" s="57">
        <f t="shared" si="2"/>
        <v>93</v>
      </c>
      <c r="B106" s="68" t="s">
        <v>879</v>
      </c>
      <c r="C106" s="68" t="s">
        <v>867</v>
      </c>
      <c r="D106" s="68" t="s">
        <v>688</v>
      </c>
      <c r="E106" s="68" t="s">
        <v>705</v>
      </c>
      <c r="F106" s="152" t="s">
        <v>868</v>
      </c>
      <c r="G106"/>
      <c r="H106"/>
      <c r="I106"/>
      <c r="J106"/>
      <c r="K106"/>
      <c r="L106"/>
      <c r="M106" s="58"/>
      <c r="N106" s="66" t="e">
        <f>IF(OR(AND(CodeFileListUsed="Yes",#REF!="",COUNTA(B106:B106,#REF!)&lt;&gt;0),AND(COUNTA(B106:B106,#REF!)&lt;&gt;0, COUNTA(B106:B106,#REF!)&lt;&gt;COUNTA(B$13:C$13,D$13:F$13))),CheckErr,CheckOK)</f>
        <v>#REF!</v>
      </c>
      <c r="O106" s="50" t="e">
        <f>IF(OR(ISBLANK(#REF!), AND(NOT(ISBLANK(#REF!)),OR(AND(#REF!="Accepted",OR(#REF!="Y",#REF!="y")),#REF!="Noted",#REF!="Duplicate",AND(#REF!="Rejected",NOT(ISBLANK(#REF!)))))),CheckOK,CheckErr)</f>
        <v>#REF!</v>
      </c>
      <c r="P106" s="50" t="str">
        <f>IF(OR(ISBLANK(#REF!),NOT(ISBLANK(#REF!))),CheckOK,CheckErr)</f>
        <v/>
      </c>
    </row>
    <row r="107" spans="1:16" ht="27" hidden="1">
      <c r="A107" s="57">
        <f t="shared" si="2"/>
        <v>94</v>
      </c>
      <c r="B107" s="68" t="s">
        <v>880</v>
      </c>
      <c r="C107" s="68" t="s">
        <v>869</v>
      </c>
      <c r="D107" s="68" t="s">
        <v>870</v>
      </c>
      <c r="E107" s="68">
        <v>1</v>
      </c>
      <c r="F107" s="152" t="s">
        <v>871</v>
      </c>
      <c r="G107"/>
      <c r="H107" s="177" t="s">
        <v>885</v>
      </c>
      <c r="I107" s="4" t="s">
        <v>883</v>
      </c>
      <c r="J107" t="s">
        <v>87</v>
      </c>
      <c r="K107" s="176" t="s">
        <v>884</v>
      </c>
      <c r="L107"/>
      <c r="M107" s="58"/>
      <c r="N107" s="66" t="e">
        <f>IF(OR(AND(CodeFileListUsed="Yes",#REF!="",COUNTA(B107:B107,#REF!)&lt;&gt;0),AND(COUNTA(B107:B107,#REF!)&lt;&gt;0, COUNTA(B107:B107,#REF!)&lt;&gt;COUNTA(B$13:C$13,D$13:F$13))),CheckErr,CheckOK)</f>
        <v>#REF!</v>
      </c>
      <c r="O107" s="50" t="e">
        <f>IF(OR(ISBLANK(#REF!), AND(NOT(ISBLANK(#REF!)),OR(AND(#REF!="Accepted",OR(#REF!="Y",#REF!="y")),#REF!="Noted",#REF!="Duplicate",AND(#REF!="Rejected",NOT(ISBLANK(#REF!)))))),CheckOK,CheckErr)</f>
        <v>#REF!</v>
      </c>
      <c r="P107" s="50" t="str">
        <f>IF(OR(ISBLANK(#REF!),NOT(ISBLANK(#REF!))),CheckOK,CheckErr)</f>
        <v/>
      </c>
    </row>
    <row r="108" spans="1:16" hidden="1">
      <c r="A108" s="57">
        <f t="shared" si="2"/>
        <v>95</v>
      </c>
      <c r="B108" s="68"/>
      <c r="C108" s="68"/>
      <c r="D108" s="68"/>
      <c r="E108" s="68"/>
      <c r="F108" s="152"/>
      <c r="G108" s="67"/>
      <c r="H108" s="65"/>
      <c r="I108" s="152"/>
      <c r="J108" s="65"/>
      <c r="K108" s="65" t="s">
        <v>106</v>
      </c>
      <c r="L108" s="112"/>
      <c r="M108" s="58"/>
      <c r="N108" s="66" t="e">
        <f>IF(OR(AND(CodeFileListUsed="Yes",#REF!="",COUNTA(B108:C108,D108:F108)&lt;&gt;0),AND(COUNTA(B108:C108,D108:F108)&lt;&gt;0, COUNTA(B108:C108,D108:F108)&lt;&gt;COUNTA(B$13:C$13,D$13:F$13))),CheckErr,CheckOK)</f>
        <v>#REF!</v>
      </c>
      <c r="O108" s="50" t="str">
        <f t="shared" ref="O108:O141" si="3">IF(OR(ISBLANK(F108), AND(NOT(ISBLANK(H108)),OR(AND(J108="Accepted",OR(K108="Y",K108="y")),J108="Noted",J108="Duplicate",AND(J108="Rejected",NOT(ISBLANK(I108)))))),CheckOK,CheckErr)</f>
        <v/>
      </c>
      <c r="P108" s="50" t="str">
        <f t="shared" ref="P108:P141" si="4">IF(OR(ISBLANK(F108),NOT(ISBLANK(L108))),CheckOK,CheckErr)</f>
        <v/>
      </c>
    </row>
    <row r="109" spans="1:16" hidden="1">
      <c r="A109" s="57">
        <f t="shared" si="2"/>
        <v>96</v>
      </c>
      <c r="B109" s="68"/>
      <c r="C109" s="68"/>
      <c r="D109" s="68"/>
      <c r="E109" s="68"/>
      <c r="F109" s="68"/>
      <c r="G109" s="67"/>
      <c r="H109" s="65"/>
      <c r="I109" s="152"/>
      <c r="J109" s="65"/>
      <c r="K109" s="65" t="s">
        <v>106</v>
      </c>
      <c r="L109" s="112"/>
      <c r="M109" s="58"/>
      <c r="N109" s="66" t="e">
        <f>IF(OR(AND(CodeFileListUsed="Yes",#REF!="",COUNTA(B109:C109,D109:F109)&lt;&gt;0),AND(COUNTA(B109:C109,D109:F109)&lt;&gt;0, COUNTA(B109:C109,D109:F109)&lt;&gt;COUNTA(B$13:C$13,D$13:F$13))),CheckErr,CheckOK)</f>
        <v>#REF!</v>
      </c>
      <c r="O109" s="50" t="str">
        <f t="shared" si="3"/>
        <v/>
      </c>
      <c r="P109" s="50" t="str">
        <f t="shared" si="4"/>
        <v/>
      </c>
    </row>
    <row r="110" spans="1:16" hidden="1">
      <c r="A110" s="57">
        <f t="shared" si="2"/>
        <v>97</v>
      </c>
      <c r="B110" s="68"/>
      <c r="C110" s="68"/>
      <c r="D110" s="68"/>
      <c r="E110" s="68"/>
      <c r="F110" s="152"/>
      <c r="G110" s="67"/>
      <c r="H110" s="65"/>
      <c r="I110" s="152"/>
      <c r="J110" s="65"/>
      <c r="K110" s="65" t="s">
        <v>106</v>
      </c>
      <c r="L110" s="112"/>
      <c r="M110" s="58"/>
      <c r="N110" s="66" t="e">
        <f>IF(OR(AND(CodeFileListUsed="Yes",#REF!="",COUNTA(B110:C110,D110:F110)&lt;&gt;0),AND(COUNTA(B110:C110,D110:F110)&lt;&gt;0, COUNTA(B110:C110,D110:F110)&lt;&gt;COUNTA(B$13:C$13,D$13:F$13))),CheckErr,CheckOK)</f>
        <v>#REF!</v>
      </c>
      <c r="O110" s="50" t="str">
        <f t="shared" si="3"/>
        <v/>
      </c>
      <c r="P110" s="50" t="str">
        <f t="shared" si="4"/>
        <v/>
      </c>
    </row>
    <row r="111" spans="1:16" hidden="1">
      <c r="A111" s="57">
        <f t="shared" ref="A111:A142" si="5">A110+1</f>
        <v>98</v>
      </c>
      <c r="B111" s="68"/>
      <c r="C111" s="68"/>
      <c r="D111" s="68"/>
      <c r="E111" s="68"/>
      <c r="F111" s="152"/>
      <c r="G111" s="67"/>
      <c r="H111" s="65"/>
      <c r="I111" s="152"/>
      <c r="J111" s="65"/>
      <c r="K111" s="65" t="s">
        <v>106</v>
      </c>
      <c r="L111" s="112"/>
      <c r="M111" s="58"/>
      <c r="N111" s="66" t="e">
        <f>IF(OR(AND(CodeFileListUsed="Yes",#REF!="",COUNTA(B111:C111,D111:F111)&lt;&gt;0),AND(COUNTA(B111:C111,D111:F111)&lt;&gt;0, COUNTA(B111:C111,D111:F111)&lt;&gt;COUNTA(B$13:C$13,D$13:F$13))),CheckErr,CheckOK)</f>
        <v>#REF!</v>
      </c>
      <c r="O111" s="50" t="str">
        <f t="shared" si="3"/>
        <v/>
      </c>
      <c r="P111" s="50" t="str">
        <f t="shared" si="4"/>
        <v/>
      </c>
    </row>
    <row r="112" spans="1:16" hidden="1">
      <c r="A112" s="57">
        <f t="shared" si="5"/>
        <v>99</v>
      </c>
      <c r="B112" s="68"/>
      <c r="C112" s="68"/>
      <c r="D112" s="68"/>
      <c r="E112" s="68"/>
      <c r="F112" s="152"/>
      <c r="G112" s="67"/>
      <c r="H112" s="65"/>
      <c r="I112" s="152"/>
      <c r="J112" s="65"/>
      <c r="K112" s="65" t="s">
        <v>106</v>
      </c>
      <c r="L112" s="112"/>
      <c r="M112" s="58"/>
      <c r="N112" s="66" t="e">
        <f>IF(OR(AND(CodeFileListUsed="Yes",#REF!="",COUNTA(B112:C112,D112:F112)&lt;&gt;0),AND(COUNTA(B112:C112,D112:F112)&lt;&gt;0, COUNTA(B112:C112,D112:F112)&lt;&gt;COUNTA(B$13:C$13,D$13:F$13))),CheckErr,CheckOK)</f>
        <v>#REF!</v>
      </c>
      <c r="O112" s="50" t="str">
        <f t="shared" si="3"/>
        <v/>
      </c>
      <c r="P112" s="50" t="str">
        <f t="shared" si="4"/>
        <v/>
      </c>
    </row>
    <row r="113" spans="1:16" hidden="1">
      <c r="A113" s="57">
        <f t="shared" si="5"/>
        <v>100</v>
      </c>
      <c r="B113" s="68"/>
      <c r="C113" s="68"/>
      <c r="D113" s="68"/>
      <c r="E113" s="68"/>
      <c r="F113" s="152"/>
      <c r="G113" s="67"/>
      <c r="H113" s="65"/>
      <c r="I113" s="152"/>
      <c r="J113" s="65"/>
      <c r="K113" s="65" t="s">
        <v>106</v>
      </c>
      <c r="L113" s="112"/>
      <c r="M113" s="58"/>
      <c r="N113" s="66" t="e">
        <f>IF(OR(AND(CodeFileListUsed="Yes",#REF!="",COUNTA(B113:C113,D113:F113)&lt;&gt;0),AND(COUNTA(B113:C113,D113:F113)&lt;&gt;0, COUNTA(B113:C113,D113:F113)&lt;&gt;COUNTA(B$13:C$13,D$13:F$13))),CheckErr,CheckOK)</f>
        <v>#REF!</v>
      </c>
      <c r="O113" s="50" t="str">
        <f t="shared" si="3"/>
        <v/>
      </c>
      <c r="P113" s="50" t="str">
        <f t="shared" si="4"/>
        <v/>
      </c>
    </row>
    <row r="114" spans="1:16" hidden="1">
      <c r="A114" s="57">
        <f t="shared" si="5"/>
        <v>101</v>
      </c>
      <c r="B114" s="68"/>
      <c r="C114" s="68"/>
      <c r="D114" s="68"/>
      <c r="E114" s="68"/>
      <c r="F114" s="152"/>
      <c r="G114" s="67"/>
      <c r="H114" s="65"/>
      <c r="I114" s="152"/>
      <c r="J114" s="65"/>
      <c r="K114" s="65" t="s">
        <v>106</v>
      </c>
      <c r="L114" s="112"/>
      <c r="M114" s="58"/>
      <c r="N114" s="66" t="e">
        <f>IF(OR(AND(CodeFileListUsed="Yes",#REF!="",COUNTA(B114:C114,D114:F114)&lt;&gt;0),AND(COUNTA(B114:C114,D114:F114)&lt;&gt;0, COUNTA(B114:C114,D114:F114)&lt;&gt;COUNTA(B$13:C$13,D$13:F$13))),CheckErr,CheckOK)</f>
        <v>#REF!</v>
      </c>
      <c r="O114" s="50" t="str">
        <f t="shared" si="3"/>
        <v/>
      </c>
      <c r="P114" s="50" t="str">
        <f t="shared" si="4"/>
        <v/>
      </c>
    </row>
    <row r="115" spans="1:16" hidden="1">
      <c r="A115" s="57">
        <f t="shared" si="5"/>
        <v>102</v>
      </c>
      <c r="B115" s="68"/>
      <c r="C115" s="68"/>
      <c r="D115" s="68"/>
      <c r="E115" s="68"/>
      <c r="F115" s="152"/>
      <c r="G115" s="67"/>
      <c r="H115" s="65"/>
      <c r="I115" s="152"/>
      <c r="J115" s="65"/>
      <c r="K115" s="65" t="s">
        <v>106</v>
      </c>
      <c r="L115" s="112"/>
      <c r="M115" s="58"/>
      <c r="N115" s="66" t="e">
        <f>IF(OR(AND(CodeFileListUsed="Yes",#REF!="",COUNTA(B115:C115,D115:F115)&lt;&gt;0),AND(COUNTA(B115:C115,D115:F115)&lt;&gt;0, COUNTA(B115:C115,D115:F115)&lt;&gt;COUNTA(B$13:C$13,D$13:F$13))),CheckErr,CheckOK)</f>
        <v>#REF!</v>
      </c>
      <c r="O115" s="50" t="str">
        <f t="shared" si="3"/>
        <v/>
      </c>
      <c r="P115" s="50" t="str">
        <f t="shared" si="4"/>
        <v/>
      </c>
    </row>
    <row r="116" spans="1:16" hidden="1">
      <c r="A116" s="57">
        <f t="shared" si="5"/>
        <v>103</v>
      </c>
      <c r="B116" s="68"/>
      <c r="C116" s="68"/>
      <c r="D116" s="68"/>
      <c r="E116" s="68"/>
      <c r="F116" s="152"/>
      <c r="G116" s="67"/>
      <c r="H116" s="65"/>
      <c r="I116" s="152"/>
      <c r="J116" s="65"/>
      <c r="K116" s="65" t="s">
        <v>106</v>
      </c>
      <c r="L116" s="112"/>
      <c r="M116" s="58"/>
      <c r="N116" s="66" t="e">
        <f>IF(OR(AND(CodeFileListUsed="Yes",#REF!="",COUNTA(B116:C116,D116:F116)&lt;&gt;0),AND(COUNTA(B116:C116,D116:F116)&lt;&gt;0, COUNTA(B116:C116,D116:F116)&lt;&gt;COUNTA(B$13:C$13,D$13:F$13))),CheckErr,CheckOK)</f>
        <v>#REF!</v>
      </c>
      <c r="O116" s="50" t="str">
        <f t="shared" si="3"/>
        <v/>
      </c>
      <c r="P116" s="50" t="str">
        <f t="shared" si="4"/>
        <v/>
      </c>
    </row>
    <row r="117" spans="1:16" hidden="1">
      <c r="A117" s="57">
        <f t="shared" si="5"/>
        <v>104</v>
      </c>
      <c r="B117" s="68"/>
      <c r="C117" s="68"/>
      <c r="D117" s="68"/>
      <c r="E117" s="68"/>
      <c r="F117" s="152"/>
      <c r="G117" s="67"/>
      <c r="H117" s="65"/>
      <c r="I117" s="152"/>
      <c r="J117" s="65"/>
      <c r="K117" s="65" t="s">
        <v>106</v>
      </c>
      <c r="L117" s="112"/>
      <c r="M117" s="58"/>
      <c r="N117" s="66" t="e">
        <f>IF(OR(AND(CodeFileListUsed="Yes",#REF!="",COUNTA(B117:C117,D117:F117)&lt;&gt;0),AND(COUNTA(B117:C117,D117:F117)&lt;&gt;0, COUNTA(B117:C117,D117:F117)&lt;&gt;COUNTA(B$13:C$13,D$13:F$13))),CheckErr,CheckOK)</f>
        <v>#REF!</v>
      </c>
      <c r="O117" s="50" t="str">
        <f t="shared" si="3"/>
        <v/>
      </c>
      <c r="P117" s="50" t="str">
        <f t="shared" si="4"/>
        <v/>
      </c>
    </row>
    <row r="118" spans="1:16" hidden="1">
      <c r="A118" s="57">
        <f t="shared" si="5"/>
        <v>105</v>
      </c>
      <c r="B118" s="68"/>
      <c r="C118" s="68"/>
      <c r="D118" s="68"/>
      <c r="E118" s="68"/>
      <c r="F118" s="152"/>
      <c r="G118" s="67"/>
      <c r="H118" s="65"/>
      <c r="I118" s="152"/>
      <c r="J118" s="65"/>
      <c r="K118" s="65" t="s">
        <v>106</v>
      </c>
      <c r="L118" s="112"/>
      <c r="M118" s="58"/>
      <c r="N118" s="66" t="e">
        <f>IF(OR(AND(CodeFileListUsed="Yes",#REF!="",COUNTA(B118:C118,D118:F118)&lt;&gt;0),AND(COUNTA(B118:C118,D118:F118)&lt;&gt;0, COUNTA(B118:C118,D118:F118)&lt;&gt;COUNTA(B$13:C$13,D$13:F$13))),CheckErr,CheckOK)</f>
        <v>#REF!</v>
      </c>
      <c r="O118" s="50" t="str">
        <f t="shared" si="3"/>
        <v/>
      </c>
      <c r="P118" s="50" t="str">
        <f t="shared" si="4"/>
        <v/>
      </c>
    </row>
    <row r="119" spans="1:16" hidden="1">
      <c r="A119" s="57">
        <f t="shared" si="5"/>
        <v>106</v>
      </c>
      <c r="B119" s="68"/>
      <c r="C119" s="68"/>
      <c r="D119" s="68"/>
      <c r="E119" s="68"/>
      <c r="F119" s="152"/>
      <c r="G119" s="67"/>
      <c r="H119" s="65"/>
      <c r="I119" s="152"/>
      <c r="J119" s="65"/>
      <c r="K119" s="65" t="s">
        <v>106</v>
      </c>
      <c r="L119" s="112"/>
      <c r="M119" s="58"/>
      <c r="N119" s="66" t="e">
        <f>IF(OR(AND(CodeFileListUsed="Yes",#REF!="",COUNTA(B119:C119,D119:F119)&lt;&gt;0),AND(COUNTA(B119:C119,D119:F119)&lt;&gt;0, COUNTA(B119:C119,D119:F119)&lt;&gt;COUNTA(B$13:C$13,D$13:F$13))),CheckErr,CheckOK)</f>
        <v>#REF!</v>
      </c>
      <c r="O119" s="50" t="str">
        <f t="shared" si="3"/>
        <v/>
      </c>
      <c r="P119" s="50" t="str">
        <f t="shared" si="4"/>
        <v/>
      </c>
    </row>
    <row r="120" spans="1:16" hidden="1">
      <c r="A120" s="57">
        <f t="shared" si="5"/>
        <v>107</v>
      </c>
      <c r="B120" s="68"/>
      <c r="C120" s="68"/>
      <c r="D120" s="68"/>
      <c r="E120" s="68"/>
      <c r="F120" s="152"/>
      <c r="G120" s="67"/>
      <c r="H120" s="65"/>
      <c r="I120" s="152"/>
      <c r="J120" s="65"/>
      <c r="K120" s="65" t="s">
        <v>106</v>
      </c>
      <c r="L120" s="112"/>
      <c r="M120" s="58"/>
      <c r="N120" s="66" t="e">
        <f>IF(OR(AND(CodeFileListUsed="Yes",#REF!="",COUNTA(B120:C120,D120:F120)&lt;&gt;0),AND(COUNTA(B120:C120,D120:F120)&lt;&gt;0, COUNTA(B120:C120,D120:F120)&lt;&gt;COUNTA(B$13:C$13,D$13:F$13))),CheckErr,CheckOK)</f>
        <v>#REF!</v>
      </c>
      <c r="O120" s="50" t="str">
        <f t="shared" si="3"/>
        <v/>
      </c>
      <c r="P120" s="50" t="str">
        <f t="shared" si="4"/>
        <v/>
      </c>
    </row>
    <row r="121" spans="1:16" hidden="1">
      <c r="A121" s="57">
        <f t="shared" si="5"/>
        <v>108</v>
      </c>
      <c r="B121" s="68"/>
      <c r="C121" s="68"/>
      <c r="D121" s="68"/>
      <c r="E121" s="68"/>
      <c r="F121" s="152"/>
      <c r="G121" s="67"/>
      <c r="H121" s="65"/>
      <c r="I121" s="152"/>
      <c r="J121" s="65"/>
      <c r="K121" s="65" t="s">
        <v>106</v>
      </c>
      <c r="L121" s="112"/>
      <c r="M121" s="58"/>
      <c r="N121" s="66" t="e">
        <f>IF(OR(AND(CodeFileListUsed="Yes",#REF!="",COUNTA(B121:C121,D121:F121)&lt;&gt;0),AND(COUNTA(B121:C121,D121:F121)&lt;&gt;0, COUNTA(B121:C121,D121:F121)&lt;&gt;COUNTA(B$13:C$13,D$13:F$13))),CheckErr,CheckOK)</f>
        <v>#REF!</v>
      </c>
      <c r="O121" s="50" t="str">
        <f t="shared" si="3"/>
        <v/>
      </c>
      <c r="P121" s="50" t="str">
        <f t="shared" si="4"/>
        <v/>
      </c>
    </row>
    <row r="122" spans="1:16" hidden="1">
      <c r="A122" s="57">
        <f t="shared" si="5"/>
        <v>109</v>
      </c>
      <c r="B122" s="68"/>
      <c r="C122" s="68"/>
      <c r="D122" s="68"/>
      <c r="E122" s="68"/>
      <c r="F122" s="152"/>
      <c r="G122" s="67"/>
      <c r="H122" s="65"/>
      <c r="I122" s="152"/>
      <c r="J122" s="65"/>
      <c r="K122" s="65" t="s">
        <v>106</v>
      </c>
      <c r="L122" s="112"/>
      <c r="M122" s="58"/>
      <c r="N122" s="66" t="e">
        <f>IF(OR(AND(CodeFileListUsed="Yes",#REF!="",COUNTA(B122:C122,D122:F122)&lt;&gt;0),AND(COUNTA(B122:C122,D122:F122)&lt;&gt;0, COUNTA(B122:C122,D122:F122)&lt;&gt;COUNTA(B$13:C$13,D$13:F$13))),CheckErr,CheckOK)</f>
        <v>#REF!</v>
      </c>
      <c r="O122" s="50" t="str">
        <f t="shared" si="3"/>
        <v/>
      </c>
      <c r="P122" s="50" t="str">
        <f t="shared" si="4"/>
        <v/>
      </c>
    </row>
    <row r="123" spans="1:16" hidden="1">
      <c r="A123" s="57">
        <f t="shared" si="5"/>
        <v>110</v>
      </c>
      <c r="B123" s="68"/>
      <c r="C123" s="68"/>
      <c r="D123" s="68"/>
      <c r="E123" s="68"/>
      <c r="F123" s="152"/>
      <c r="G123" s="67"/>
      <c r="H123" s="65"/>
      <c r="I123" s="152"/>
      <c r="J123" s="65"/>
      <c r="K123" s="65" t="s">
        <v>106</v>
      </c>
      <c r="L123" s="112"/>
      <c r="M123" s="58"/>
      <c r="N123" s="66" t="e">
        <f>IF(OR(AND(CodeFileListUsed="Yes",#REF!="",COUNTA(B123:C123,D123:F123)&lt;&gt;0),AND(COUNTA(B123:C123,D123:F123)&lt;&gt;0, COUNTA(B123:C123,D123:F123)&lt;&gt;COUNTA(B$13:C$13,D$13:F$13))),CheckErr,CheckOK)</f>
        <v>#REF!</v>
      </c>
      <c r="O123" s="50" t="str">
        <f t="shared" si="3"/>
        <v/>
      </c>
      <c r="P123" s="50" t="str">
        <f t="shared" si="4"/>
        <v/>
      </c>
    </row>
    <row r="124" spans="1:16" hidden="1">
      <c r="A124" s="57">
        <f t="shared" si="5"/>
        <v>111</v>
      </c>
      <c r="B124" s="68"/>
      <c r="C124" s="68"/>
      <c r="D124" s="68"/>
      <c r="E124" s="68"/>
      <c r="F124" s="152"/>
      <c r="G124" s="67"/>
      <c r="H124" s="65"/>
      <c r="I124" s="152"/>
      <c r="J124" s="65"/>
      <c r="K124" s="65" t="s">
        <v>106</v>
      </c>
      <c r="L124" s="112"/>
      <c r="M124" s="58"/>
      <c r="N124" s="66" t="e">
        <f>IF(OR(AND(CodeFileListUsed="Yes",#REF!="",COUNTA(B124:C124,D124:F124)&lt;&gt;0),AND(COUNTA(B124:C124,D124:F124)&lt;&gt;0, COUNTA(B124:C124,D124:F124)&lt;&gt;COUNTA(B$13:C$13,D$13:F$13))),CheckErr,CheckOK)</f>
        <v>#REF!</v>
      </c>
      <c r="O124" s="50" t="str">
        <f t="shared" si="3"/>
        <v/>
      </c>
      <c r="P124" s="50" t="str">
        <f t="shared" si="4"/>
        <v/>
      </c>
    </row>
    <row r="125" spans="1:16" hidden="1">
      <c r="A125" s="57">
        <f t="shared" si="5"/>
        <v>112</v>
      </c>
      <c r="B125" s="68"/>
      <c r="C125" s="68"/>
      <c r="D125" s="68"/>
      <c r="E125" s="68"/>
      <c r="F125" s="152"/>
      <c r="G125" s="67"/>
      <c r="H125" s="65"/>
      <c r="I125" s="152"/>
      <c r="J125" s="65"/>
      <c r="K125" s="65" t="s">
        <v>106</v>
      </c>
      <c r="L125" s="112"/>
      <c r="M125" s="58"/>
      <c r="N125" s="66" t="e">
        <f>IF(OR(AND(CodeFileListUsed="Yes",#REF!="",COUNTA(B125:C125,D125:F125)&lt;&gt;0),AND(COUNTA(B125:C125,D125:F125)&lt;&gt;0, COUNTA(B125:C125,D125:F125)&lt;&gt;COUNTA(B$13:C$13,D$13:F$13))),CheckErr,CheckOK)</f>
        <v>#REF!</v>
      </c>
      <c r="O125" s="50" t="str">
        <f t="shared" si="3"/>
        <v/>
      </c>
      <c r="P125" s="50" t="str">
        <f t="shared" si="4"/>
        <v/>
      </c>
    </row>
    <row r="126" spans="1:16" hidden="1">
      <c r="A126" s="57">
        <f t="shared" si="5"/>
        <v>113</v>
      </c>
      <c r="B126" s="68"/>
      <c r="C126" s="68"/>
      <c r="D126" s="68"/>
      <c r="E126" s="68"/>
      <c r="F126" s="152"/>
      <c r="G126" s="67"/>
      <c r="H126" s="65"/>
      <c r="I126" s="152"/>
      <c r="J126" s="65"/>
      <c r="K126" s="65" t="s">
        <v>106</v>
      </c>
      <c r="L126" s="112"/>
      <c r="M126" s="58"/>
      <c r="N126" s="66" t="e">
        <f>IF(OR(AND(CodeFileListUsed="Yes",#REF!="",COUNTA(B126:C126,D126:F126)&lt;&gt;0),AND(COUNTA(B126:C126,D126:F126)&lt;&gt;0, COUNTA(B126:C126,D126:F126)&lt;&gt;COUNTA(B$13:C$13,D$13:F$13))),CheckErr,CheckOK)</f>
        <v>#REF!</v>
      </c>
      <c r="O126" s="50" t="str">
        <f t="shared" si="3"/>
        <v/>
      </c>
      <c r="P126" s="50" t="str">
        <f t="shared" si="4"/>
        <v/>
      </c>
    </row>
    <row r="127" spans="1:16" hidden="1">
      <c r="A127" s="57">
        <f t="shared" si="5"/>
        <v>114</v>
      </c>
      <c r="B127" s="68"/>
      <c r="C127" s="68"/>
      <c r="D127" s="68"/>
      <c r="E127" s="68"/>
      <c r="F127" s="152"/>
      <c r="G127" s="67"/>
      <c r="H127" s="65"/>
      <c r="I127" s="152"/>
      <c r="J127" s="65"/>
      <c r="K127" s="65" t="s">
        <v>106</v>
      </c>
      <c r="L127" s="112"/>
      <c r="M127" s="58"/>
      <c r="N127" s="66" t="e">
        <f>IF(OR(AND(CodeFileListUsed="Yes",#REF!="",COUNTA(B127:C127,D127:F127)&lt;&gt;0),AND(COUNTA(B127:C127,D127:F127)&lt;&gt;0, COUNTA(B127:C127,D127:F127)&lt;&gt;COUNTA(B$13:C$13,D$13:F$13))),CheckErr,CheckOK)</f>
        <v>#REF!</v>
      </c>
      <c r="O127" s="50" t="str">
        <f t="shared" si="3"/>
        <v/>
      </c>
      <c r="P127" s="50" t="str">
        <f t="shared" si="4"/>
        <v/>
      </c>
    </row>
    <row r="128" spans="1:16" hidden="1">
      <c r="A128" s="57">
        <f t="shared" si="5"/>
        <v>115</v>
      </c>
      <c r="B128" s="68"/>
      <c r="C128" s="68"/>
      <c r="D128" s="68"/>
      <c r="E128" s="68"/>
      <c r="F128" s="152"/>
      <c r="G128" s="67"/>
      <c r="H128" s="65"/>
      <c r="I128" s="152"/>
      <c r="J128" s="65"/>
      <c r="K128" s="65" t="s">
        <v>106</v>
      </c>
      <c r="L128" s="112"/>
      <c r="M128" s="58"/>
      <c r="N128" s="66" t="e">
        <f>IF(OR(AND(CodeFileListUsed="Yes",#REF!="",COUNTA(B128:C128,D128:F128)&lt;&gt;0),AND(COUNTA(B128:C128,D128:F128)&lt;&gt;0, COUNTA(B128:C128,D128:F128)&lt;&gt;COUNTA(B$13:C$13,D$13:F$13))),CheckErr,CheckOK)</f>
        <v>#REF!</v>
      </c>
      <c r="O128" s="50" t="str">
        <f t="shared" si="3"/>
        <v/>
      </c>
      <c r="P128" s="50" t="str">
        <f t="shared" si="4"/>
        <v/>
      </c>
    </row>
    <row r="129" spans="1:16" hidden="1">
      <c r="A129" s="57">
        <f t="shared" si="5"/>
        <v>116</v>
      </c>
      <c r="B129" s="68"/>
      <c r="C129" s="68"/>
      <c r="D129" s="68"/>
      <c r="E129" s="68"/>
      <c r="F129" s="152"/>
      <c r="G129" s="67"/>
      <c r="H129" s="65"/>
      <c r="I129" s="152"/>
      <c r="J129" s="65"/>
      <c r="K129" s="65" t="s">
        <v>106</v>
      </c>
      <c r="L129" s="112"/>
      <c r="M129" s="58"/>
      <c r="N129" s="66" t="e">
        <f>IF(OR(AND(CodeFileListUsed="Yes",#REF!="",COUNTA(B129:C129,D129:F129)&lt;&gt;0),AND(COUNTA(B129:C129,D129:F129)&lt;&gt;0, COUNTA(B129:C129,D129:F129)&lt;&gt;COUNTA(B$13:C$13,D$13:F$13))),CheckErr,CheckOK)</f>
        <v>#REF!</v>
      </c>
      <c r="O129" s="50" t="str">
        <f t="shared" si="3"/>
        <v/>
      </c>
      <c r="P129" s="50" t="str">
        <f t="shared" si="4"/>
        <v/>
      </c>
    </row>
    <row r="130" spans="1:16" hidden="1">
      <c r="A130" s="57">
        <f t="shared" si="5"/>
        <v>117</v>
      </c>
      <c r="B130" s="68"/>
      <c r="C130" s="68"/>
      <c r="D130" s="68"/>
      <c r="E130" s="68"/>
      <c r="F130" s="152"/>
      <c r="G130" s="67"/>
      <c r="H130" s="65"/>
      <c r="I130" s="152"/>
      <c r="J130" s="65"/>
      <c r="K130" s="65" t="s">
        <v>106</v>
      </c>
      <c r="L130" s="112"/>
      <c r="M130" s="58"/>
      <c r="N130" s="66" t="e">
        <f>IF(OR(AND(CodeFileListUsed="Yes",#REF!="",COUNTA(B130:C130,D130:F130)&lt;&gt;0),AND(COUNTA(B130:C130,D130:F130)&lt;&gt;0, COUNTA(B130:C130,D130:F130)&lt;&gt;COUNTA(B$13:C$13,D$13:F$13))),CheckErr,CheckOK)</f>
        <v>#REF!</v>
      </c>
      <c r="O130" s="50" t="str">
        <f t="shared" si="3"/>
        <v/>
      </c>
      <c r="P130" s="50" t="str">
        <f t="shared" si="4"/>
        <v/>
      </c>
    </row>
    <row r="131" spans="1:16" hidden="1">
      <c r="A131" s="57">
        <f t="shared" si="5"/>
        <v>118</v>
      </c>
      <c r="B131" s="68"/>
      <c r="C131" s="68"/>
      <c r="D131" s="68"/>
      <c r="E131" s="68"/>
      <c r="F131" s="152"/>
      <c r="G131" s="67"/>
      <c r="H131" s="65"/>
      <c r="I131" s="152"/>
      <c r="J131" s="65"/>
      <c r="K131" s="65" t="s">
        <v>106</v>
      </c>
      <c r="L131" s="112"/>
      <c r="M131" s="58"/>
      <c r="N131" s="66" t="e">
        <f>IF(OR(AND(CodeFileListUsed="Yes",#REF!="",COUNTA(B131:C131,D131:F131)&lt;&gt;0),AND(COUNTA(B131:C131,D131:F131)&lt;&gt;0, COUNTA(B131:C131,D131:F131)&lt;&gt;COUNTA(B$13:C$13,D$13:F$13))),CheckErr,CheckOK)</f>
        <v>#REF!</v>
      </c>
      <c r="O131" s="50" t="str">
        <f t="shared" si="3"/>
        <v/>
      </c>
      <c r="P131" s="50" t="str">
        <f t="shared" si="4"/>
        <v/>
      </c>
    </row>
    <row r="132" spans="1:16" hidden="1">
      <c r="A132" s="57">
        <f t="shared" si="5"/>
        <v>119</v>
      </c>
      <c r="B132" s="68"/>
      <c r="C132" s="68"/>
      <c r="D132" s="68"/>
      <c r="E132" s="68"/>
      <c r="F132" s="152"/>
      <c r="G132" s="67"/>
      <c r="H132" s="65"/>
      <c r="I132" s="152"/>
      <c r="J132" s="65"/>
      <c r="K132" s="65" t="s">
        <v>106</v>
      </c>
      <c r="L132" s="112"/>
      <c r="M132" s="58"/>
      <c r="N132" s="66" t="e">
        <f>IF(OR(AND(CodeFileListUsed="Yes",#REF!="",COUNTA(B132:C132,D132:F132)&lt;&gt;0),AND(COUNTA(B132:C132,D132:F132)&lt;&gt;0, COUNTA(B132:C132,D132:F132)&lt;&gt;COUNTA(B$13:C$13,D$13:F$13))),CheckErr,CheckOK)</f>
        <v>#REF!</v>
      </c>
      <c r="O132" s="50" t="str">
        <f t="shared" si="3"/>
        <v/>
      </c>
      <c r="P132" s="50" t="str">
        <f t="shared" si="4"/>
        <v/>
      </c>
    </row>
    <row r="133" spans="1:16" hidden="1">
      <c r="A133" s="57">
        <f t="shared" si="5"/>
        <v>120</v>
      </c>
      <c r="B133" s="68"/>
      <c r="C133" s="68"/>
      <c r="D133" s="68"/>
      <c r="E133" s="68"/>
      <c r="F133" s="152"/>
      <c r="G133" s="67"/>
      <c r="H133" s="65"/>
      <c r="I133" s="152"/>
      <c r="J133" s="65"/>
      <c r="K133" s="65" t="s">
        <v>106</v>
      </c>
      <c r="L133" s="112"/>
      <c r="M133" s="58"/>
      <c r="N133" s="66" t="e">
        <f>IF(OR(AND(CodeFileListUsed="Yes",#REF!="",COUNTA(B133:C133,D133:F133)&lt;&gt;0),AND(COUNTA(B133:C133,D133:F133)&lt;&gt;0, COUNTA(B133:C133,D133:F133)&lt;&gt;COUNTA(B$13:C$13,D$13:F$13))),CheckErr,CheckOK)</f>
        <v>#REF!</v>
      </c>
      <c r="O133" s="50" t="str">
        <f t="shared" si="3"/>
        <v/>
      </c>
      <c r="P133" s="50" t="str">
        <f t="shared" si="4"/>
        <v/>
      </c>
    </row>
    <row r="134" spans="1:16" hidden="1">
      <c r="A134" s="57">
        <f t="shared" si="5"/>
        <v>121</v>
      </c>
      <c r="B134" s="68"/>
      <c r="C134" s="68"/>
      <c r="D134" s="68"/>
      <c r="E134" s="68"/>
      <c r="F134" s="152"/>
      <c r="G134" s="67"/>
      <c r="H134" s="65"/>
      <c r="I134" s="152"/>
      <c r="J134" s="65"/>
      <c r="K134" s="65" t="s">
        <v>106</v>
      </c>
      <c r="L134" s="112"/>
      <c r="M134" s="58"/>
      <c r="N134" s="66" t="e">
        <f>IF(OR(AND(CodeFileListUsed="Yes",#REF!="",COUNTA(B134:C134,D134:F134)&lt;&gt;0),AND(COUNTA(B134:C134,D134:F134)&lt;&gt;0, COUNTA(B134:C134,D134:F134)&lt;&gt;COUNTA(B$13:C$13,D$13:F$13))),CheckErr,CheckOK)</f>
        <v>#REF!</v>
      </c>
      <c r="O134" s="50" t="str">
        <f t="shared" si="3"/>
        <v/>
      </c>
      <c r="P134" s="50" t="str">
        <f t="shared" si="4"/>
        <v/>
      </c>
    </row>
    <row r="135" spans="1:16" hidden="1">
      <c r="A135" s="57">
        <f t="shared" si="5"/>
        <v>122</v>
      </c>
      <c r="B135" s="68"/>
      <c r="C135" s="68"/>
      <c r="D135" s="68"/>
      <c r="E135" s="68"/>
      <c r="F135" s="152"/>
      <c r="G135" s="67"/>
      <c r="H135" s="65"/>
      <c r="I135" s="152"/>
      <c r="J135" s="65"/>
      <c r="K135" s="65" t="s">
        <v>106</v>
      </c>
      <c r="L135" s="112"/>
      <c r="M135" s="58"/>
      <c r="N135" s="66" t="e">
        <f>IF(OR(AND(CodeFileListUsed="Yes",#REF!="",COUNTA(B135:C135,D135:F135)&lt;&gt;0),AND(COUNTA(B135:C135,D135:F135)&lt;&gt;0, COUNTA(B135:C135,D135:F135)&lt;&gt;COUNTA(B$13:C$13,D$13:F$13))),CheckErr,CheckOK)</f>
        <v>#REF!</v>
      </c>
      <c r="O135" s="50" t="str">
        <f t="shared" si="3"/>
        <v/>
      </c>
      <c r="P135" s="50" t="str">
        <f t="shared" si="4"/>
        <v/>
      </c>
    </row>
    <row r="136" spans="1:16" hidden="1">
      <c r="A136" s="57">
        <f t="shared" si="5"/>
        <v>123</v>
      </c>
      <c r="B136" s="68"/>
      <c r="C136" s="68"/>
      <c r="D136" s="68"/>
      <c r="E136" s="68"/>
      <c r="F136" s="152"/>
      <c r="G136" s="67"/>
      <c r="H136" s="65"/>
      <c r="I136" s="152"/>
      <c r="J136" s="65"/>
      <c r="K136" s="65" t="s">
        <v>106</v>
      </c>
      <c r="L136" s="112"/>
      <c r="M136" s="58"/>
      <c r="N136" s="66" t="e">
        <f>IF(OR(AND(CodeFileListUsed="Yes",#REF!="",COUNTA(B136:C136,D136:F136)&lt;&gt;0),AND(COUNTA(B136:C136,D136:F136)&lt;&gt;0, COUNTA(B136:C136,D136:F136)&lt;&gt;COUNTA(B$13:C$13,D$13:F$13))),CheckErr,CheckOK)</f>
        <v>#REF!</v>
      </c>
      <c r="O136" s="50" t="str">
        <f t="shared" si="3"/>
        <v/>
      </c>
      <c r="P136" s="50" t="str">
        <f t="shared" si="4"/>
        <v/>
      </c>
    </row>
    <row r="137" spans="1:16" hidden="1">
      <c r="A137" s="57">
        <f t="shared" si="5"/>
        <v>124</v>
      </c>
      <c r="B137" s="68"/>
      <c r="C137" s="68"/>
      <c r="D137" s="68"/>
      <c r="E137" s="68"/>
      <c r="F137" s="152"/>
      <c r="G137" s="67"/>
      <c r="H137" s="65"/>
      <c r="I137" s="152"/>
      <c r="J137" s="65"/>
      <c r="K137" s="65" t="s">
        <v>106</v>
      </c>
      <c r="L137" s="112"/>
      <c r="M137" s="58"/>
      <c r="N137" s="66" t="e">
        <f>IF(OR(AND(CodeFileListUsed="Yes",#REF!="",COUNTA(B137:C137,D137:F137)&lt;&gt;0),AND(COUNTA(B137:C137,D137:F137)&lt;&gt;0, COUNTA(B137:C137,D137:F137)&lt;&gt;COUNTA(B$13:C$13,D$13:F$13))),CheckErr,CheckOK)</f>
        <v>#REF!</v>
      </c>
      <c r="O137" s="50" t="str">
        <f t="shared" si="3"/>
        <v/>
      </c>
      <c r="P137" s="50" t="str">
        <f t="shared" si="4"/>
        <v/>
      </c>
    </row>
    <row r="138" spans="1:16" hidden="1">
      <c r="A138" s="57">
        <f t="shared" si="5"/>
        <v>125</v>
      </c>
      <c r="B138" s="68"/>
      <c r="C138" s="68"/>
      <c r="D138" s="68"/>
      <c r="E138" s="68"/>
      <c r="F138" s="152"/>
      <c r="G138" s="67"/>
      <c r="H138" s="65"/>
      <c r="I138" s="152"/>
      <c r="J138" s="65"/>
      <c r="K138" s="65" t="s">
        <v>106</v>
      </c>
      <c r="L138" s="112"/>
      <c r="M138" s="58"/>
      <c r="N138" s="66" t="e">
        <f>IF(OR(AND(CodeFileListUsed="Yes",#REF!="",COUNTA(B138:C138,D138:F138)&lt;&gt;0),AND(COUNTA(B138:C138,D138:F138)&lt;&gt;0, COUNTA(B138:C138,D138:F138)&lt;&gt;COUNTA(B$13:C$13,D$13:F$13))),CheckErr,CheckOK)</f>
        <v>#REF!</v>
      </c>
      <c r="O138" s="50" t="str">
        <f t="shared" si="3"/>
        <v/>
      </c>
      <c r="P138" s="50" t="str">
        <f t="shared" si="4"/>
        <v/>
      </c>
    </row>
    <row r="139" spans="1:16" hidden="1">
      <c r="A139" s="57">
        <f t="shared" si="5"/>
        <v>126</v>
      </c>
      <c r="B139" s="68"/>
      <c r="C139" s="68"/>
      <c r="D139" s="68"/>
      <c r="E139" s="68"/>
      <c r="F139" s="152"/>
      <c r="G139" s="67"/>
      <c r="H139" s="65"/>
      <c r="I139" s="152"/>
      <c r="J139" s="65"/>
      <c r="K139" s="65" t="s">
        <v>106</v>
      </c>
      <c r="L139" s="112"/>
      <c r="M139" s="58"/>
      <c r="N139" s="66" t="e">
        <f>IF(OR(AND(CodeFileListUsed="Yes",#REF!="",COUNTA(B139:C139,D139:F139)&lt;&gt;0),AND(COUNTA(B139:C139,D139:F139)&lt;&gt;0, COUNTA(B139:C139,D139:F139)&lt;&gt;COUNTA(B$13:C$13,D$13:F$13))),CheckErr,CheckOK)</f>
        <v>#REF!</v>
      </c>
      <c r="O139" s="50" t="str">
        <f t="shared" si="3"/>
        <v/>
      </c>
      <c r="P139" s="50" t="str">
        <f t="shared" si="4"/>
        <v/>
      </c>
    </row>
    <row r="140" spans="1:16" hidden="1">
      <c r="A140" s="57">
        <f t="shared" si="5"/>
        <v>127</v>
      </c>
      <c r="B140" s="68"/>
      <c r="C140" s="68"/>
      <c r="D140" s="68"/>
      <c r="E140" s="68"/>
      <c r="F140" s="152"/>
      <c r="G140" s="67"/>
      <c r="H140" s="65"/>
      <c r="I140" s="152"/>
      <c r="J140" s="65"/>
      <c r="K140" s="65" t="s">
        <v>106</v>
      </c>
      <c r="L140" s="112"/>
      <c r="M140" s="58"/>
      <c r="N140" s="66" t="e">
        <f>IF(OR(AND(CodeFileListUsed="Yes",#REF!="",COUNTA(B140:C140,D140:F140)&lt;&gt;0),AND(COUNTA(B140:C140,D140:F140)&lt;&gt;0, COUNTA(B140:C140,D140:F140)&lt;&gt;COUNTA(B$13:C$13,D$13:F$13))),CheckErr,CheckOK)</f>
        <v>#REF!</v>
      </c>
      <c r="O140" s="50" t="str">
        <f t="shared" si="3"/>
        <v/>
      </c>
      <c r="P140" s="50" t="str">
        <f t="shared" si="4"/>
        <v/>
      </c>
    </row>
    <row r="141" spans="1:16" hidden="1">
      <c r="A141" s="57">
        <f t="shared" si="5"/>
        <v>128</v>
      </c>
      <c r="B141" s="68"/>
      <c r="C141" s="68"/>
      <c r="D141" s="68"/>
      <c r="E141" s="68"/>
      <c r="F141" s="152"/>
      <c r="G141" s="67"/>
      <c r="H141" s="65"/>
      <c r="I141" s="152"/>
      <c r="J141" s="65"/>
      <c r="K141" s="65" t="s">
        <v>106</v>
      </c>
      <c r="L141" s="112"/>
      <c r="M141" s="58"/>
      <c r="N141" s="66" t="e">
        <f>IF(OR(AND(CodeFileListUsed="Yes",#REF!="",COUNTA(B141:C141,D141:F141)&lt;&gt;0),AND(COUNTA(B141:C141,D141:F141)&lt;&gt;0, COUNTA(B141:C141,D141:F141)&lt;&gt;COUNTA(B$13:C$13,D$13:F$13))),CheckErr,CheckOK)</f>
        <v>#REF!</v>
      </c>
      <c r="O141" s="50" t="str">
        <f t="shared" si="3"/>
        <v/>
      </c>
      <c r="P141" s="50" t="str">
        <f t="shared" si="4"/>
        <v/>
      </c>
    </row>
    <row r="142" spans="1:16" hidden="1">
      <c r="A142" s="57">
        <f t="shared" si="5"/>
        <v>129</v>
      </c>
      <c r="B142" s="68"/>
      <c r="C142" s="68"/>
      <c r="D142" s="68"/>
      <c r="E142" s="68"/>
      <c r="F142" s="152"/>
      <c r="G142" s="67"/>
      <c r="H142" s="65"/>
      <c r="I142" s="152"/>
      <c r="J142" s="65"/>
      <c r="K142" s="65" t="s">
        <v>106</v>
      </c>
      <c r="L142" s="112"/>
      <c r="M142" s="58"/>
      <c r="N142" s="66" t="e">
        <f>IF(OR(AND(CodeFileListUsed="Yes",#REF!="",COUNTA(B142:C142,D142:F142)&lt;&gt;0),AND(COUNTA(B142:C142,D142:F142)&lt;&gt;0, COUNTA(B142:C142,D142:F142)&lt;&gt;COUNTA(B$13:C$13,D$13:F$13))),CheckErr,CheckOK)</f>
        <v>#REF!</v>
      </c>
      <c r="O142" s="50" t="str">
        <f t="shared" ref="O142:O205" si="6">IF(OR(ISBLANK(F142), AND(NOT(ISBLANK(H142)),OR(AND(J142="Accepted",OR(K142="Y",K142="y")),J142="Noted",J142="Duplicate",AND(J142="Rejected",NOT(ISBLANK(I142)))))),CheckOK,CheckErr)</f>
        <v/>
      </c>
      <c r="P142" s="50" t="str">
        <f t="shared" ref="P142:P205" si="7">IF(OR(ISBLANK(F142),NOT(ISBLANK(L142))),CheckOK,CheckErr)</f>
        <v/>
      </c>
    </row>
    <row r="143" spans="1:16" hidden="1">
      <c r="A143" s="57">
        <f t="shared" ref="A143:A206" si="8">A142+1</f>
        <v>130</v>
      </c>
      <c r="B143" s="68"/>
      <c r="C143" s="68"/>
      <c r="D143" s="68"/>
      <c r="E143" s="68"/>
      <c r="F143" s="152"/>
      <c r="G143" s="67"/>
      <c r="H143" s="65"/>
      <c r="I143" s="152"/>
      <c r="J143" s="65"/>
      <c r="K143" s="65" t="s">
        <v>106</v>
      </c>
      <c r="L143" s="112"/>
      <c r="M143" s="58"/>
      <c r="N143" s="66" t="e">
        <f>IF(OR(AND(CodeFileListUsed="Yes",#REF!="",COUNTA(B143:C143,D143:F143)&lt;&gt;0),AND(COUNTA(B143:C143,D143:F143)&lt;&gt;0, COUNTA(B143:C143,D143:F143)&lt;&gt;COUNTA(B$13:C$13,D$13:F$13))),CheckErr,CheckOK)</f>
        <v>#REF!</v>
      </c>
      <c r="O143" s="50" t="str">
        <f t="shared" si="6"/>
        <v/>
      </c>
      <c r="P143" s="50" t="str">
        <f t="shared" si="7"/>
        <v/>
      </c>
    </row>
    <row r="144" spans="1:16" hidden="1">
      <c r="A144" s="57">
        <f t="shared" si="8"/>
        <v>131</v>
      </c>
      <c r="B144" s="68"/>
      <c r="C144" s="68"/>
      <c r="D144" s="68"/>
      <c r="E144" s="68"/>
      <c r="F144" s="152"/>
      <c r="G144" s="67"/>
      <c r="H144" s="65"/>
      <c r="I144" s="152"/>
      <c r="J144" s="65"/>
      <c r="K144" s="65" t="s">
        <v>106</v>
      </c>
      <c r="L144" s="112"/>
      <c r="M144" s="58"/>
      <c r="N144" s="66" t="e">
        <f>IF(OR(AND(CodeFileListUsed="Yes",#REF!="",COUNTA(B144:C144,D144:F144)&lt;&gt;0),AND(COUNTA(B144:C144,D144:F144)&lt;&gt;0, COUNTA(B144:C144,D144:F144)&lt;&gt;COUNTA(B$13:C$13,D$13:F$13))),CheckErr,CheckOK)</f>
        <v>#REF!</v>
      </c>
      <c r="O144" s="50" t="str">
        <f t="shared" si="6"/>
        <v/>
      </c>
      <c r="P144" s="50" t="str">
        <f t="shared" si="7"/>
        <v/>
      </c>
    </row>
    <row r="145" spans="1:16" hidden="1">
      <c r="A145" s="57">
        <f t="shared" si="8"/>
        <v>132</v>
      </c>
      <c r="B145" s="68"/>
      <c r="C145" s="68"/>
      <c r="D145" s="68"/>
      <c r="E145" s="68"/>
      <c r="F145" s="152"/>
      <c r="G145" s="67"/>
      <c r="H145" s="65"/>
      <c r="I145" s="152"/>
      <c r="J145" s="65"/>
      <c r="K145" s="65" t="s">
        <v>106</v>
      </c>
      <c r="L145" s="112"/>
      <c r="M145" s="58"/>
      <c r="N145" s="66" t="e">
        <f>IF(OR(AND(CodeFileListUsed="Yes",#REF!="",COUNTA(B145:C145,D145:F145)&lt;&gt;0),AND(COUNTA(B145:C145,D145:F145)&lt;&gt;0, COUNTA(B145:C145,D145:F145)&lt;&gt;COUNTA(B$13:C$13,D$13:F$13))),CheckErr,CheckOK)</f>
        <v>#REF!</v>
      </c>
      <c r="O145" s="50" t="str">
        <f t="shared" si="6"/>
        <v/>
      </c>
      <c r="P145" s="50" t="str">
        <f t="shared" si="7"/>
        <v/>
      </c>
    </row>
    <row r="146" spans="1:16" hidden="1">
      <c r="A146" s="57">
        <f t="shared" si="8"/>
        <v>133</v>
      </c>
      <c r="B146" s="68"/>
      <c r="C146" s="68"/>
      <c r="D146" s="68"/>
      <c r="E146" s="68"/>
      <c r="F146" s="152"/>
      <c r="G146" s="67"/>
      <c r="H146" s="65"/>
      <c r="I146" s="152"/>
      <c r="J146" s="65"/>
      <c r="K146" s="65" t="s">
        <v>106</v>
      </c>
      <c r="L146" s="112"/>
      <c r="M146" s="58"/>
      <c r="N146" s="66" t="e">
        <f>IF(OR(AND(CodeFileListUsed="Yes",#REF!="",COUNTA(B146:C146,D146:F146)&lt;&gt;0),AND(COUNTA(B146:C146,D146:F146)&lt;&gt;0, COUNTA(B146:C146,D146:F146)&lt;&gt;COUNTA(B$13:C$13,D$13:F$13))),CheckErr,CheckOK)</f>
        <v>#REF!</v>
      </c>
      <c r="O146" s="50" t="str">
        <f t="shared" si="6"/>
        <v/>
      </c>
      <c r="P146" s="50" t="str">
        <f t="shared" si="7"/>
        <v/>
      </c>
    </row>
    <row r="147" spans="1:16" hidden="1">
      <c r="A147" s="57">
        <f t="shared" si="8"/>
        <v>134</v>
      </c>
      <c r="B147" s="68"/>
      <c r="C147" s="68"/>
      <c r="D147" s="68"/>
      <c r="E147" s="68"/>
      <c r="F147" s="152"/>
      <c r="G147" s="67"/>
      <c r="H147" s="65"/>
      <c r="I147" s="152"/>
      <c r="J147" s="65"/>
      <c r="K147" s="65" t="s">
        <v>106</v>
      </c>
      <c r="L147" s="112"/>
      <c r="M147" s="58"/>
      <c r="N147" s="66" t="e">
        <f>IF(OR(AND(CodeFileListUsed="Yes",#REF!="",COUNTA(B147:C147,D147:F147)&lt;&gt;0),AND(COUNTA(B147:C147,D147:F147)&lt;&gt;0, COUNTA(B147:C147,D147:F147)&lt;&gt;COUNTA(B$13:C$13,D$13:F$13))),CheckErr,CheckOK)</f>
        <v>#REF!</v>
      </c>
      <c r="O147" s="50" t="str">
        <f t="shared" si="6"/>
        <v/>
      </c>
      <c r="P147" s="50" t="str">
        <f t="shared" si="7"/>
        <v/>
      </c>
    </row>
    <row r="148" spans="1:16" hidden="1">
      <c r="A148" s="57">
        <f t="shared" si="8"/>
        <v>135</v>
      </c>
      <c r="B148" s="68"/>
      <c r="C148" s="68"/>
      <c r="D148" s="68"/>
      <c r="E148" s="68"/>
      <c r="F148" s="152"/>
      <c r="G148" s="67"/>
      <c r="H148" s="65"/>
      <c r="I148" s="152"/>
      <c r="J148" s="65"/>
      <c r="K148" s="65" t="s">
        <v>106</v>
      </c>
      <c r="L148" s="112"/>
      <c r="M148" s="58"/>
      <c r="N148" s="66" t="e">
        <f>IF(OR(AND(CodeFileListUsed="Yes",#REF!="",COUNTA(B148:C148,D148:F148)&lt;&gt;0),AND(COUNTA(B148:C148,D148:F148)&lt;&gt;0, COUNTA(B148:C148,D148:F148)&lt;&gt;COUNTA(B$13:C$13,D$13:F$13))),CheckErr,CheckOK)</f>
        <v>#REF!</v>
      </c>
      <c r="O148" s="50" t="str">
        <f t="shared" si="6"/>
        <v/>
      </c>
      <c r="P148" s="50" t="str">
        <f t="shared" si="7"/>
        <v/>
      </c>
    </row>
    <row r="149" spans="1:16" hidden="1">
      <c r="A149" s="57">
        <f t="shared" si="8"/>
        <v>136</v>
      </c>
      <c r="B149" s="68"/>
      <c r="C149" s="68"/>
      <c r="D149" s="68"/>
      <c r="E149" s="68"/>
      <c r="F149" s="152"/>
      <c r="G149" s="67"/>
      <c r="H149" s="65"/>
      <c r="I149" s="152"/>
      <c r="J149" s="65"/>
      <c r="K149" s="65" t="s">
        <v>106</v>
      </c>
      <c r="L149" s="112"/>
      <c r="M149" s="58"/>
      <c r="N149" s="66" t="e">
        <f>IF(OR(AND(CodeFileListUsed="Yes",#REF!="",COUNTA(B149:C149,D149:F149)&lt;&gt;0),AND(COUNTA(B149:C149,D149:F149)&lt;&gt;0, COUNTA(B149:C149,D149:F149)&lt;&gt;COUNTA(B$13:C$13,D$13:F$13))),CheckErr,CheckOK)</f>
        <v>#REF!</v>
      </c>
      <c r="O149" s="50" t="str">
        <f t="shared" si="6"/>
        <v/>
      </c>
      <c r="P149" s="50" t="str">
        <f t="shared" si="7"/>
        <v/>
      </c>
    </row>
    <row r="150" spans="1:16" hidden="1">
      <c r="A150" s="57">
        <f t="shared" si="8"/>
        <v>137</v>
      </c>
      <c r="B150" s="68"/>
      <c r="C150" s="68"/>
      <c r="D150" s="68"/>
      <c r="E150" s="68"/>
      <c r="F150" s="152"/>
      <c r="G150" s="67"/>
      <c r="H150" s="65"/>
      <c r="I150" s="152"/>
      <c r="J150" s="65"/>
      <c r="K150" s="65" t="s">
        <v>106</v>
      </c>
      <c r="L150" s="112"/>
      <c r="M150" s="58"/>
      <c r="N150" s="66" t="e">
        <f>IF(OR(AND(CodeFileListUsed="Yes",#REF!="",COUNTA(B150:C150,D150:F150)&lt;&gt;0),AND(COUNTA(B150:C150,D150:F150)&lt;&gt;0, COUNTA(B150:C150,D150:F150)&lt;&gt;COUNTA(B$13:C$13,D$13:F$13))),CheckErr,CheckOK)</f>
        <v>#REF!</v>
      </c>
      <c r="O150" s="50" t="str">
        <f t="shared" si="6"/>
        <v/>
      </c>
      <c r="P150" s="50" t="str">
        <f t="shared" si="7"/>
        <v/>
      </c>
    </row>
    <row r="151" spans="1:16" hidden="1">
      <c r="A151" s="57">
        <f t="shared" si="8"/>
        <v>138</v>
      </c>
      <c r="B151" s="68"/>
      <c r="C151" s="68"/>
      <c r="D151" s="68"/>
      <c r="E151" s="68"/>
      <c r="F151" s="152"/>
      <c r="G151" s="67"/>
      <c r="H151" s="65"/>
      <c r="I151" s="152"/>
      <c r="J151" s="65"/>
      <c r="K151" s="65" t="s">
        <v>106</v>
      </c>
      <c r="L151" s="112"/>
      <c r="M151" s="58"/>
      <c r="N151" s="66" t="e">
        <f>IF(OR(AND(CodeFileListUsed="Yes",#REF!="",COUNTA(B151:C151,D151:F151)&lt;&gt;0),AND(COUNTA(B151:C151,D151:F151)&lt;&gt;0, COUNTA(B151:C151,D151:F151)&lt;&gt;COUNTA(B$13:C$13,D$13:F$13))),CheckErr,CheckOK)</f>
        <v>#REF!</v>
      </c>
      <c r="O151" s="50" t="str">
        <f t="shared" si="6"/>
        <v/>
      </c>
      <c r="P151" s="50" t="str">
        <f t="shared" si="7"/>
        <v/>
      </c>
    </row>
    <row r="152" spans="1:16" hidden="1">
      <c r="A152" s="57">
        <f t="shared" si="8"/>
        <v>139</v>
      </c>
      <c r="B152" s="68"/>
      <c r="C152" s="68"/>
      <c r="D152" s="68"/>
      <c r="E152" s="68"/>
      <c r="F152" s="152"/>
      <c r="G152" s="67"/>
      <c r="H152" s="65"/>
      <c r="I152" s="152"/>
      <c r="J152" s="65"/>
      <c r="K152" s="65" t="s">
        <v>106</v>
      </c>
      <c r="L152" s="112"/>
      <c r="M152" s="58"/>
      <c r="N152" s="66" t="e">
        <f>IF(OR(AND(CodeFileListUsed="Yes",#REF!="",COUNTA(B152:C152,D152:F152)&lt;&gt;0),AND(COUNTA(B152:C152,D152:F152)&lt;&gt;0, COUNTA(B152:C152,D152:F152)&lt;&gt;COUNTA(B$13:C$13,D$13:F$13))),CheckErr,CheckOK)</f>
        <v>#REF!</v>
      </c>
      <c r="O152" s="50" t="str">
        <f t="shared" si="6"/>
        <v/>
      </c>
      <c r="P152" s="50" t="str">
        <f t="shared" si="7"/>
        <v/>
      </c>
    </row>
    <row r="153" spans="1:16" hidden="1">
      <c r="A153" s="57">
        <f t="shared" si="8"/>
        <v>140</v>
      </c>
      <c r="B153" s="68"/>
      <c r="C153" s="68"/>
      <c r="D153" s="68"/>
      <c r="E153" s="68"/>
      <c r="F153" s="152"/>
      <c r="G153" s="67"/>
      <c r="H153" s="65"/>
      <c r="I153" s="152"/>
      <c r="J153" s="65"/>
      <c r="K153" s="65" t="s">
        <v>106</v>
      </c>
      <c r="L153" s="112"/>
      <c r="M153" s="58"/>
      <c r="N153" s="66" t="e">
        <f>IF(OR(AND(CodeFileListUsed="Yes",#REF!="",COUNTA(B153:C153,D153:F153)&lt;&gt;0),AND(COUNTA(B153:C153,D153:F153)&lt;&gt;0, COUNTA(B153:C153,D153:F153)&lt;&gt;COUNTA(B$13:C$13,D$13:F$13))),CheckErr,CheckOK)</f>
        <v>#REF!</v>
      </c>
      <c r="O153" s="50" t="str">
        <f t="shared" si="6"/>
        <v/>
      </c>
      <c r="P153" s="50" t="str">
        <f t="shared" si="7"/>
        <v/>
      </c>
    </row>
    <row r="154" spans="1:16" hidden="1">
      <c r="A154" s="57">
        <f t="shared" si="8"/>
        <v>141</v>
      </c>
      <c r="B154" s="68"/>
      <c r="C154" s="68"/>
      <c r="D154" s="68"/>
      <c r="E154" s="68"/>
      <c r="F154" s="152"/>
      <c r="G154" s="67"/>
      <c r="H154" s="65"/>
      <c r="I154" s="152"/>
      <c r="J154" s="65"/>
      <c r="K154" s="65" t="s">
        <v>106</v>
      </c>
      <c r="L154" s="112"/>
      <c r="M154" s="58"/>
      <c r="N154" s="66" t="e">
        <f>IF(OR(AND(CodeFileListUsed="Yes",#REF!="",COUNTA(B154:C154,D154:F154)&lt;&gt;0),AND(COUNTA(B154:C154,D154:F154)&lt;&gt;0, COUNTA(B154:C154,D154:F154)&lt;&gt;COUNTA(B$13:C$13,D$13:F$13))),CheckErr,CheckOK)</f>
        <v>#REF!</v>
      </c>
      <c r="O154" s="50" t="str">
        <f t="shared" si="6"/>
        <v/>
      </c>
      <c r="P154" s="50" t="str">
        <f t="shared" si="7"/>
        <v/>
      </c>
    </row>
    <row r="155" spans="1:16" hidden="1">
      <c r="A155" s="57">
        <f t="shared" si="8"/>
        <v>142</v>
      </c>
      <c r="B155" s="68"/>
      <c r="C155" s="68"/>
      <c r="D155" s="68"/>
      <c r="E155" s="68"/>
      <c r="F155" s="152"/>
      <c r="G155" s="67"/>
      <c r="H155" s="65"/>
      <c r="I155" s="152"/>
      <c r="J155" s="65"/>
      <c r="K155" s="65" t="s">
        <v>106</v>
      </c>
      <c r="L155" s="112"/>
      <c r="M155" s="58"/>
      <c r="N155" s="66" t="e">
        <f>IF(OR(AND(CodeFileListUsed="Yes",#REF!="",COUNTA(B155:C155,D155:F155)&lt;&gt;0),AND(COUNTA(B155:C155,D155:F155)&lt;&gt;0, COUNTA(B155:C155,D155:F155)&lt;&gt;COUNTA(B$13:C$13,D$13:F$13))),CheckErr,CheckOK)</f>
        <v>#REF!</v>
      </c>
      <c r="O155" s="50" t="str">
        <f t="shared" si="6"/>
        <v/>
      </c>
      <c r="P155" s="50" t="str">
        <f t="shared" si="7"/>
        <v/>
      </c>
    </row>
    <row r="156" spans="1:16" hidden="1">
      <c r="A156" s="57">
        <f t="shared" si="8"/>
        <v>143</v>
      </c>
      <c r="B156" s="68"/>
      <c r="C156" s="68"/>
      <c r="D156" s="68"/>
      <c r="E156" s="68"/>
      <c r="F156" s="152"/>
      <c r="G156" s="67"/>
      <c r="H156" s="65"/>
      <c r="I156" s="152"/>
      <c r="J156" s="65"/>
      <c r="K156" s="65" t="s">
        <v>106</v>
      </c>
      <c r="L156" s="112"/>
      <c r="M156" s="58"/>
      <c r="N156" s="66" t="e">
        <f>IF(OR(AND(CodeFileListUsed="Yes",#REF!="",COUNTA(B156:C156,D156:F156)&lt;&gt;0),AND(COUNTA(B156:C156,D156:F156)&lt;&gt;0, COUNTA(B156:C156,D156:F156)&lt;&gt;COUNTA(B$13:C$13,D$13:F$13))),CheckErr,CheckOK)</f>
        <v>#REF!</v>
      </c>
      <c r="O156" s="50" t="str">
        <f t="shared" si="6"/>
        <v/>
      </c>
      <c r="P156" s="50" t="str">
        <f t="shared" si="7"/>
        <v/>
      </c>
    </row>
    <row r="157" spans="1:16" hidden="1">
      <c r="A157" s="57">
        <f t="shared" si="8"/>
        <v>144</v>
      </c>
      <c r="B157" s="68"/>
      <c r="C157" s="68"/>
      <c r="D157" s="68"/>
      <c r="E157" s="68"/>
      <c r="F157" s="152"/>
      <c r="G157" s="67"/>
      <c r="H157" s="65"/>
      <c r="I157" s="152"/>
      <c r="J157" s="65"/>
      <c r="K157" s="65" t="s">
        <v>106</v>
      </c>
      <c r="L157" s="112"/>
      <c r="M157" s="58"/>
      <c r="N157" s="66" t="e">
        <f>IF(OR(AND(CodeFileListUsed="Yes",#REF!="",COUNTA(B157:C157,D157:F157)&lt;&gt;0),AND(COUNTA(B157:C157,D157:F157)&lt;&gt;0, COUNTA(B157:C157,D157:F157)&lt;&gt;COUNTA(B$13:C$13,D$13:F$13))),CheckErr,CheckOK)</f>
        <v>#REF!</v>
      </c>
      <c r="O157" s="50" t="str">
        <f t="shared" si="6"/>
        <v/>
      </c>
      <c r="P157" s="50" t="str">
        <f t="shared" si="7"/>
        <v/>
      </c>
    </row>
    <row r="158" spans="1:16" hidden="1">
      <c r="A158" s="57">
        <f t="shared" si="8"/>
        <v>145</v>
      </c>
      <c r="B158" s="68"/>
      <c r="C158" s="68"/>
      <c r="D158" s="68"/>
      <c r="E158" s="68"/>
      <c r="F158" s="152"/>
      <c r="G158" s="67"/>
      <c r="H158" s="65"/>
      <c r="I158" s="152"/>
      <c r="J158" s="65"/>
      <c r="K158" s="65" t="s">
        <v>106</v>
      </c>
      <c r="L158" s="112"/>
      <c r="M158" s="58"/>
      <c r="N158" s="66" t="e">
        <f>IF(OR(AND(CodeFileListUsed="Yes",#REF!="",COUNTA(B158:C158,D158:F158)&lt;&gt;0),AND(COUNTA(B158:C158,D158:F158)&lt;&gt;0, COUNTA(B158:C158,D158:F158)&lt;&gt;COUNTA(B$13:C$13,D$13:F$13))),CheckErr,CheckOK)</f>
        <v>#REF!</v>
      </c>
      <c r="O158" s="50" t="str">
        <f t="shared" si="6"/>
        <v/>
      </c>
      <c r="P158" s="50" t="str">
        <f t="shared" si="7"/>
        <v/>
      </c>
    </row>
    <row r="159" spans="1:16" hidden="1">
      <c r="A159" s="57">
        <f t="shared" si="8"/>
        <v>146</v>
      </c>
      <c r="B159" s="68"/>
      <c r="C159" s="68"/>
      <c r="D159" s="68"/>
      <c r="E159" s="68"/>
      <c r="F159" s="152"/>
      <c r="G159" s="67"/>
      <c r="H159" s="65"/>
      <c r="I159" s="152"/>
      <c r="J159" s="65"/>
      <c r="K159" s="65" t="s">
        <v>106</v>
      </c>
      <c r="L159" s="112"/>
      <c r="M159" s="58"/>
      <c r="N159" s="66" t="e">
        <f>IF(OR(AND(CodeFileListUsed="Yes",#REF!="",COUNTA(B159:C159,D159:F159)&lt;&gt;0),AND(COUNTA(B159:C159,D159:F159)&lt;&gt;0, COUNTA(B159:C159,D159:F159)&lt;&gt;COUNTA(B$13:C$13,D$13:F$13))),CheckErr,CheckOK)</f>
        <v>#REF!</v>
      </c>
      <c r="O159" s="50" t="str">
        <f t="shared" si="6"/>
        <v/>
      </c>
      <c r="P159" s="50" t="str">
        <f t="shared" si="7"/>
        <v/>
      </c>
    </row>
    <row r="160" spans="1:16" hidden="1">
      <c r="A160" s="57">
        <f t="shared" si="8"/>
        <v>147</v>
      </c>
      <c r="B160" s="68"/>
      <c r="C160" s="68"/>
      <c r="D160" s="68"/>
      <c r="E160" s="68"/>
      <c r="F160" s="152"/>
      <c r="G160" s="67"/>
      <c r="H160" s="65"/>
      <c r="I160" s="152"/>
      <c r="J160" s="65"/>
      <c r="K160" s="65" t="s">
        <v>106</v>
      </c>
      <c r="L160" s="112"/>
      <c r="M160" s="58"/>
      <c r="N160" s="66" t="e">
        <f>IF(OR(AND(CodeFileListUsed="Yes",#REF!="",COUNTA(B160:C160,D160:F160)&lt;&gt;0),AND(COUNTA(B160:C160,D160:F160)&lt;&gt;0, COUNTA(B160:C160,D160:F160)&lt;&gt;COUNTA(B$13:C$13,D$13:F$13))),CheckErr,CheckOK)</f>
        <v>#REF!</v>
      </c>
      <c r="O160" s="50" t="str">
        <f t="shared" si="6"/>
        <v/>
      </c>
      <c r="P160" s="50" t="str">
        <f t="shared" si="7"/>
        <v/>
      </c>
    </row>
    <row r="161" spans="1:16" hidden="1">
      <c r="A161" s="57">
        <f t="shared" si="8"/>
        <v>148</v>
      </c>
      <c r="B161" s="68"/>
      <c r="C161" s="68"/>
      <c r="D161" s="68"/>
      <c r="E161" s="68"/>
      <c r="F161" s="152"/>
      <c r="G161" s="67"/>
      <c r="H161" s="65"/>
      <c r="I161" s="152"/>
      <c r="J161" s="65"/>
      <c r="K161" s="65" t="s">
        <v>106</v>
      </c>
      <c r="L161" s="112"/>
      <c r="M161" s="58"/>
      <c r="N161" s="66" t="e">
        <f>IF(OR(AND(CodeFileListUsed="Yes",#REF!="",COUNTA(B161:C161,D161:F161)&lt;&gt;0),AND(COUNTA(B161:C161,D161:F161)&lt;&gt;0, COUNTA(B161:C161,D161:F161)&lt;&gt;COUNTA(B$13:C$13,D$13:F$13))),CheckErr,CheckOK)</f>
        <v>#REF!</v>
      </c>
      <c r="O161" s="50" t="str">
        <f t="shared" si="6"/>
        <v/>
      </c>
      <c r="P161" s="50" t="str">
        <f t="shared" si="7"/>
        <v/>
      </c>
    </row>
    <row r="162" spans="1:16" hidden="1">
      <c r="A162" s="57">
        <f t="shared" si="8"/>
        <v>149</v>
      </c>
      <c r="B162" s="68"/>
      <c r="C162" s="68"/>
      <c r="D162" s="68"/>
      <c r="E162" s="68"/>
      <c r="F162" s="152"/>
      <c r="G162" s="67"/>
      <c r="H162" s="65"/>
      <c r="I162" s="152"/>
      <c r="J162" s="65"/>
      <c r="K162" s="65" t="s">
        <v>106</v>
      </c>
      <c r="L162" s="112"/>
      <c r="M162" s="58"/>
      <c r="N162" s="66" t="e">
        <f>IF(OR(AND(CodeFileListUsed="Yes",#REF!="",COUNTA(B162:C162,D162:F162)&lt;&gt;0),AND(COUNTA(B162:C162,D162:F162)&lt;&gt;0, COUNTA(B162:C162,D162:F162)&lt;&gt;COUNTA(B$13:C$13,D$13:F$13))),CheckErr,CheckOK)</f>
        <v>#REF!</v>
      </c>
      <c r="O162" s="50" t="str">
        <f t="shared" si="6"/>
        <v/>
      </c>
      <c r="P162" s="50" t="str">
        <f t="shared" si="7"/>
        <v/>
      </c>
    </row>
    <row r="163" spans="1:16" hidden="1">
      <c r="A163" s="57">
        <f t="shared" si="8"/>
        <v>150</v>
      </c>
      <c r="B163" s="68"/>
      <c r="C163" s="68"/>
      <c r="D163" s="68"/>
      <c r="E163" s="68"/>
      <c r="F163" s="152"/>
      <c r="G163" s="67"/>
      <c r="H163" s="65"/>
      <c r="I163" s="152"/>
      <c r="J163" s="65"/>
      <c r="K163" s="65" t="s">
        <v>106</v>
      </c>
      <c r="L163" s="112"/>
      <c r="M163" s="58"/>
      <c r="N163" s="66" t="e">
        <f>IF(OR(AND(CodeFileListUsed="Yes",#REF!="",COUNTA(B163:C163,D163:F163)&lt;&gt;0),AND(COUNTA(B163:C163,D163:F163)&lt;&gt;0, COUNTA(B163:C163,D163:F163)&lt;&gt;COUNTA(B$13:C$13,D$13:F$13))),CheckErr,CheckOK)</f>
        <v>#REF!</v>
      </c>
      <c r="O163" s="50" t="str">
        <f t="shared" si="6"/>
        <v/>
      </c>
      <c r="P163" s="50" t="str">
        <f t="shared" si="7"/>
        <v/>
      </c>
    </row>
    <row r="164" spans="1:16" hidden="1">
      <c r="A164" s="57">
        <f t="shared" si="8"/>
        <v>151</v>
      </c>
      <c r="B164" s="68"/>
      <c r="C164" s="68"/>
      <c r="D164" s="68"/>
      <c r="E164" s="68"/>
      <c r="F164" s="152"/>
      <c r="G164" s="67"/>
      <c r="H164" s="65"/>
      <c r="I164" s="152"/>
      <c r="J164" s="65"/>
      <c r="K164" s="65" t="s">
        <v>106</v>
      </c>
      <c r="L164" s="112"/>
      <c r="M164" s="58"/>
      <c r="N164" s="66" t="e">
        <f>IF(OR(AND(CodeFileListUsed="Yes",#REF!="",COUNTA(B164:C164,D164:F164)&lt;&gt;0),AND(COUNTA(B164:C164,D164:F164)&lt;&gt;0, COUNTA(B164:C164,D164:F164)&lt;&gt;COUNTA(B$13:C$13,D$13:F$13))),CheckErr,CheckOK)</f>
        <v>#REF!</v>
      </c>
      <c r="O164" s="50" t="str">
        <f t="shared" si="6"/>
        <v/>
      </c>
      <c r="P164" s="50" t="str">
        <f t="shared" si="7"/>
        <v/>
      </c>
    </row>
    <row r="165" spans="1:16" hidden="1">
      <c r="A165" s="57">
        <f t="shared" si="8"/>
        <v>152</v>
      </c>
      <c r="B165" s="68"/>
      <c r="C165" s="68"/>
      <c r="D165" s="68"/>
      <c r="E165" s="68"/>
      <c r="F165" s="152"/>
      <c r="G165" s="67"/>
      <c r="H165" s="65"/>
      <c r="I165" s="152"/>
      <c r="J165" s="65"/>
      <c r="K165" s="65" t="s">
        <v>106</v>
      </c>
      <c r="L165" s="112"/>
      <c r="M165" s="58"/>
      <c r="N165" s="66" t="e">
        <f>IF(OR(AND(CodeFileListUsed="Yes",#REF!="",COUNTA(B165:C165,D165:F165)&lt;&gt;0),AND(COUNTA(B165:C165,D165:F165)&lt;&gt;0, COUNTA(B165:C165,D165:F165)&lt;&gt;COUNTA(B$13:C$13,D$13:F$13))),CheckErr,CheckOK)</f>
        <v>#REF!</v>
      </c>
      <c r="O165" s="50" t="str">
        <f t="shared" si="6"/>
        <v/>
      </c>
      <c r="P165" s="50" t="str">
        <f t="shared" si="7"/>
        <v/>
      </c>
    </row>
    <row r="166" spans="1:16" hidden="1">
      <c r="A166" s="57">
        <f t="shared" si="8"/>
        <v>153</v>
      </c>
      <c r="B166" s="68"/>
      <c r="C166" s="68"/>
      <c r="D166" s="68"/>
      <c r="E166" s="68"/>
      <c r="F166" s="152"/>
      <c r="G166" s="67"/>
      <c r="H166" s="65"/>
      <c r="I166" s="152"/>
      <c r="J166" s="65"/>
      <c r="K166" s="65" t="s">
        <v>106</v>
      </c>
      <c r="L166" s="112"/>
      <c r="M166" s="58"/>
      <c r="N166" s="66" t="e">
        <f>IF(OR(AND(CodeFileListUsed="Yes",#REF!="",COUNTA(B166:C166,D166:F166)&lt;&gt;0),AND(COUNTA(B166:C166,D166:F166)&lt;&gt;0, COUNTA(B166:C166,D166:F166)&lt;&gt;COUNTA(B$13:C$13,D$13:F$13))),CheckErr,CheckOK)</f>
        <v>#REF!</v>
      </c>
      <c r="O166" s="50" t="str">
        <f t="shared" si="6"/>
        <v/>
      </c>
      <c r="P166" s="50" t="str">
        <f t="shared" si="7"/>
        <v/>
      </c>
    </row>
    <row r="167" spans="1:16" hidden="1">
      <c r="A167" s="57">
        <f t="shared" si="8"/>
        <v>154</v>
      </c>
      <c r="B167" s="68"/>
      <c r="C167" s="68"/>
      <c r="D167" s="68"/>
      <c r="E167" s="68"/>
      <c r="F167" s="152"/>
      <c r="G167" s="67"/>
      <c r="H167" s="65"/>
      <c r="I167" s="152"/>
      <c r="J167" s="65"/>
      <c r="K167" s="65" t="s">
        <v>106</v>
      </c>
      <c r="L167" s="112"/>
      <c r="M167" s="58"/>
      <c r="N167" s="66" t="e">
        <f>IF(OR(AND(CodeFileListUsed="Yes",#REF!="",COUNTA(B167:C167,D167:F167)&lt;&gt;0),AND(COUNTA(B167:C167,D167:F167)&lt;&gt;0, COUNTA(B167:C167,D167:F167)&lt;&gt;COUNTA(B$13:C$13,D$13:F$13))),CheckErr,CheckOK)</f>
        <v>#REF!</v>
      </c>
      <c r="O167" s="50" t="str">
        <f t="shared" si="6"/>
        <v/>
      </c>
      <c r="P167" s="50" t="str">
        <f t="shared" si="7"/>
        <v/>
      </c>
    </row>
    <row r="168" spans="1:16" hidden="1">
      <c r="A168" s="57">
        <f t="shared" si="8"/>
        <v>155</v>
      </c>
      <c r="B168" s="68"/>
      <c r="C168" s="68"/>
      <c r="D168" s="68"/>
      <c r="E168" s="68"/>
      <c r="F168" s="152"/>
      <c r="G168" s="67"/>
      <c r="H168" s="65"/>
      <c r="I168" s="152"/>
      <c r="J168" s="65"/>
      <c r="K168" s="65" t="s">
        <v>106</v>
      </c>
      <c r="L168" s="112"/>
      <c r="M168" s="58"/>
      <c r="N168" s="66" t="e">
        <f>IF(OR(AND(CodeFileListUsed="Yes",#REF!="",COUNTA(B168:C168,D168:F168)&lt;&gt;0),AND(COUNTA(B168:C168,D168:F168)&lt;&gt;0, COUNTA(B168:C168,D168:F168)&lt;&gt;COUNTA(B$13:C$13,D$13:F$13))),CheckErr,CheckOK)</f>
        <v>#REF!</v>
      </c>
      <c r="O168" s="50" t="str">
        <f t="shared" si="6"/>
        <v/>
      </c>
      <c r="P168" s="50" t="str">
        <f t="shared" si="7"/>
        <v/>
      </c>
    </row>
    <row r="169" spans="1:16" hidden="1">
      <c r="A169" s="57">
        <f t="shared" si="8"/>
        <v>156</v>
      </c>
      <c r="B169" s="68"/>
      <c r="C169" s="68"/>
      <c r="D169" s="68"/>
      <c r="E169" s="68"/>
      <c r="F169" s="152"/>
      <c r="G169" s="67"/>
      <c r="H169" s="65"/>
      <c r="I169" s="152"/>
      <c r="J169" s="65"/>
      <c r="K169" s="65" t="s">
        <v>106</v>
      </c>
      <c r="L169" s="112"/>
      <c r="M169" s="58"/>
      <c r="N169" s="66" t="e">
        <f>IF(OR(AND(CodeFileListUsed="Yes",#REF!="",COUNTA(B169:C169,D169:F169)&lt;&gt;0),AND(COUNTA(B169:C169,D169:F169)&lt;&gt;0, COUNTA(B169:C169,D169:F169)&lt;&gt;COUNTA(B$13:C$13,D$13:F$13))),CheckErr,CheckOK)</f>
        <v>#REF!</v>
      </c>
      <c r="O169" s="50" t="str">
        <f t="shared" si="6"/>
        <v/>
      </c>
      <c r="P169" s="50" t="str">
        <f t="shared" si="7"/>
        <v/>
      </c>
    </row>
    <row r="170" spans="1:16" hidden="1">
      <c r="A170" s="57">
        <f t="shared" si="8"/>
        <v>157</v>
      </c>
      <c r="B170" s="68"/>
      <c r="C170" s="68"/>
      <c r="D170" s="68"/>
      <c r="E170" s="68"/>
      <c r="F170" s="152"/>
      <c r="G170" s="67"/>
      <c r="H170" s="65"/>
      <c r="I170" s="152"/>
      <c r="J170" s="65"/>
      <c r="K170" s="65" t="s">
        <v>106</v>
      </c>
      <c r="L170" s="112"/>
      <c r="M170" s="58"/>
      <c r="N170" s="66" t="e">
        <f>IF(OR(AND(CodeFileListUsed="Yes",#REF!="",COUNTA(B170:C170,D170:F170)&lt;&gt;0),AND(COUNTA(B170:C170,D170:F170)&lt;&gt;0, COUNTA(B170:C170,D170:F170)&lt;&gt;COUNTA(B$13:C$13,D$13:F$13))),CheckErr,CheckOK)</f>
        <v>#REF!</v>
      </c>
      <c r="O170" s="50" t="str">
        <f t="shared" si="6"/>
        <v/>
      </c>
      <c r="P170" s="50" t="str">
        <f t="shared" si="7"/>
        <v/>
      </c>
    </row>
    <row r="171" spans="1:16" hidden="1">
      <c r="A171" s="57">
        <f t="shared" si="8"/>
        <v>158</v>
      </c>
      <c r="B171" s="68"/>
      <c r="C171" s="68"/>
      <c r="D171" s="68"/>
      <c r="E171" s="68"/>
      <c r="F171" s="152"/>
      <c r="G171" s="67"/>
      <c r="H171" s="65"/>
      <c r="I171" s="152"/>
      <c r="J171" s="65"/>
      <c r="K171" s="65" t="s">
        <v>106</v>
      </c>
      <c r="L171" s="112"/>
      <c r="M171" s="58"/>
      <c r="N171" s="66" t="e">
        <f>IF(OR(AND(CodeFileListUsed="Yes",#REF!="",COUNTA(B171:C171,D171:F171)&lt;&gt;0),AND(COUNTA(B171:C171,D171:F171)&lt;&gt;0, COUNTA(B171:C171,D171:F171)&lt;&gt;COUNTA(B$13:C$13,D$13:F$13))),CheckErr,CheckOK)</f>
        <v>#REF!</v>
      </c>
      <c r="O171" s="50" t="str">
        <f t="shared" si="6"/>
        <v/>
      </c>
      <c r="P171" s="50" t="str">
        <f t="shared" si="7"/>
        <v/>
      </c>
    </row>
    <row r="172" spans="1:16" hidden="1">
      <c r="A172" s="57">
        <f t="shared" si="8"/>
        <v>159</v>
      </c>
      <c r="B172" s="68"/>
      <c r="C172" s="68"/>
      <c r="D172" s="68"/>
      <c r="E172" s="68"/>
      <c r="F172" s="152"/>
      <c r="G172" s="67"/>
      <c r="H172" s="65"/>
      <c r="I172" s="152"/>
      <c r="J172" s="65"/>
      <c r="K172" s="65" t="s">
        <v>106</v>
      </c>
      <c r="L172" s="112"/>
      <c r="M172" s="58"/>
      <c r="N172" s="66" t="e">
        <f>IF(OR(AND(CodeFileListUsed="Yes",#REF!="",COUNTA(B172:C172,D172:F172)&lt;&gt;0),AND(COUNTA(B172:C172,D172:F172)&lt;&gt;0, COUNTA(B172:C172,D172:F172)&lt;&gt;COUNTA(B$13:C$13,D$13:F$13))),CheckErr,CheckOK)</f>
        <v>#REF!</v>
      </c>
      <c r="O172" s="50" t="str">
        <f t="shared" si="6"/>
        <v/>
      </c>
      <c r="P172" s="50" t="str">
        <f t="shared" si="7"/>
        <v/>
      </c>
    </row>
    <row r="173" spans="1:16" hidden="1">
      <c r="A173" s="57">
        <f t="shared" si="8"/>
        <v>160</v>
      </c>
      <c r="B173" s="68"/>
      <c r="C173" s="68"/>
      <c r="D173" s="68"/>
      <c r="E173" s="68"/>
      <c r="F173" s="152"/>
      <c r="G173" s="67"/>
      <c r="H173" s="65"/>
      <c r="I173" s="152"/>
      <c r="J173" s="65"/>
      <c r="K173" s="65" t="s">
        <v>106</v>
      </c>
      <c r="L173" s="112"/>
      <c r="M173" s="58"/>
      <c r="N173" s="66" t="e">
        <f>IF(OR(AND(CodeFileListUsed="Yes",#REF!="",COUNTA(B173:C173,D173:F173)&lt;&gt;0),AND(COUNTA(B173:C173,D173:F173)&lt;&gt;0, COUNTA(B173:C173,D173:F173)&lt;&gt;COUNTA(B$13:C$13,D$13:F$13))),CheckErr,CheckOK)</f>
        <v>#REF!</v>
      </c>
      <c r="O173" s="50" t="str">
        <f t="shared" si="6"/>
        <v/>
      </c>
      <c r="P173" s="50" t="str">
        <f t="shared" si="7"/>
        <v/>
      </c>
    </row>
    <row r="174" spans="1:16" hidden="1">
      <c r="A174" s="57">
        <f t="shared" si="8"/>
        <v>161</v>
      </c>
      <c r="B174" s="68"/>
      <c r="C174" s="68"/>
      <c r="D174" s="68"/>
      <c r="E174" s="68"/>
      <c r="F174" s="152"/>
      <c r="G174" s="67"/>
      <c r="H174" s="65"/>
      <c r="I174" s="152"/>
      <c r="J174" s="65"/>
      <c r="K174" s="65" t="s">
        <v>106</v>
      </c>
      <c r="L174" s="112"/>
      <c r="M174" s="58"/>
      <c r="N174" s="66" t="e">
        <f>IF(OR(AND(CodeFileListUsed="Yes",#REF!="",COUNTA(B174:C174,D174:F174)&lt;&gt;0),AND(COUNTA(B174:C174,D174:F174)&lt;&gt;0, COUNTA(B174:C174,D174:F174)&lt;&gt;COUNTA(B$13:C$13,D$13:F$13))),CheckErr,CheckOK)</f>
        <v>#REF!</v>
      </c>
      <c r="O174" s="50" t="str">
        <f t="shared" si="6"/>
        <v/>
      </c>
      <c r="P174" s="50" t="str">
        <f t="shared" si="7"/>
        <v/>
      </c>
    </row>
    <row r="175" spans="1:16" hidden="1">
      <c r="A175" s="57">
        <f t="shared" si="8"/>
        <v>162</v>
      </c>
      <c r="B175" s="68"/>
      <c r="C175" s="68"/>
      <c r="D175" s="68"/>
      <c r="E175" s="68"/>
      <c r="F175" s="152"/>
      <c r="G175" s="67"/>
      <c r="H175" s="65"/>
      <c r="I175" s="152"/>
      <c r="J175" s="65"/>
      <c r="K175" s="65" t="s">
        <v>106</v>
      </c>
      <c r="L175" s="112"/>
      <c r="M175" s="58"/>
      <c r="N175" s="66" t="e">
        <f>IF(OR(AND(CodeFileListUsed="Yes",#REF!="",COUNTA(B175:C175,D175:F175)&lt;&gt;0),AND(COUNTA(B175:C175,D175:F175)&lt;&gt;0, COUNTA(B175:C175,D175:F175)&lt;&gt;COUNTA(B$13:C$13,D$13:F$13))),CheckErr,CheckOK)</f>
        <v>#REF!</v>
      </c>
      <c r="O175" s="50" t="str">
        <f t="shared" si="6"/>
        <v/>
      </c>
      <c r="P175" s="50" t="str">
        <f t="shared" si="7"/>
        <v/>
      </c>
    </row>
    <row r="176" spans="1:16" hidden="1">
      <c r="A176" s="57">
        <f t="shared" si="8"/>
        <v>163</v>
      </c>
      <c r="B176" s="68"/>
      <c r="C176" s="68"/>
      <c r="D176" s="68"/>
      <c r="E176" s="68"/>
      <c r="F176" s="152"/>
      <c r="G176" s="67"/>
      <c r="H176" s="65"/>
      <c r="I176" s="152"/>
      <c r="J176" s="65"/>
      <c r="K176" s="65" t="s">
        <v>106</v>
      </c>
      <c r="L176" s="112"/>
      <c r="M176" s="58"/>
      <c r="N176" s="66" t="e">
        <f>IF(OR(AND(CodeFileListUsed="Yes",#REF!="",COUNTA(B176:C176,D176:F176)&lt;&gt;0),AND(COUNTA(B176:C176,D176:F176)&lt;&gt;0, COUNTA(B176:C176,D176:F176)&lt;&gt;COUNTA(B$13:C$13,D$13:F$13))),CheckErr,CheckOK)</f>
        <v>#REF!</v>
      </c>
      <c r="O176" s="50" t="str">
        <f t="shared" si="6"/>
        <v/>
      </c>
      <c r="P176" s="50" t="str">
        <f t="shared" si="7"/>
        <v/>
      </c>
    </row>
    <row r="177" spans="1:16" hidden="1">
      <c r="A177" s="57">
        <f t="shared" si="8"/>
        <v>164</v>
      </c>
      <c r="B177" s="68"/>
      <c r="C177" s="68"/>
      <c r="D177" s="68"/>
      <c r="E177" s="68"/>
      <c r="F177" s="152"/>
      <c r="G177" s="67"/>
      <c r="H177" s="65"/>
      <c r="I177" s="152"/>
      <c r="J177" s="65"/>
      <c r="K177" s="65" t="s">
        <v>106</v>
      </c>
      <c r="L177" s="112"/>
      <c r="M177" s="58"/>
      <c r="N177" s="66" t="e">
        <f>IF(OR(AND(CodeFileListUsed="Yes",#REF!="",COUNTA(B177:C177,D177:F177)&lt;&gt;0),AND(COUNTA(B177:C177,D177:F177)&lt;&gt;0, COUNTA(B177:C177,D177:F177)&lt;&gt;COUNTA(B$13:C$13,D$13:F$13))),CheckErr,CheckOK)</f>
        <v>#REF!</v>
      </c>
      <c r="O177" s="50" t="str">
        <f t="shared" si="6"/>
        <v/>
      </c>
      <c r="P177" s="50" t="str">
        <f t="shared" si="7"/>
        <v/>
      </c>
    </row>
    <row r="178" spans="1:16" hidden="1">
      <c r="A178" s="57">
        <f t="shared" si="8"/>
        <v>165</v>
      </c>
      <c r="B178" s="68"/>
      <c r="C178" s="68"/>
      <c r="D178" s="68"/>
      <c r="E178" s="68"/>
      <c r="F178" s="152"/>
      <c r="G178" s="67"/>
      <c r="H178" s="65"/>
      <c r="I178" s="152"/>
      <c r="J178" s="65"/>
      <c r="K178" s="65" t="s">
        <v>106</v>
      </c>
      <c r="L178" s="112"/>
      <c r="M178" s="58"/>
      <c r="N178" s="66" t="e">
        <f>IF(OR(AND(CodeFileListUsed="Yes",#REF!="",COUNTA(B178:C178,D178:F178)&lt;&gt;0),AND(COUNTA(B178:C178,D178:F178)&lt;&gt;0, COUNTA(B178:C178,D178:F178)&lt;&gt;COUNTA(B$13:C$13,D$13:F$13))),CheckErr,CheckOK)</f>
        <v>#REF!</v>
      </c>
      <c r="O178" s="50" t="str">
        <f t="shared" si="6"/>
        <v/>
      </c>
      <c r="P178" s="50" t="str">
        <f t="shared" si="7"/>
        <v/>
      </c>
    </row>
    <row r="179" spans="1:16" hidden="1">
      <c r="A179" s="57">
        <f t="shared" si="8"/>
        <v>166</v>
      </c>
      <c r="B179" s="68"/>
      <c r="C179" s="68"/>
      <c r="D179" s="68"/>
      <c r="E179" s="68"/>
      <c r="F179" s="152"/>
      <c r="G179" s="67"/>
      <c r="H179" s="65"/>
      <c r="I179" s="152"/>
      <c r="J179" s="65"/>
      <c r="K179" s="65" t="s">
        <v>106</v>
      </c>
      <c r="L179" s="112"/>
      <c r="M179" s="58"/>
      <c r="N179" s="66" t="e">
        <f>IF(OR(AND(CodeFileListUsed="Yes",#REF!="",COUNTA(B179:C179,D179:F179)&lt;&gt;0),AND(COUNTA(B179:C179,D179:F179)&lt;&gt;0, COUNTA(B179:C179,D179:F179)&lt;&gt;COUNTA(B$13:C$13,D$13:F$13))),CheckErr,CheckOK)</f>
        <v>#REF!</v>
      </c>
      <c r="O179" s="50" t="str">
        <f t="shared" si="6"/>
        <v/>
      </c>
      <c r="P179" s="50" t="str">
        <f t="shared" si="7"/>
        <v/>
      </c>
    </row>
    <row r="180" spans="1:16" hidden="1">
      <c r="A180" s="57">
        <f t="shared" si="8"/>
        <v>167</v>
      </c>
      <c r="B180" s="68"/>
      <c r="C180" s="68"/>
      <c r="D180" s="68"/>
      <c r="E180" s="68"/>
      <c r="F180" s="152"/>
      <c r="G180" s="67"/>
      <c r="H180" s="65"/>
      <c r="I180" s="152"/>
      <c r="J180" s="65"/>
      <c r="K180" s="65" t="s">
        <v>106</v>
      </c>
      <c r="L180" s="112"/>
      <c r="M180" s="58"/>
      <c r="N180" s="66" t="e">
        <f>IF(OR(AND(CodeFileListUsed="Yes",#REF!="",COUNTA(B180:C180,D180:F180)&lt;&gt;0),AND(COUNTA(B180:C180,D180:F180)&lt;&gt;0, COUNTA(B180:C180,D180:F180)&lt;&gt;COUNTA(B$13:C$13,D$13:F$13))),CheckErr,CheckOK)</f>
        <v>#REF!</v>
      </c>
      <c r="O180" s="50" t="str">
        <f t="shared" si="6"/>
        <v/>
      </c>
      <c r="P180" s="50" t="str">
        <f t="shared" si="7"/>
        <v/>
      </c>
    </row>
    <row r="181" spans="1:16" hidden="1">
      <c r="A181" s="57">
        <f t="shared" si="8"/>
        <v>168</v>
      </c>
      <c r="B181" s="68"/>
      <c r="C181" s="68"/>
      <c r="D181" s="68"/>
      <c r="E181" s="68"/>
      <c r="F181" s="152"/>
      <c r="G181" s="67"/>
      <c r="H181" s="65"/>
      <c r="I181" s="152"/>
      <c r="J181" s="65"/>
      <c r="K181" s="65" t="s">
        <v>106</v>
      </c>
      <c r="L181" s="112"/>
      <c r="M181" s="58"/>
      <c r="N181" s="66" t="e">
        <f>IF(OR(AND(CodeFileListUsed="Yes",#REF!="",COUNTA(B181:C181,D181:F181)&lt;&gt;0),AND(COUNTA(B181:C181,D181:F181)&lt;&gt;0, COUNTA(B181:C181,D181:F181)&lt;&gt;COUNTA(B$13:C$13,D$13:F$13))),CheckErr,CheckOK)</f>
        <v>#REF!</v>
      </c>
      <c r="O181" s="50" t="str">
        <f t="shared" si="6"/>
        <v/>
      </c>
      <c r="P181" s="50" t="str">
        <f t="shared" si="7"/>
        <v/>
      </c>
    </row>
    <row r="182" spans="1:16" hidden="1">
      <c r="A182" s="57">
        <f t="shared" si="8"/>
        <v>169</v>
      </c>
      <c r="B182" s="68"/>
      <c r="C182" s="68"/>
      <c r="D182" s="68"/>
      <c r="E182" s="68"/>
      <c r="F182" s="152"/>
      <c r="G182" s="67"/>
      <c r="H182" s="65"/>
      <c r="I182" s="152"/>
      <c r="J182" s="65"/>
      <c r="K182" s="65" t="s">
        <v>106</v>
      </c>
      <c r="L182" s="112"/>
      <c r="M182" s="58"/>
      <c r="N182" s="66" t="e">
        <f>IF(OR(AND(CodeFileListUsed="Yes",#REF!="",COUNTA(B182:C182,D182:F182)&lt;&gt;0),AND(COUNTA(B182:C182,D182:F182)&lt;&gt;0, COUNTA(B182:C182,D182:F182)&lt;&gt;COUNTA(B$13:C$13,D$13:F$13))),CheckErr,CheckOK)</f>
        <v>#REF!</v>
      </c>
      <c r="O182" s="50" t="str">
        <f t="shared" si="6"/>
        <v/>
      </c>
      <c r="P182" s="50" t="str">
        <f t="shared" si="7"/>
        <v/>
      </c>
    </row>
    <row r="183" spans="1:16" hidden="1">
      <c r="A183" s="57">
        <f t="shared" si="8"/>
        <v>170</v>
      </c>
      <c r="B183" s="68"/>
      <c r="C183" s="68"/>
      <c r="D183" s="68"/>
      <c r="E183" s="68"/>
      <c r="F183" s="152"/>
      <c r="G183" s="67"/>
      <c r="H183" s="65"/>
      <c r="I183" s="152"/>
      <c r="J183" s="65"/>
      <c r="K183" s="65" t="s">
        <v>106</v>
      </c>
      <c r="L183" s="112"/>
      <c r="M183" s="58"/>
      <c r="N183" s="66" t="e">
        <f>IF(OR(AND(CodeFileListUsed="Yes",#REF!="",COUNTA(B183:C183,D183:F183)&lt;&gt;0),AND(COUNTA(B183:C183,D183:F183)&lt;&gt;0, COUNTA(B183:C183,D183:F183)&lt;&gt;COUNTA(B$13:C$13,D$13:F$13))),CheckErr,CheckOK)</f>
        <v>#REF!</v>
      </c>
      <c r="O183" s="50" t="str">
        <f t="shared" si="6"/>
        <v/>
      </c>
      <c r="P183" s="50" t="str">
        <f t="shared" si="7"/>
        <v/>
      </c>
    </row>
    <row r="184" spans="1:16" hidden="1">
      <c r="A184" s="57">
        <f t="shared" si="8"/>
        <v>171</v>
      </c>
      <c r="B184" s="68"/>
      <c r="C184" s="68"/>
      <c r="D184" s="68"/>
      <c r="E184" s="68"/>
      <c r="F184" s="152"/>
      <c r="G184" s="67"/>
      <c r="H184" s="65"/>
      <c r="I184" s="152"/>
      <c r="J184" s="65"/>
      <c r="K184" s="65" t="s">
        <v>106</v>
      </c>
      <c r="L184" s="112"/>
      <c r="M184" s="58"/>
      <c r="N184" s="66" t="e">
        <f>IF(OR(AND(CodeFileListUsed="Yes",#REF!="",COUNTA(B184:C184,D184:F184)&lt;&gt;0),AND(COUNTA(B184:C184,D184:F184)&lt;&gt;0, COUNTA(B184:C184,D184:F184)&lt;&gt;COUNTA(B$13:C$13,D$13:F$13))),CheckErr,CheckOK)</f>
        <v>#REF!</v>
      </c>
      <c r="O184" s="50" t="str">
        <f t="shared" si="6"/>
        <v/>
      </c>
      <c r="P184" s="50" t="str">
        <f t="shared" si="7"/>
        <v/>
      </c>
    </row>
    <row r="185" spans="1:16" hidden="1">
      <c r="A185" s="57">
        <f t="shared" si="8"/>
        <v>172</v>
      </c>
      <c r="B185" s="68"/>
      <c r="C185" s="68"/>
      <c r="D185" s="68"/>
      <c r="E185" s="68"/>
      <c r="F185" s="152"/>
      <c r="G185" s="67"/>
      <c r="H185" s="65"/>
      <c r="I185" s="152"/>
      <c r="J185" s="65"/>
      <c r="K185" s="65" t="s">
        <v>106</v>
      </c>
      <c r="L185" s="112"/>
      <c r="M185" s="58"/>
      <c r="N185" s="66" t="e">
        <f>IF(OR(AND(CodeFileListUsed="Yes",#REF!="",COUNTA(B185:C185,D185:F185)&lt;&gt;0),AND(COUNTA(B185:C185,D185:F185)&lt;&gt;0, COUNTA(B185:C185,D185:F185)&lt;&gt;COUNTA(B$13:C$13,D$13:F$13))),CheckErr,CheckOK)</f>
        <v>#REF!</v>
      </c>
      <c r="O185" s="50" t="str">
        <f t="shared" si="6"/>
        <v/>
      </c>
      <c r="P185" s="50" t="str">
        <f t="shared" si="7"/>
        <v/>
      </c>
    </row>
    <row r="186" spans="1:16" hidden="1">
      <c r="A186" s="57">
        <f t="shared" si="8"/>
        <v>173</v>
      </c>
      <c r="B186" s="68"/>
      <c r="C186" s="68"/>
      <c r="D186" s="68"/>
      <c r="E186" s="68"/>
      <c r="F186" s="152"/>
      <c r="G186" s="67"/>
      <c r="H186" s="65"/>
      <c r="I186" s="152"/>
      <c r="J186" s="65"/>
      <c r="K186" s="65" t="s">
        <v>106</v>
      </c>
      <c r="L186" s="112"/>
      <c r="M186" s="58"/>
      <c r="N186" s="66" t="e">
        <f>IF(OR(AND(CodeFileListUsed="Yes",#REF!="",COUNTA(B186:C186,D186:F186)&lt;&gt;0),AND(COUNTA(B186:C186,D186:F186)&lt;&gt;0, COUNTA(B186:C186,D186:F186)&lt;&gt;COUNTA(B$13:C$13,D$13:F$13))),CheckErr,CheckOK)</f>
        <v>#REF!</v>
      </c>
      <c r="O186" s="50" t="str">
        <f t="shared" si="6"/>
        <v/>
      </c>
      <c r="P186" s="50" t="str">
        <f t="shared" si="7"/>
        <v/>
      </c>
    </row>
    <row r="187" spans="1:16" hidden="1">
      <c r="A187" s="57">
        <f t="shared" si="8"/>
        <v>174</v>
      </c>
      <c r="B187" s="68"/>
      <c r="C187" s="68"/>
      <c r="D187" s="68"/>
      <c r="E187" s="68"/>
      <c r="F187" s="152"/>
      <c r="G187" s="67"/>
      <c r="H187" s="65"/>
      <c r="I187" s="152"/>
      <c r="J187" s="65"/>
      <c r="K187" s="65" t="s">
        <v>106</v>
      </c>
      <c r="L187" s="112"/>
      <c r="M187" s="58"/>
      <c r="N187" s="66" t="e">
        <f>IF(OR(AND(CodeFileListUsed="Yes",#REF!="",COUNTA(B187:C187,D187:F187)&lt;&gt;0),AND(COUNTA(B187:C187,D187:F187)&lt;&gt;0, COUNTA(B187:C187,D187:F187)&lt;&gt;COUNTA(B$13:C$13,D$13:F$13))),CheckErr,CheckOK)</f>
        <v>#REF!</v>
      </c>
      <c r="O187" s="50" t="str">
        <f t="shared" si="6"/>
        <v/>
      </c>
      <c r="P187" s="50" t="str">
        <f t="shared" si="7"/>
        <v/>
      </c>
    </row>
    <row r="188" spans="1:16" hidden="1">
      <c r="A188" s="57">
        <f t="shared" si="8"/>
        <v>175</v>
      </c>
      <c r="B188" s="68"/>
      <c r="C188" s="68"/>
      <c r="D188" s="68"/>
      <c r="E188" s="68"/>
      <c r="F188" s="152"/>
      <c r="G188" s="67"/>
      <c r="H188" s="65"/>
      <c r="I188" s="152"/>
      <c r="J188" s="65"/>
      <c r="K188" s="65" t="s">
        <v>106</v>
      </c>
      <c r="L188" s="112"/>
      <c r="M188" s="58"/>
      <c r="N188" s="66" t="e">
        <f>IF(OR(AND(CodeFileListUsed="Yes",#REF!="",COUNTA(B188:C188,D188:F188)&lt;&gt;0),AND(COUNTA(B188:C188,D188:F188)&lt;&gt;0, COUNTA(B188:C188,D188:F188)&lt;&gt;COUNTA(B$13:C$13,D$13:F$13))),CheckErr,CheckOK)</f>
        <v>#REF!</v>
      </c>
      <c r="O188" s="50" t="str">
        <f t="shared" si="6"/>
        <v/>
      </c>
      <c r="P188" s="50" t="str">
        <f t="shared" si="7"/>
        <v/>
      </c>
    </row>
    <row r="189" spans="1:16" hidden="1">
      <c r="A189" s="57">
        <f t="shared" si="8"/>
        <v>176</v>
      </c>
      <c r="B189" s="68"/>
      <c r="C189" s="68"/>
      <c r="D189" s="68"/>
      <c r="E189" s="68"/>
      <c r="F189" s="152"/>
      <c r="G189" s="67"/>
      <c r="H189" s="65"/>
      <c r="I189" s="152"/>
      <c r="J189" s="65"/>
      <c r="K189" s="65" t="s">
        <v>106</v>
      </c>
      <c r="L189" s="112"/>
      <c r="M189" s="58"/>
      <c r="N189" s="66" t="e">
        <f>IF(OR(AND(CodeFileListUsed="Yes",#REF!="",COUNTA(B189:C189,D189:F189)&lt;&gt;0),AND(COUNTA(B189:C189,D189:F189)&lt;&gt;0, COUNTA(B189:C189,D189:F189)&lt;&gt;COUNTA(B$13:C$13,D$13:F$13))),CheckErr,CheckOK)</f>
        <v>#REF!</v>
      </c>
      <c r="O189" s="50" t="str">
        <f t="shared" si="6"/>
        <v/>
      </c>
      <c r="P189" s="50" t="str">
        <f t="shared" si="7"/>
        <v/>
      </c>
    </row>
    <row r="190" spans="1:16" hidden="1">
      <c r="A190" s="57">
        <f t="shared" si="8"/>
        <v>177</v>
      </c>
      <c r="B190" s="68"/>
      <c r="C190" s="68"/>
      <c r="D190" s="68"/>
      <c r="E190" s="68"/>
      <c r="F190" s="152"/>
      <c r="G190" s="67"/>
      <c r="H190" s="65"/>
      <c r="I190" s="152"/>
      <c r="J190" s="65"/>
      <c r="K190" s="65" t="s">
        <v>106</v>
      </c>
      <c r="L190" s="112"/>
      <c r="M190" s="58"/>
      <c r="N190" s="66" t="e">
        <f>IF(OR(AND(CodeFileListUsed="Yes",#REF!="",COUNTA(B190:C190,D190:F190)&lt;&gt;0),AND(COUNTA(B190:C190,D190:F190)&lt;&gt;0, COUNTA(B190:C190,D190:F190)&lt;&gt;COUNTA(B$13:C$13,D$13:F$13))),CheckErr,CheckOK)</f>
        <v>#REF!</v>
      </c>
      <c r="O190" s="50" t="str">
        <f t="shared" si="6"/>
        <v/>
      </c>
      <c r="P190" s="50" t="str">
        <f t="shared" si="7"/>
        <v/>
      </c>
    </row>
    <row r="191" spans="1:16" hidden="1">
      <c r="A191" s="57">
        <f t="shared" si="8"/>
        <v>178</v>
      </c>
      <c r="B191" s="68"/>
      <c r="C191" s="68"/>
      <c r="D191" s="68"/>
      <c r="E191" s="68"/>
      <c r="F191" s="152"/>
      <c r="G191" s="67"/>
      <c r="H191" s="65"/>
      <c r="I191" s="152"/>
      <c r="J191" s="65"/>
      <c r="K191" s="65" t="s">
        <v>106</v>
      </c>
      <c r="L191" s="112"/>
      <c r="M191" s="58"/>
      <c r="N191" s="66" t="e">
        <f>IF(OR(AND(CodeFileListUsed="Yes",#REF!="",COUNTA(B191:C191,D191:F191)&lt;&gt;0),AND(COUNTA(B191:C191,D191:F191)&lt;&gt;0, COUNTA(B191:C191,D191:F191)&lt;&gt;COUNTA(B$13:C$13,D$13:F$13))),CheckErr,CheckOK)</f>
        <v>#REF!</v>
      </c>
      <c r="O191" s="50" t="str">
        <f t="shared" si="6"/>
        <v/>
      </c>
      <c r="P191" s="50" t="str">
        <f t="shared" si="7"/>
        <v/>
      </c>
    </row>
    <row r="192" spans="1:16" hidden="1">
      <c r="A192" s="57">
        <f t="shared" si="8"/>
        <v>179</v>
      </c>
      <c r="B192" s="68"/>
      <c r="C192" s="68"/>
      <c r="D192" s="68"/>
      <c r="E192" s="68"/>
      <c r="F192" s="152"/>
      <c r="G192" s="67"/>
      <c r="H192" s="65"/>
      <c r="I192" s="152"/>
      <c r="J192" s="65"/>
      <c r="K192" s="65" t="s">
        <v>106</v>
      </c>
      <c r="L192" s="112"/>
      <c r="M192" s="58"/>
      <c r="N192" s="66" t="e">
        <f>IF(OR(AND(CodeFileListUsed="Yes",#REF!="",COUNTA(B192:C192,D192:F192)&lt;&gt;0),AND(COUNTA(B192:C192,D192:F192)&lt;&gt;0, COUNTA(B192:C192,D192:F192)&lt;&gt;COUNTA(B$13:C$13,D$13:F$13))),CheckErr,CheckOK)</f>
        <v>#REF!</v>
      </c>
      <c r="O192" s="50" t="str">
        <f t="shared" si="6"/>
        <v/>
      </c>
      <c r="P192" s="50" t="str">
        <f t="shared" si="7"/>
        <v/>
      </c>
    </row>
    <row r="193" spans="1:16" hidden="1">
      <c r="A193" s="57">
        <f t="shared" si="8"/>
        <v>180</v>
      </c>
      <c r="B193" s="68"/>
      <c r="C193" s="68"/>
      <c r="D193" s="68"/>
      <c r="E193" s="68"/>
      <c r="F193" s="152"/>
      <c r="G193" s="67"/>
      <c r="H193" s="65"/>
      <c r="I193" s="152"/>
      <c r="J193" s="65"/>
      <c r="K193" s="65" t="s">
        <v>106</v>
      </c>
      <c r="L193" s="112"/>
      <c r="M193" s="58"/>
      <c r="N193" s="66" t="e">
        <f>IF(OR(AND(CodeFileListUsed="Yes",#REF!="",COUNTA(B193:C193,D193:F193)&lt;&gt;0),AND(COUNTA(B193:C193,D193:F193)&lt;&gt;0, COUNTA(B193:C193,D193:F193)&lt;&gt;COUNTA(B$13:C$13,D$13:F$13))),CheckErr,CheckOK)</f>
        <v>#REF!</v>
      </c>
      <c r="O193" s="50" t="str">
        <f t="shared" si="6"/>
        <v/>
      </c>
      <c r="P193" s="50" t="str">
        <f t="shared" si="7"/>
        <v/>
      </c>
    </row>
    <row r="194" spans="1:16" hidden="1">
      <c r="A194" s="57">
        <f t="shared" si="8"/>
        <v>181</v>
      </c>
      <c r="B194" s="68"/>
      <c r="C194" s="68"/>
      <c r="D194" s="68"/>
      <c r="E194" s="68"/>
      <c r="F194" s="152"/>
      <c r="G194" s="67"/>
      <c r="H194" s="65"/>
      <c r="I194" s="152"/>
      <c r="J194" s="65"/>
      <c r="K194" s="65" t="s">
        <v>106</v>
      </c>
      <c r="L194" s="112"/>
      <c r="M194" s="58"/>
      <c r="N194" s="66" t="e">
        <f>IF(OR(AND(CodeFileListUsed="Yes",#REF!="",COUNTA(B194:C194,D194:F194)&lt;&gt;0),AND(COUNTA(B194:C194,D194:F194)&lt;&gt;0, COUNTA(B194:C194,D194:F194)&lt;&gt;COUNTA(B$13:C$13,D$13:F$13))),CheckErr,CheckOK)</f>
        <v>#REF!</v>
      </c>
      <c r="O194" s="50" t="str">
        <f t="shared" si="6"/>
        <v/>
      </c>
      <c r="P194" s="50" t="str">
        <f t="shared" si="7"/>
        <v/>
      </c>
    </row>
    <row r="195" spans="1:16" hidden="1">
      <c r="A195" s="57">
        <f t="shared" si="8"/>
        <v>182</v>
      </c>
      <c r="B195" s="68"/>
      <c r="C195" s="68"/>
      <c r="D195" s="68"/>
      <c r="E195" s="68"/>
      <c r="F195" s="152"/>
      <c r="G195" s="67"/>
      <c r="H195" s="65"/>
      <c r="I195" s="152"/>
      <c r="J195" s="65"/>
      <c r="K195" s="65" t="s">
        <v>106</v>
      </c>
      <c r="L195" s="112"/>
      <c r="M195" s="58"/>
      <c r="N195" s="66" t="e">
        <f>IF(OR(AND(CodeFileListUsed="Yes",#REF!="",COUNTA(B195:C195,D195:F195)&lt;&gt;0),AND(COUNTA(B195:C195,D195:F195)&lt;&gt;0, COUNTA(B195:C195,D195:F195)&lt;&gt;COUNTA(B$13:C$13,D$13:F$13))),CheckErr,CheckOK)</f>
        <v>#REF!</v>
      </c>
      <c r="O195" s="50" t="str">
        <f t="shared" si="6"/>
        <v/>
      </c>
      <c r="P195" s="50" t="str">
        <f t="shared" si="7"/>
        <v/>
      </c>
    </row>
    <row r="196" spans="1:16" hidden="1">
      <c r="A196" s="57">
        <f t="shared" si="8"/>
        <v>183</v>
      </c>
      <c r="B196" s="68"/>
      <c r="C196" s="68"/>
      <c r="D196" s="68"/>
      <c r="E196" s="68"/>
      <c r="F196" s="152"/>
      <c r="G196" s="67"/>
      <c r="H196" s="65"/>
      <c r="I196" s="152"/>
      <c r="J196" s="65"/>
      <c r="K196" s="65" t="s">
        <v>106</v>
      </c>
      <c r="L196" s="112"/>
      <c r="M196" s="58"/>
      <c r="N196" s="66" t="e">
        <f>IF(OR(AND(CodeFileListUsed="Yes",#REF!="",COUNTA(B196:C196,D196:F196)&lt;&gt;0),AND(COUNTA(B196:C196,D196:F196)&lt;&gt;0, COUNTA(B196:C196,D196:F196)&lt;&gt;COUNTA(B$13:C$13,D$13:F$13))),CheckErr,CheckOK)</f>
        <v>#REF!</v>
      </c>
      <c r="O196" s="50" t="str">
        <f t="shared" si="6"/>
        <v/>
      </c>
      <c r="P196" s="50" t="str">
        <f t="shared" si="7"/>
        <v/>
      </c>
    </row>
    <row r="197" spans="1:16" hidden="1">
      <c r="A197" s="57">
        <f t="shared" si="8"/>
        <v>184</v>
      </c>
      <c r="B197" s="68"/>
      <c r="C197" s="68"/>
      <c r="D197" s="68"/>
      <c r="E197" s="68"/>
      <c r="F197" s="152"/>
      <c r="G197" s="67"/>
      <c r="H197" s="65"/>
      <c r="I197" s="152"/>
      <c r="J197" s="65"/>
      <c r="K197" s="65" t="s">
        <v>106</v>
      </c>
      <c r="L197" s="112"/>
      <c r="M197" s="58"/>
      <c r="N197" s="66" t="e">
        <f>IF(OR(AND(CodeFileListUsed="Yes",#REF!="",COUNTA(B197:C197,D197:F197)&lt;&gt;0),AND(COUNTA(B197:C197,D197:F197)&lt;&gt;0, COUNTA(B197:C197,D197:F197)&lt;&gt;COUNTA(B$13:C$13,D$13:F$13))),CheckErr,CheckOK)</f>
        <v>#REF!</v>
      </c>
      <c r="O197" s="50" t="str">
        <f t="shared" si="6"/>
        <v/>
      </c>
      <c r="P197" s="50" t="str">
        <f t="shared" si="7"/>
        <v/>
      </c>
    </row>
    <row r="198" spans="1:16" hidden="1">
      <c r="A198" s="57">
        <f t="shared" si="8"/>
        <v>185</v>
      </c>
      <c r="B198" s="68"/>
      <c r="C198" s="68"/>
      <c r="D198" s="68"/>
      <c r="E198" s="68"/>
      <c r="F198" s="152"/>
      <c r="G198" s="67"/>
      <c r="H198" s="65"/>
      <c r="I198" s="152"/>
      <c r="J198" s="65"/>
      <c r="K198" s="65" t="s">
        <v>106</v>
      </c>
      <c r="L198" s="112"/>
      <c r="M198" s="58"/>
      <c r="N198" s="66" t="e">
        <f>IF(OR(AND(CodeFileListUsed="Yes",#REF!="",COUNTA(B198:C198,D198:F198)&lt;&gt;0),AND(COUNTA(B198:C198,D198:F198)&lt;&gt;0, COUNTA(B198:C198,D198:F198)&lt;&gt;COUNTA(B$13:C$13,D$13:F$13))),CheckErr,CheckOK)</f>
        <v>#REF!</v>
      </c>
      <c r="O198" s="50" t="str">
        <f t="shared" si="6"/>
        <v/>
      </c>
      <c r="P198" s="50" t="str">
        <f t="shared" si="7"/>
        <v/>
      </c>
    </row>
    <row r="199" spans="1:16" hidden="1">
      <c r="A199" s="57">
        <f t="shared" si="8"/>
        <v>186</v>
      </c>
      <c r="B199" s="68"/>
      <c r="C199" s="68"/>
      <c r="D199" s="68"/>
      <c r="E199" s="68"/>
      <c r="F199" s="152"/>
      <c r="G199" s="67"/>
      <c r="H199" s="65"/>
      <c r="I199" s="152"/>
      <c r="J199" s="65"/>
      <c r="K199" s="65" t="s">
        <v>106</v>
      </c>
      <c r="L199" s="112"/>
      <c r="M199" s="58"/>
      <c r="N199" s="66" t="e">
        <f>IF(OR(AND(CodeFileListUsed="Yes",#REF!="",COUNTA(B199:C199,D199:F199)&lt;&gt;0),AND(COUNTA(B199:C199,D199:F199)&lt;&gt;0, COUNTA(B199:C199,D199:F199)&lt;&gt;COUNTA(B$13:C$13,D$13:F$13))),CheckErr,CheckOK)</f>
        <v>#REF!</v>
      </c>
      <c r="O199" s="50" t="str">
        <f t="shared" si="6"/>
        <v/>
      </c>
      <c r="P199" s="50" t="str">
        <f t="shared" si="7"/>
        <v/>
      </c>
    </row>
    <row r="200" spans="1:16" hidden="1">
      <c r="A200" s="57">
        <f t="shared" si="8"/>
        <v>187</v>
      </c>
      <c r="B200" s="68"/>
      <c r="C200" s="68"/>
      <c r="D200" s="68"/>
      <c r="E200" s="68"/>
      <c r="F200" s="152"/>
      <c r="G200" s="67"/>
      <c r="H200" s="65"/>
      <c r="I200" s="152"/>
      <c r="J200" s="65"/>
      <c r="K200" s="65" t="s">
        <v>106</v>
      </c>
      <c r="L200" s="112"/>
      <c r="M200" s="58"/>
      <c r="N200" s="66" t="e">
        <f>IF(OR(AND(CodeFileListUsed="Yes",#REF!="",COUNTA(B200:C200,D200:F200)&lt;&gt;0),AND(COUNTA(B200:C200,D200:F200)&lt;&gt;0, COUNTA(B200:C200,D200:F200)&lt;&gt;COUNTA(B$13:C$13,D$13:F$13))),CheckErr,CheckOK)</f>
        <v>#REF!</v>
      </c>
      <c r="O200" s="50" t="str">
        <f t="shared" si="6"/>
        <v/>
      </c>
      <c r="P200" s="50" t="str">
        <f t="shared" si="7"/>
        <v/>
      </c>
    </row>
    <row r="201" spans="1:16" hidden="1">
      <c r="A201" s="57">
        <f t="shared" si="8"/>
        <v>188</v>
      </c>
      <c r="B201" s="68"/>
      <c r="C201" s="68"/>
      <c r="D201" s="68"/>
      <c r="E201" s="68"/>
      <c r="F201" s="152"/>
      <c r="G201" s="67"/>
      <c r="H201" s="65"/>
      <c r="I201" s="152"/>
      <c r="J201" s="65"/>
      <c r="K201" s="65" t="s">
        <v>106</v>
      </c>
      <c r="L201" s="112"/>
      <c r="M201" s="58"/>
      <c r="N201" s="66" t="e">
        <f>IF(OR(AND(CodeFileListUsed="Yes",#REF!="",COUNTA(B201:C201,D201:F201)&lt;&gt;0),AND(COUNTA(B201:C201,D201:F201)&lt;&gt;0, COUNTA(B201:C201,D201:F201)&lt;&gt;COUNTA(B$13:C$13,D$13:F$13))),CheckErr,CheckOK)</f>
        <v>#REF!</v>
      </c>
      <c r="O201" s="50" t="str">
        <f t="shared" si="6"/>
        <v/>
      </c>
      <c r="P201" s="50" t="str">
        <f t="shared" si="7"/>
        <v/>
      </c>
    </row>
    <row r="202" spans="1:16" hidden="1">
      <c r="A202" s="57">
        <f t="shared" si="8"/>
        <v>189</v>
      </c>
      <c r="B202" s="68"/>
      <c r="C202" s="68"/>
      <c r="D202" s="68"/>
      <c r="E202" s="68"/>
      <c r="F202" s="152"/>
      <c r="G202" s="67"/>
      <c r="H202" s="65"/>
      <c r="I202" s="152"/>
      <c r="J202" s="65"/>
      <c r="K202" s="65" t="s">
        <v>106</v>
      </c>
      <c r="L202" s="112"/>
      <c r="M202" s="58"/>
      <c r="N202" s="66" t="e">
        <f>IF(OR(AND(CodeFileListUsed="Yes",#REF!="",COUNTA(B202:C202,D202:F202)&lt;&gt;0),AND(COUNTA(B202:C202,D202:F202)&lt;&gt;0, COUNTA(B202:C202,D202:F202)&lt;&gt;COUNTA(B$13:C$13,D$13:F$13))),CheckErr,CheckOK)</f>
        <v>#REF!</v>
      </c>
      <c r="O202" s="50" t="str">
        <f t="shared" si="6"/>
        <v/>
      </c>
      <c r="P202" s="50" t="str">
        <f t="shared" si="7"/>
        <v/>
      </c>
    </row>
    <row r="203" spans="1:16" hidden="1">
      <c r="A203" s="57">
        <f t="shared" si="8"/>
        <v>190</v>
      </c>
      <c r="B203" s="68"/>
      <c r="C203" s="68"/>
      <c r="D203" s="68"/>
      <c r="E203" s="68"/>
      <c r="F203" s="152"/>
      <c r="G203" s="67"/>
      <c r="H203" s="65"/>
      <c r="I203" s="152"/>
      <c r="J203" s="65"/>
      <c r="K203" s="65" t="s">
        <v>106</v>
      </c>
      <c r="L203" s="112"/>
      <c r="M203" s="58"/>
      <c r="N203" s="66" t="e">
        <f>IF(OR(AND(CodeFileListUsed="Yes",#REF!="",COUNTA(B203:C203,D203:F203)&lt;&gt;0),AND(COUNTA(B203:C203,D203:F203)&lt;&gt;0, COUNTA(B203:C203,D203:F203)&lt;&gt;COUNTA(B$13:C$13,D$13:F$13))),CheckErr,CheckOK)</f>
        <v>#REF!</v>
      </c>
      <c r="O203" s="50" t="str">
        <f t="shared" si="6"/>
        <v/>
      </c>
      <c r="P203" s="50" t="str">
        <f t="shared" si="7"/>
        <v/>
      </c>
    </row>
    <row r="204" spans="1:16" hidden="1">
      <c r="A204" s="57">
        <f t="shared" si="8"/>
        <v>191</v>
      </c>
      <c r="B204" s="68"/>
      <c r="C204" s="68"/>
      <c r="D204" s="68"/>
      <c r="E204" s="68"/>
      <c r="F204" s="152"/>
      <c r="G204" s="67"/>
      <c r="H204" s="65"/>
      <c r="I204" s="152"/>
      <c r="J204" s="65"/>
      <c r="K204" s="65" t="s">
        <v>106</v>
      </c>
      <c r="L204" s="112"/>
      <c r="M204" s="58"/>
      <c r="N204" s="66" t="e">
        <f>IF(OR(AND(CodeFileListUsed="Yes",#REF!="",COUNTA(B204:C204,D204:F204)&lt;&gt;0),AND(COUNTA(B204:C204,D204:F204)&lt;&gt;0, COUNTA(B204:C204,D204:F204)&lt;&gt;COUNTA(B$13:C$13,D$13:F$13))),CheckErr,CheckOK)</f>
        <v>#REF!</v>
      </c>
      <c r="O204" s="50" t="str">
        <f t="shared" si="6"/>
        <v/>
      </c>
      <c r="P204" s="50" t="str">
        <f t="shared" si="7"/>
        <v/>
      </c>
    </row>
    <row r="205" spans="1:16" hidden="1">
      <c r="A205" s="57">
        <f t="shared" si="8"/>
        <v>192</v>
      </c>
      <c r="B205" s="68"/>
      <c r="C205" s="68"/>
      <c r="D205" s="68"/>
      <c r="E205" s="68"/>
      <c r="F205" s="152"/>
      <c r="G205" s="67"/>
      <c r="H205" s="65"/>
      <c r="I205" s="152"/>
      <c r="J205" s="65"/>
      <c r="K205" s="65" t="s">
        <v>106</v>
      </c>
      <c r="L205" s="112"/>
      <c r="M205" s="58"/>
      <c r="N205" s="66" t="e">
        <f>IF(OR(AND(CodeFileListUsed="Yes",#REF!="",COUNTA(B205:C205,D205:F205)&lt;&gt;0),AND(COUNTA(B205:C205,D205:F205)&lt;&gt;0, COUNTA(B205:C205,D205:F205)&lt;&gt;COUNTA(B$13:C$13,D$13:F$13))),CheckErr,CheckOK)</f>
        <v>#REF!</v>
      </c>
      <c r="O205" s="50" t="str">
        <f t="shared" si="6"/>
        <v/>
      </c>
      <c r="P205" s="50" t="str">
        <f t="shared" si="7"/>
        <v/>
      </c>
    </row>
    <row r="206" spans="1:16" hidden="1">
      <c r="A206" s="57">
        <f t="shared" si="8"/>
        <v>193</v>
      </c>
      <c r="B206" s="68"/>
      <c r="C206" s="68"/>
      <c r="D206" s="68"/>
      <c r="E206" s="68"/>
      <c r="F206" s="152"/>
      <c r="G206" s="67"/>
      <c r="H206" s="65"/>
      <c r="I206" s="152"/>
      <c r="J206" s="65"/>
      <c r="K206" s="65" t="s">
        <v>106</v>
      </c>
      <c r="L206" s="112"/>
      <c r="M206" s="58"/>
      <c r="N206" s="66" t="e">
        <f>IF(OR(AND(CodeFileListUsed="Yes",#REF!="",COUNTA(B206:C206,D206:F206)&lt;&gt;0),AND(COUNTA(B206:C206,D206:F206)&lt;&gt;0, COUNTA(B206:C206,D206:F206)&lt;&gt;COUNTA(B$13:C$13,D$13:F$13))),CheckErr,CheckOK)</f>
        <v>#REF!</v>
      </c>
      <c r="O206" s="50" t="str">
        <f t="shared" ref="O206:O238" si="9">IF(OR(ISBLANK(F206), AND(NOT(ISBLANK(H206)),OR(AND(J206="Accepted",OR(K206="Y",K206="y")),J206="Noted",J206="Duplicate",AND(J206="Rejected",NOT(ISBLANK(I206)))))),CheckOK,CheckErr)</f>
        <v/>
      </c>
      <c r="P206" s="50" t="str">
        <f t="shared" ref="P206:P238" si="10">IF(OR(ISBLANK(F206),NOT(ISBLANK(L206))),CheckOK,CheckErr)</f>
        <v/>
      </c>
    </row>
    <row r="207" spans="1:16" hidden="1">
      <c r="A207" s="57">
        <f t="shared" ref="A207:A238" si="11">A206+1</f>
        <v>194</v>
      </c>
      <c r="B207" s="68"/>
      <c r="C207" s="68"/>
      <c r="D207" s="68"/>
      <c r="E207" s="68"/>
      <c r="F207" s="152"/>
      <c r="G207" s="67"/>
      <c r="H207" s="65"/>
      <c r="I207" s="152"/>
      <c r="J207" s="65"/>
      <c r="K207" s="65" t="s">
        <v>106</v>
      </c>
      <c r="L207" s="112"/>
      <c r="M207" s="58"/>
      <c r="N207" s="66" t="e">
        <f>IF(OR(AND(CodeFileListUsed="Yes",#REF!="",COUNTA(B207:C207,D207:F207)&lt;&gt;0),AND(COUNTA(B207:C207,D207:F207)&lt;&gt;0, COUNTA(B207:C207,D207:F207)&lt;&gt;COUNTA(B$13:C$13,D$13:F$13))),CheckErr,CheckOK)</f>
        <v>#REF!</v>
      </c>
      <c r="O207" s="50" t="str">
        <f t="shared" si="9"/>
        <v/>
      </c>
      <c r="P207" s="50" t="str">
        <f t="shared" si="10"/>
        <v/>
      </c>
    </row>
    <row r="208" spans="1:16" hidden="1">
      <c r="A208" s="57">
        <f t="shared" si="11"/>
        <v>195</v>
      </c>
      <c r="B208" s="68"/>
      <c r="C208" s="68"/>
      <c r="D208" s="68"/>
      <c r="E208" s="68"/>
      <c r="F208" s="152"/>
      <c r="G208" s="67"/>
      <c r="H208" s="65"/>
      <c r="I208" s="152"/>
      <c r="J208" s="65"/>
      <c r="K208" s="65" t="s">
        <v>106</v>
      </c>
      <c r="L208" s="112"/>
      <c r="M208" s="58"/>
      <c r="N208" s="66" t="e">
        <f>IF(OR(AND(CodeFileListUsed="Yes",#REF!="",COUNTA(B208:C208,D208:F208)&lt;&gt;0),AND(COUNTA(B208:C208,D208:F208)&lt;&gt;0, COUNTA(B208:C208,D208:F208)&lt;&gt;COUNTA(B$13:C$13,D$13:F$13))),CheckErr,CheckOK)</f>
        <v>#REF!</v>
      </c>
      <c r="O208" s="50" t="str">
        <f t="shared" si="9"/>
        <v/>
      </c>
      <c r="P208" s="50" t="str">
        <f t="shared" si="10"/>
        <v/>
      </c>
    </row>
    <row r="209" spans="1:16" hidden="1">
      <c r="A209" s="57">
        <f t="shared" si="11"/>
        <v>196</v>
      </c>
      <c r="B209" s="68"/>
      <c r="C209" s="68"/>
      <c r="D209" s="68"/>
      <c r="E209" s="68"/>
      <c r="F209" s="152"/>
      <c r="G209" s="67"/>
      <c r="H209" s="65"/>
      <c r="I209" s="152"/>
      <c r="J209" s="65"/>
      <c r="K209" s="65" t="s">
        <v>106</v>
      </c>
      <c r="L209" s="112"/>
      <c r="M209" s="58"/>
      <c r="N209" s="66" t="e">
        <f>IF(OR(AND(CodeFileListUsed="Yes",#REF!="",COUNTA(B209:C209,D209:F209)&lt;&gt;0),AND(COUNTA(B209:C209,D209:F209)&lt;&gt;0, COUNTA(B209:C209,D209:F209)&lt;&gt;COUNTA(B$13:C$13,D$13:F$13))),CheckErr,CheckOK)</f>
        <v>#REF!</v>
      </c>
      <c r="O209" s="50" t="str">
        <f t="shared" si="9"/>
        <v/>
      </c>
      <c r="P209" s="50" t="str">
        <f t="shared" si="10"/>
        <v/>
      </c>
    </row>
    <row r="210" spans="1:16" hidden="1">
      <c r="A210" s="57">
        <f t="shared" si="11"/>
        <v>197</v>
      </c>
      <c r="B210" s="68"/>
      <c r="C210" s="68"/>
      <c r="D210" s="68"/>
      <c r="E210" s="68"/>
      <c r="F210" s="152"/>
      <c r="G210" s="67"/>
      <c r="H210" s="65"/>
      <c r="I210" s="152"/>
      <c r="J210" s="65"/>
      <c r="K210" s="65" t="s">
        <v>106</v>
      </c>
      <c r="L210" s="112"/>
      <c r="M210" s="58"/>
      <c r="N210" s="66" t="e">
        <f>IF(OR(AND(CodeFileListUsed="Yes",#REF!="",COUNTA(B210:C210,D210:F210)&lt;&gt;0),AND(COUNTA(B210:C210,D210:F210)&lt;&gt;0, COUNTA(B210:C210,D210:F210)&lt;&gt;COUNTA(B$13:C$13,D$13:F$13))),CheckErr,CheckOK)</f>
        <v>#REF!</v>
      </c>
      <c r="O210" s="50" t="str">
        <f t="shared" si="9"/>
        <v/>
      </c>
      <c r="P210" s="50" t="str">
        <f t="shared" si="10"/>
        <v/>
      </c>
    </row>
    <row r="211" spans="1:16" hidden="1">
      <c r="A211" s="57">
        <f t="shared" si="11"/>
        <v>198</v>
      </c>
      <c r="B211" s="68"/>
      <c r="C211" s="68"/>
      <c r="D211" s="68"/>
      <c r="E211" s="68"/>
      <c r="F211" s="152"/>
      <c r="G211" s="67"/>
      <c r="H211" s="65"/>
      <c r="I211" s="152"/>
      <c r="J211" s="65"/>
      <c r="K211" s="65" t="s">
        <v>106</v>
      </c>
      <c r="L211" s="112"/>
      <c r="M211" s="58"/>
      <c r="N211" s="66" t="e">
        <f>IF(OR(AND(CodeFileListUsed="Yes",#REF!="",COUNTA(B211:C211,D211:F211)&lt;&gt;0),AND(COUNTA(B211:C211,D211:F211)&lt;&gt;0, COUNTA(B211:C211,D211:F211)&lt;&gt;COUNTA(B$13:C$13,D$13:F$13))),CheckErr,CheckOK)</f>
        <v>#REF!</v>
      </c>
      <c r="O211" s="50" t="str">
        <f t="shared" si="9"/>
        <v/>
      </c>
      <c r="P211" s="50" t="str">
        <f t="shared" si="10"/>
        <v/>
      </c>
    </row>
    <row r="212" spans="1:16" hidden="1">
      <c r="A212" s="57">
        <f t="shared" si="11"/>
        <v>199</v>
      </c>
      <c r="B212" s="68"/>
      <c r="C212" s="68"/>
      <c r="D212" s="68"/>
      <c r="E212" s="68"/>
      <c r="F212" s="152"/>
      <c r="G212" s="67"/>
      <c r="H212" s="65"/>
      <c r="I212" s="152"/>
      <c r="J212" s="65"/>
      <c r="K212" s="65" t="s">
        <v>106</v>
      </c>
      <c r="L212" s="112"/>
      <c r="M212" s="58"/>
      <c r="N212" s="66" t="e">
        <f>IF(OR(AND(CodeFileListUsed="Yes",#REF!="",COUNTA(B212:C212,D212:F212)&lt;&gt;0),AND(COUNTA(B212:C212,D212:F212)&lt;&gt;0, COUNTA(B212:C212,D212:F212)&lt;&gt;COUNTA(B$13:C$13,D$13:F$13))),CheckErr,CheckOK)</f>
        <v>#REF!</v>
      </c>
      <c r="O212" s="50" t="str">
        <f t="shared" si="9"/>
        <v/>
      </c>
      <c r="P212" s="50" t="str">
        <f t="shared" si="10"/>
        <v/>
      </c>
    </row>
    <row r="213" spans="1:16" hidden="1">
      <c r="A213" s="57">
        <f t="shared" si="11"/>
        <v>200</v>
      </c>
      <c r="B213" s="68"/>
      <c r="C213" s="68"/>
      <c r="D213" s="68"/>
      <c r="E213" s="68"/>
      <c r="F213" s="152"/>
      <c r="G213" s="67"/>
      <c r="H213" s="65"/>
      <c r="I213" s="152"/>
      <c r="J213" s="65"/>
      <c r="K213" s="65" t="s">
        <v>106</v>
      </c>
      <c r="L213" s="112"/>
      <c r="M213" s="58"/>
      <c r="N213" s="66" t="e">
        <f>IF(OR(AND(CodeFileListUsed="Yes",#REF!="",COUNTA(B213:C213,D213:F213)&lt;&gt;0),AND(COUNTA(B213:C213,D213:F213)&lt;&gt;0, COUNTA(B213:C213,D213:F213)&lt;&gt;COUNTA(B$13:C$13,D$13:F$13))),CheckErr,CheckOK)</f>
        <v>#REF!</v>
      </c>
      <c r="O213" s="50" t="str">
        <f t="shared" si="9"/>
        <v/>
      </c>
      <c r="P213" s="50" t="str">
        <f t="shared" si="10"/>
        <v/>
      </c>
    </row>
    <row r="214" spans="1:16" hidden="1">
      <c r="A214" s="57">
        <f t="shared" si="11"/>
        <v>201</v>
      </c>
      <c r="B214" s="68"/>
      <c r="C214" s="68"/>
      <c r="D214" s="68"/>
      <c r="E214" s="68"/>
      <c r="F214" s="152"/>
      <c r="G214" s="67"/>
      <c r="H214" s="65"/>
      <c r="I214" s="152"/>
      <c r="J214" s="65"/>
      <c r="K214" s="65" t="s">
        <v>106</v>
      </c>
      <c r="L214" s="112"/>
      <c r="M214" s="58"/>
      <c r="N214" s="66" t="e">
        <f>IF(OR(AND(CodeFileListUsed="Yes",#REF!="",COUNTA(B214:C214,D214:F214)&lt;&gt;0),AND(COUNTA(B214:C214,D214:F214)&lt;&gt;0, COUNTA(B214:C214,D214:F214)&lt;&gt;COUNTA(B$13:C$13,D$13:F$13))),CheckErr,CheckOK)</f>
        <v>#REF!</v>
      </c>
      <c r="O214" s="50" t="str">
        <f t="shared" si="9"/>
        <v/>
      </c>
      <c r="P214" s="50" t="str">
        <f t="shared" si="10"/>
        <v/>
      </c>
    </row>
    <row r="215" spans="1:16" hidden="1">
      <c r="A215" s="57">
        <f t="shared" si="11"/>
        <v>202</v>
      </c>
      <c r="B215" s="68"/>
      <c r="C215" s="68"/>
      <c r="D215" s="68"/>
      <c r="E215" s="68"/>
      <c r="F215" s="152"/>
      <c r="G215" s="67"/>
      <c r="H215" s="65"/>
      <c r="I215" s="152"/>
      <c r="J215" s="65"/>
      <c r="K215" s="65" t="s">
        <v>106</v>
      </c>
      <c r="L215" s="112"/>
      <c r="M215" s="58"/>
      <c r="N215" s="66" t="e">
        <f>IF(OR(AND(CodeFileListUsed="Yes",#REF!="",COUNTA(B215:C215,D215:F215)&lt;&gt;0),AND(COUNTA(B215:C215,D215:F215)&lt;&gt;0, COUNTA(B215:C215,D215:F215)&lt;&gt;COUNTA(B$13:C$13,D$13:F$13))),CheckErr,CheckOK)</f>
        <v>#REF!</v>
      </c>
      <c r="O215" s="50" t="str">
        <f t="shared" si="9"/>
        <v/>
      </c>
      <c r="P215" s="50" t="str">
        <f t="shared" si="10"/>
        <v/>
      </c>
    </row>
    <row r="216" spans="1:16" hidden="1">
      <c r="A216" s="57">
        <f t="shared" si="11"/>
        <v>203</v>
      </c>
      <c r="B216" s="68"/>
      <c r="C216" s="68"/>
      <c r="D216" s="68"/>
      <c r="E216" s="68"/>
      <c r="F216" s="152"/>
      <c r="G216" s="67"/>
      <c r="H216" s="65"/>
      <c r="I216" s="152"/>
      <c r="J216" s="65"/>
      <c r="K216" s="65" t="s">
        <v>106</v>
      </c>
      <c r="L216" s="112"/>
      <c r="M216" s="58"/>
      <c r="N216" s="66" t="e">
        <f>IF(OR(AND(CodeFileListUsed="Yes",#REF!="",COUNTA(B216:C216,D216:F216)&lt;&gt;0),AND(COUNTA(B216:C216,D216:F216)&lt;&gt;0, COUNTA(B216:C216,D216:F216)&lt;&gt;COUNTA(B$13:C$13,D$13:F$13))),CheckErr,CheckOK)</f>
        <v>#REF!</v>
      </c>
      <c r="O216" s="50" t="str">
        <f t="shared" si="9"/>
        <v/>
      </c>
      <c r="P216" s="50" t="str">
        <f t="shared" si="10"/>
        <v/>
      </c>
    </row>
    <row r="217" spans="1:16" hidden="1">
      <c r="A217" s="57">
        <f t="shared" si="11"/>
        <v>204</v>
      </c>
      <c r="B217" s="68"/>
      <c r="C217" s="68"/>
      <c r="D217" s="68"/>
      <c r="E217" s="68"/>
      <c r="F217" s="152"/>
      <c r="G217" s="67"/>
      <c r="H217" s="65"/>
      <c r="I217" s="152"/>
      <c r="J217" s="65"/>
      <c r="K217" s="65" t="s">
        <v>106</v>
      </c>
      <c r="L217" s="112"/>
      <c r="M217" s="58"/>
      <c r="N217" s="66" t="e">
        <f>IF(OR(AND(CodeFileListUsed="Yes",#REF!="",COUNTA(B217:C217,D217:F217)&lt;&gt;0),AND(COUNTA(B217:C217,D217:F217)&lt;&gt;0, COUNTA(B217:C217,D217:F217)&lt;&gt;COUNTA(B$13:C$13,D$13:F$13))),CheckErr,CheckOK)</f>
        <v>#REF!</v>
      </c>
      <c r="O217" s="50" t="str">
        <f t="shared" si="9"/>
        <v/>
      </c>
      <c r="P217" s="50" t="str">
        <f t="shared" si="10"/>
        <v/>
      </c>
    </row>
    <row r="218" spans="1:16" hidden="1">
      <c r="A218" s="57">
        <f t="shared" si="11"/>
        <v>205</v>
      </c>
      <c r="B218" s="68"/>
      <c r="C218" s="68"/>
      <c r="D218" s="68"/>
      <c r="E218" s="68"/>
      <c r="F218" s="152"/>
      <c r="G218" s="67"/>
      <c r="H218" s="65"/>
      <c r="I218" s="152"/>
      <c r="J218" s="65"/>
      <c r="K218" s="65" t="s">
        <v>106</v>
      </c>
      <c r="L218" s="112"/>
      <c r="M218" s="58"/>
      <c r="N218" s="66" t="e">
        <f>IF(OR(AND(CodeFileListUsed="Yes",#REF!="",COUNTA(B218:C218,D218:F218)&lt;&gt;0),AND(COUNTA(B218:C218,D218:F218)&lt;&gt;0, COUNTA(B218:C218,D218:F218)&lt;&gt;COUNTA(B$13:C$13,D$13:F$13))),CheckErr,CheckOK)</f>
        <v>#REF!</v>
      </c>
      <c r="O218" s="50" t="str">
        <f t="shared" si="9"/>
        <v/>
      </c>
      <c r="P218" s="50" t="str">
        <f t="shared" si="10"/>
        <v/>
      </c>
    </row>
    <row r="219" spans="1:16" hidden="1">
      <c r="A219" s="57">
        <f t="shared" si="11"/>
        <v>206</v>
      </c>
      <c r="B219" s="68"/>
      <c r="C219" s="68"/>
      <c r="D219" s="68"/>
      <c r="E219" s="68"/>
      <c r="F219" s="152"/>
      <c r="G219" s="67"/>
      <c r="H219" s="65"/>
      <c r="I219" s="152"/>
      <c r="J219" s="65"/>
      <c r="K219" s="65" t="s">
        <v>106</v>
      </c>
      <c r="L219" s="112"/>
      <c r="M219" s="58"/>
      <c r="N219" s="66" t="e">
        <f>IF(OR(AND(CodeFileListUsed="Yes",#REF!="",COUNTA(B219:C219,D219:F219)&lt;&gt;0),AND(COUNTA(B219:C219,D219:F219)&lt;&gt;0, COUNTA(B219:C219,D219:F219)&lt;&gt;COUNTA(B$13:C$13,D$13:F$13))),CheckErr,CheckOK)</f>
        <v>#REF!</v>
      </c>
      <c r="O219" s="50" t="str">
        <f t="shared" si="9"/>
        <v/>
      </c>
      <c r="P219" s="50" t="str">
        <f t="shared" si="10"/>
        <v/>
      </c>
    </row>
    <row r="220" spans="1:16" hidden="1">
      <c r="A220" s="57">
        <f t="shared" si="11"/>
        <v>207</v>
      </c>
      <c r="B220" s="68"/>
      <c r="C220" s="68"/>
      <c r="D220" s="68"/>
      <c r="E220" s="68"/>
      <c r="F220" s="152"/>
      <c r="G220" s="67"/>
      <c r="H220" s="65"/>
      <c r="I220" s="152"/>
      <c r="J220" s="65"/>
      <c r="K220" s="65" t="s">
        <v>106</v>
      </c>
      <c r="L220" s="112"/>
      <c r="M220" s="58"/>
      <c r="N220" s="66" t="e">
        <f>IF(OR(AND(CodeFileListUsed="Yes",#REF!="",COUNTA(B220:C220,D220:F220)&lt;&gt;0),AND(COUNTA(B220:C220,D220:F220)&lt;&gt;0, COUNTA(B220:C220,D220:F220)&lt;&gt;COUNTA(B$13:C$13,D$13:F$13))),CheckErr,CheckOK)</f>
        <v>#REF!</v>
      </c>
      <c r="O220" s="50" t="str">
        <f t="shared" si="9"/>
        <v/>
      </c>
      <c r="P220" s="50" t="str">
        <f t="shared" si="10"/>
        <v/>
      </c>
    </row>
    <row r="221" spans="1:16" hidden="1">
      <c r="A221" s="57">
        <f t="shared" si="11"/>
        <v>208</v>
      </c>
      <c r="B221" s="68"/>
      <c r="C221" s="68"/>
      <c r="D221" s="68"/>
      <c r="E221" s="68"/>
      <c r="F221" s="152"/>
      <c r="G221" s="67"/>
      <c r="H221" s="65"/>
      <c r="I221" s="152"/>
      <c r="J221" s="65"/>
      <c r="K221" s="65" t="s">
        <v>106</v>
      </c>
      <c r="L221" s="112"/>
      <c r="M221" s="58"/>
      <c r="N221" s="66" t="e">
        <f>IF(OR(AND(CodeFileListUsed="Yes",#REF!="",COUNTA(B221:C221,D221:F221)&lt;&gt;0),AND(COUNTA(B221:C221,D221:F221)&lt;&gt;0, COUNTA(B221:C221,D221:F221)&lt;&gt;COUNTA(B$13:C$13,D$13:F$13))),CheckErr,CheckOK)</f>
        <v>#REF!</v>
      </c>
      <c r="O221" s="50" t="str">
        <f t="shared" si="9"/>
        <v/>
      </c>
      <c r="P221" s="50" t="str">
        <f t="shared" si="10"/>
        <v/>
      </c>
    </row>
    <row r="222" spans="1:16" hidden="1">
      <c r="A222" s="57">
        <f t="shared" si="11"/>
        <v>209</v>
      </c>
      <c r="B222" s="68"/>
      <c r="C222" s="68"/>
      <c r="D222" s="68"/>
      <c r="E222" s="68"/>
      <c r="F222" s="152"/>
      <c r="G222" s="67"/>
      <c r="H222" s="65"/>
      <c r="I222" s="152"/>
      <c r="J222" s="65"/>
      <c r="K222" s="65" t="s">
        <v>106</v>
      </c>
      <c r="L222" s="112"/>
      <c r="M222" s="58"/>
      <c r="N222" s="66" t="e">
        <f>IF(OR(AND(CodeFileListUsed="Yes",#REF!="",COUNTA(B222:C222,D222:F222)&lt;&gt;0),AND(COUNTA(B222:C222,D222:F222)&lt;&gt;0, COUNTA(B222:C222,D222:F222)&lt;&gt;COUNTA(B$13:C$13,D$13:F$13))),CheckErr,CheckOK)</f>
        <v>#REF!</v>
      </c>
      <c r="O222" s="50" t="str">
        <f t="shared" si="9"/>
        <v/>
      </c>
      <c r="P222" s="50" t="str">
        <f t="shared" si="10"/>
        <v/>
      </c>
    </row>
    <row r="223" spans="1:16" hidden="1">
      <c r="A223" s="57">
        <f t="shared" si="11"/>
        <v>210</v>
      </c>
      <c r="B223" s="68"/>
      <c r="C223" s="68"/>
      <c r="D223" s="68"/>
      <c r="E223" s="68"/>
      <c r="F223" s="152"/>
      <c r="G223" s="67"/>
      <c r="H223" s="65"/>
      <c r="I223" s="152"/>
      <c r="J223" s="65"/>
      <c r="K223" s="65" t="s">
        <v>106</v>
      </c>
      <c r="L223" s="112"/>
      <c r="M223" s="58"/>
      <c r="N223" s="66" t="e">
        <f>IF(OR(AND(CodeFileListUsed="Yes",#REF!="",COUNTA(B223:C223,D223:F223)&lt;&gt;0),AND(COUNTA(B223:C223,D223:F223)&lt;&gt;0, COUNTA(B223:C223,D223:F223)&lt;&gt;COUNTA(B$13:C$13,D$13:F$13))),CheckErr,CheckOK)</f>
        <v>#REF!</v>
      </c>
      <c r="O223" s="50" t="str">
        <f t="shared" si="9"/>
        <v/>
      </c>
      <c r="P223" s="50" t="str">
        <f t="shared" si="10"/>
        <v/>
      </c>
    </row>
    <row r="224" spans="1:16" hidden="1">
      <c r="A224" s="57">
        <f t="shared" si="11"/>
        <v>211</v>
      </c>
      <c r="B224" s="68"/>
      <c r="C224" s="68"/>
      <c r="D224" s="68"/>
      <c r="E224" s="68"/>
      <c r="F224" s="152"/>
      <c r="G224" s="67"/>
      <c r="H224" s="65"/>
      <c r="I224" s="152"/>
      <c r="J224" s="65"/>
      <c r="K224" s="65" t="s">
        <v>106</v>
      </c>
      <c r="L224" s="112"/>
      <c r="M224" s="58"/>
      <c r="N224" s="66" t="e">
        <f>IF(OR(AND(CodeFileListUsed="Yes",#REF!="",COUNTA(B224:C224,D224:F224)&lt;&gt;0),AND(COUNTA(B224:C224,D224:F224)&lt;&gt;0, COUNTA(B224:C224,D224:F224)&lt;&gt;COUNTA(B$13:C$13,D$13:F$13))),CheckErr,CheckOK)</f>
        <v>#REF!</v>
      </c>
      <c r="O224" s="50" t="str">
        <f t="shared" si="9"/>
        <v/>
      </c>
      <c r="P224" s="50" t="str">
        <f t="shared" si="10"/>
        <v/>
      </c>
    </row>
    <row r="225" spans="1:16" hidden="1">
      <c r="A225" s="57">
        <f t="shared" si="11"/>
        <v>212</v>
      </c>
      <c r="B225" s="68"/>
      <c r="C225" s="68"/>
      <c r="D225" s="68"/>
      <c r="E225" s="68"/>
      <c r="F225" s="152"/>
      <c r="G225" s="67"/>
      <c r="H225" s="65"/>
      <c r="I225" s="152"/>
      <c r="J225" s="65"/>
      <c r="K225" s="65" t="s">
        <v>106</v>
      </c>
      <c r="L225" s="112"/>
      <c r="M225" s="58"/>
      <c r="N225" s="66" t="e">
        <f>IF(OR(AND(CodeFileListUsed="Yes",#REF!="",COUNTA(B225:C225,D225:F225)&lt;&gt;0),AND(COUNTA(B225:C225,D225:F225)&lt;&gt;0, COUNTA(B225:C225,D225:F225)&lt;&gt;COUNTA(B$13:C$13,D$13:F$13))),CheckErr,CheckOK)</f>
        <v>#REF!</v>
      </c>
      <c r="O225" s="50" t="str">
        <f t="shared" si="9"/>
        <v/>
      </c>
      <c r="P225" s="50" t="str">
        <f t="shared" si="10"/>
        <v/>
      </c>
    </row>
    <row r="226" spans="1:16" hidden="1">
      <c r="A226" s="57">
        <f t="shared" si="11"/>
        <v>213</v>
      </c>
      <c r="B226" s="68"/>
      <c r="C226" s="68"/>
      <c r="D226" s="68"/>
      <c r="E226" s="68"/>
      <c r="F226" s="152"/>
      <c r="G226" s="67"/>
      <c r="H226" s="65"/>
      <c r="I226" s="152"/>
      <c r="J226" s="65"/>
      <c r="K226" s="65" t="s">
        <v>106</v>
      </c>
      <c r="L226" s="112"/>
      <c r="M226" s="58"/>
      <c r="N226" s="66" t="e">
        <f>IF(OR(AND(CodeFileListUsed="Yes",#REF!="",COUNTA(B226:C226,D226:F226)&lt;&gt;0),AND(COUNTA(B226:C226,D226:F226)&lt;&gt;0, COUNTA(B226:C226,D226:F226)&lt;&gt;COUNTA(B$13:C$13,D$13:F$13))),CheckErr,CheckOK)</f>
        <v>#REF!</v>
      </c>
      <c r="O226" s="50" t="str">
        <f t="shared" si="9"/>
        <v/>
      </c>
      <c r="P226" s="50" t="str">
        <f t="shared" si="10"/>
        <v/>
      </c>
    </row>
    <row r="227" spans="1:16" hidden="1">
      <c r="A227" s="57">
        <f t="shared" si="11"/>
        <v>214</v>
      </c>
      <c r="B227" s="68"/>
      <c r="C227" s="68"/>
      <c r="D227" s="68"/>
      <c r="E227" s="68"/>
      <c r="F227" s="152"/>
      <c r="G227" s="67"/>
      <c r="H227" s="65"/>
      <c r="I227" s="152"/>
      <c r="J227" s="65"/>
      <c r="K227" s="65" t="s">
        <v>106</v>
      </c>
      <c r="L227" s="112"/>
      <c r="M227" s="58"/>
      <c r="N227" s="66" t="e">
        <f>IF(OR(AND(CodeFileListUsed="Yes",#REF!="",COUNTA(B227:C227,D227:F227)&lt;&gt;0),AND(COUNTA(B227:C227,D227:F227)&lt;&gt;0, COUNTA(B227:C227,D227:F227)&lt;&gt;COUNTA(B$13:C$13,D$13:F$13))),CheckErr,CheckOK)</f>
        <v>#REF!</v>
      </c>
      <c r="O227" s="50" t="str">
        <f t="shared" si="9"/>
        <v/>
      </c>
      <c r="P227" s="50" t="str">
        <f t="shared" si="10"/>
        <v/>
      </c>
    </row>
    <row r="228" spans="1:16" hidden="1">
      <c r="A228" s="57">
        <f t="shared" si="11"/>
        <v>215</v>
      </c>
      <c r="B228" s="68"/>
      <c r="C228" s="68"/>
      <c r="D228" s="68"/>
      <c r="E228" s="68"/>
      <c r="F228" s="152"/>
      <c r="G228" s="67"/>
      <c r="H228" s="65"/>
      <c r="I228" s="152"/>
      <c r="J228" s="65"/>
      <c r="K228" s="65" t="s">
        <v>106</v>
      </c>
      <c r="L228" s="112"/>
      <c r="M228" s="58"/>
      <c r="N228" s="66" t="e">
        <f>IF(OR(AND(CodeFileListUsed="Yes",#REF!="",COUNTA(B228:C228,D228:F228)&lt;&gt;0),AND(COUNTA(B228:C228,D228:F228)&lt;&gt;0, COUNTA(B228:C228,D228:F228)&lt;&gt;COUNTA(B$13:C$13,D$13:F$13))),CheckErr,CheckOK)</f>
        <v>#REF!</v>
      </c>
      <c r="O228" s="50" t="str">
        <f t="shared" si="9"/>
        <v/>
      </c>
      <c r="P228" s="50" t="str">
        <f t="shared" si="10"/>
        <v/>
      </c>
    </row>
    <row r="229" spans="1:16" hidden="1">
      <c r="A229" s="57">
        <f t="shared" si="11"/>
        <v>216</v>
      </c>
      <c r="B229" s="68"/>
      <c r="C229" s="68"/>
      <c r="D229" s="68"/>
      <c r="E229" s="68"/>
      <c r="F229" s="152"/>
      <c r="G229" s="67"/>
      <c r="H229" s="65"/>
      <c r="I229" s="152"/>
      <c r="J229" s="65"/>
      <c r="K229" s="65"/>
      <c r="L229" s="112"/>
      <c r="M229" s="58"/>
      <c r="N229" s="66" t="e">
        <f>IF(OR(AND(CodeFileListUsed="Yes",#REF!="",COUNTA(B229:C229,D229:F229)&lt;&gt;0),AND(COUNTA(B229:C229,D229:F229)&lt;&gt;0, COUNTA(B229:C229,D229:F229)&lt;&gt;COUNTA(B$13:C$13,D$13:F$13))),CheckErr,CheckOK)</f>
        <v>#REF!</v>
      </c>
      <c r="O229" s="50" t="str">
        <f t="shared" si="9"/>
        <v/>
      </c>
      <c r="P229" s="50" t="str">
        <f t="shared" si="10"/>
        <v/>
      </c>
    </row>
    <row r="230" spans="1:16" hidden="1">
      <c r="A230" s="57">
        <f t="shared" si="11"/>
        <v>217</v>
      </c>
      <c r="B230" s="68"/>
      <c r="C230" s="68"/>
      <c r="D230" s="68"/>
      <c r="E230" s="68"/>
      <c r="F230" s="152"/>
      <c r="G230" s="67"/>
      <c r="H230" s="65"/>
      <c r="I230" s="152"/>
      <c r="J230" s="65"/>
      <c r="K230" s="65" t="s">
        <v>106</v>
      </c>
      <c r="L230" s="112"/>
      <c r="M230" s="58"/>
      <c r="N230" s="66" t="e">
        <f>IF(OR(AND(CodeFileListUsed="Yes",#REF!="",COUNTA(B230:C230,D230:F230)&lt;&gt;0),AND(COUNTA(B230:C230,D230:F230)&lt;&gt;0, COUNTA(B230:C230,D230:F230)&lt;&gt;COUNTA(B$13:C$13,D$13:F$13))),CheckErr,CheckOK)</f>
        <v>#REF!</v>
      </c>
      <c r="O230" s="50" t="str">
        <f t="shared" si="9"/>
        <v/>
      </c>
      <c r="P230" s="50" t="str">
        <f t="shared" si="10"/>
        <v/>
      </c>
    </row>
    <row r="231" spans="1:16" hidden="1">
      <c r="A231" s="57">
        <f t="shared" si="11"/>
        <v>218</v>
      </c>
      <c r="B231" s="68"/>
      <c r="C231" s="68"/>
      <c r="D231" s="68"/>
      <c r="E231" s="68"/>
      <c r="F231" s="152"/>
      <c r="G231" s="67"/>
      <c r="H231" s="65"/>
      <c r="I231" s="152"/>
      <c r="J231" s="65"/>
      <c r="K231" s="65" t="s">
        <v>106</v>
      </c>
      <c r="L231" s="112"/>
      <c r="M231" s="58"/>
      <c r="N231" s="66" t="e">
        <f>IF(OR(AND(CodeFileListUsed="Yes",#REF!="",COUNTA(B231:C231,D231:F231)&lt;&gt;0),AND(COUNTA(B231:C231,D231:F231)&lt;&gt;0, COUNTA(B231:C231,D231:F231)&lt;&gt;COUNTA(B$13:C$13,D$13:F$13))),CheckErr,CheckOK)</f>
        <v>#REF!</v>
      </c>
      <c r="O231" s="50" t="str">
        <f t="shared" si="9"/>
        <v/>
      </c>
      <c r="P231" s="50" t="str">
        <f t="shared" si="10"/>
        <v/>
      </c>
    </row>
    <row r="232" spans="1:16" hidden="1">
      <c r="A232" s="57">
        <f t="shared" si="11"/>
        <v>219</v>
      </c>
      <c r="B232" s="68"/>
      <c r="C232" s="68"/>
      <c r="D232" s="68"/>
      <c r="E232" s="68"/>
      <c r="F232" s="152"/>
      <c r="G232" s="67"/>
      <c r="H232" s="65"/>
      <c r="I232" s="152"/>
      <c r="J232" s="65"/>
      <c r="K232" s="65" t="s">
        <v>106</v>
      </c>
      <c r="L232" s="112"/>
      <c r="M232" s="58"/>
      <c r="N232" s="66" t="e">
        <f>IF(OR(AND(CodeFileListUsed="Yes",#REF!="",COUNTA(B232:C232,D232:F232)&lt;&gt;0),AND(COUNTA(B232:C232,D232:F232)&lt;&gt;0, COUNTA(B232:C232,D232:F232)&lt;&gt;COUNTA(B$13:C$13,D$13:F$13))),CheckErr,CheckOK)</f>
        <v>#REF!</v>
      </c>
      <c r="O232" s="50" t="str">
        <f t="shared" si="9"/>
        <v/>
      </c>
      <c r="P232" s="50" t="str">
        <f t="shared" si="10"/>
        <v/>
      </c>
    </row>
    <row r="233" spans="1:16" hidden="1">
      <c r="A233" s="57">
        <f t="shared" si="11"/>
        <v>220</v>
      </c>
      <c r="B233" s="68"/>
      <c r="C233" s="68"/>
      <c r="D233" s="68"/>
      <c r="E233" s="68"/>
      <c r="F233" s="152"/>
      <c r="G233" s="67"/>
      <c r="H233" s="65"/>
      <c r="I233" s="152"/>
      <c r="J233" s="65"/>
      <c r="K233" s="65" t="s">
        <v>106</v>
      </c>
      <c r="L233" s="112"/>
      <c r="M233" s="58"/>
      <c r="N233" s="66" t="e">
        <f>IF(OR(AND(CodeFileListUsed="Yes",#REF!="",COUNTA(B233:C233,D233:F233)&lt;&gt;0),AND(COUNTA(B233:C233,D233:F233)&lt;&gt;0, COUNTA(B233:C233,D233:F233)&lt;&gt;COUNTA(B$13:C$13,D$13:F$13))),CheckErr,CheckOK)</f>
        <v>#REF!</v>
      </c>
      <c r="O233" s="50" t="str">
        <f t="shared" si="9"/>
        <v/>
      </c>
      <c r="P233" s="50" t="str">
        <f t="shared" si="10"/>
        <v/>
      </c>
    </row>
    <row r="234" spans="1:16" hidden="1">
      <c r="A234" s="57">
        <f t="shared" si="11"/>
        <v>221</v>
      </c>
      <c r="B234" s="68"/>
      <c r="C234" s="68"/>
      <c r="D234" s="68"/>
      <c r="E234" s="68"/>
      <c r="F234" s="152"/>
      <c r="G234" s="67"/>
      <c r="H234" s="65"/>
      <c r="I234" s="152"/>
      <c r="J234" s="65"/>
      <c r="K234" s="65" t="s">
        <v>106</v>
      </c>
      <c r="L234" s="112"/>
      <c r="M234" s="58"/>
      <c r="N234" s="66" t="e">
        <f>IF(OR(AND(CodeFileListUsed="Yes",#REF!="",COUNTA(B234:C234,D234:F234)&lt;&gt;0),AND(COUNTA(B234:C234,D234:F234)&lt;&gt;0, COUNTA(B234:C234,D234:F234)&lt;&gt;COUNTA(B$13:C$13,D$13:F$13))),CheckErr,CheckOK)</f>
        <v>#REF!</v>
      </c>
      <c r="O234" s="50" t="str">
        <f t="shared" si="9"/>
        <v/>
      </c>
      <c r="P234" s="50" t="str">
        <f t="shared" si="10"/>
        <v/>
      </c>
    </row>
    <row r="235" spans="1:16" hidden="1">
      <c r="A235" s="57">
        <f t="shared" si="11"/>
        <v>222</v>
      </c>
      <c r="B235" s="68"/>
      <c r="C235" s="68"/>
      <c r="D235" s="68"/>
      <c r="E235" s="68"/>
      <c r="F235" s="152"/>
      <c r="G235" s="67"/>
      <c r="H235" s="65"/>
      <c r="I235" s="152"/>
      <c r="J235" s="65"/>
      <c r="K235" s="65" t="s">
        <v>106</v>
      </c>
      <c r="L235" s="112"/>
      <c r="M235" s="58"/>
      <c r="N235" s="66" t="e">
        <f>IF(OR(AND(CodeFileListUsed="Yes",#REF!="",COUNTA(B235:C235,D235:F235)&lt;&gt;0),AND(COUNTA(B235:C235,D235:F235)&lt;&gt;0, COUNTA(B235:C235,D235:F235)&lt;&gt;COUNTA(B$13:C$13,D$13:F$13))),CheckErr,CheckOK)</f>
        <v>#REF!</v>
      </c>
      <c r="O235" s="50" t="str">
        <f t="shared" si="9"/>
        <v/>
      </c>
      <c r="P235" s="50" t="str">
        <f t="shared" si="10"/>
        <v/>
      </c>
    </row>
    <row r="236" spans="1:16" hidden="1">
      <c r="A236" s="57">
        <f t="shared" si="11"/>
        <v>223</v>
      </c>
      <c r="B236" s="68"/>
      <c r="C236" s="68"/>
      <c r="D236" s="68"/>
      <c r="E236" s="68"/>
      <c r="F236" s="152"/>
      <c r="G236" s="67"/>
      <c r="H236" s="65"/>
      <c r="I236" s="152"/>
      <c r="J236" s="65"/>
      <c r="K236" s="65" t="s">
        <v>106</v>
      </c>
      <c r="L236" s="112"/>
      <c r="M236" s="58"/>
      <c r="N236" s="66" t="e">
        <f>IF(OR(AND(CodeFileListUsed="Yes",#REF!="",COUNTA(B236:C236,D236:F236)&lt;&gt;0),AND(COUNTA(B236:C236,D236:F236)&lt;&gt;0, COUNTA(B236:C236,D236:F236)&lt;&gt;COUNTA(B$13:C$13,D$13:F$13))),CheckErr,CheckOK)</f>
        <v>#REF!</v>
      </c>
      <c r="O236" s="50" t="str">
        <f t="shared" si="9"/>
        <v/>
      </c>
      <c r="P236" s="50" t="str">
        <f t="shared" si="10"/>
        <v/>
      </c>
    </row>
    <row r="237" spans="1:16" hidden="1">
      <c r="A237" s="57">
        <f t="shared" si="11"/>
        <v>224</v>
      </c>
      <c r="B237" s="68"/>
      <c r="C237" s="68"/>
      <c r="D237" s="68"/>
      <c r="E237" s="68"/>
      <c r="F237" s="152"/>
      <c r="G237" s="67"/>
      <c r="H237" s="65"/>
      <c r="I237" s="152"/>
      <c r="J237" s="65"/>
      <c r="K237" s="65" t="s">
        <v>106</v>
      </c>
      <c r="L237" s="112"/>
      <c r="M237" s="58"/>
      <c r="N237" s="66" t="e">
        <f>IF(OR(AND(CodeFileListUsed="Yes",#REF!="",COUNTA(B237:C237,D237:F237)&lt;&gt;0),AND(COUNTA(B237:C237,D237:F237)&lt;&gt;0, COUNTA(B237:C237,D237:F237)&lt;&gt;COUNTA(B$13:C$13,D$13:F$13))),CheckErr,CheckOK)</f>
        <v>#REF!</v>
      </c>
      <c r="O237" s="50" t="str">
        <f t="shared" si="9"/>
        <v/>
      </c>
      <c r="P237" s="50" t="str">
        <f t="shared" si="10"/>
        <v/>
      </c>
    </row>
    <row r="238" spans="1:16" hidden="1">
      <c r="A238" s="57">
        <f t="shared" si="11"/>
        <v>225</v>
      </c>
      <c r="B238" s="68"/>
      <c r="C238" s="68"/>
      <c r="D238" s="68"/>
      <c r="E238" s="68"/>
      <c r="F238" s="152"/>
      <c r="G238" s="67"/>
      <c r="H238" s="65"/>
      <c r="I238" s="152"/>
      <c r="J238" s="65"/>
      <c r="K238" s="65" t="s">
        <v>106</v>
      </c>
      <c r="L238" s="112"/>
      <c r="M238" s="58"/>
      <c r="N238" s="66" t="e">
        <f>IF(OR(AND(CodeFileListUsed="Yes",#REF!="",COUNTA(B238:C238,D238:F238)&lt;&gt;0),AND(COUNTA(B238:C238,D238:F238)&lt;&gt;0, COUNTA(B238:C238,D238:F238)&lt;&gt;COUNTA(B$13:C$13,D$13:F$13))),CheckErr,CheckOK)</f>
        <v>#REF!</v>
      </c>
      <c r="O238" s="50" t="str">
        <f t="shared" si="9"/>
        <v/>
      </c>
      <c r="P238" s="50" t="str">
        <f t="shared" si="10"/>
        <v/>
      </c>
    </row>
    <row r="239" spans="1:16" hidden="1">
      <c r="A239" s="193" t="s">
        <v>105</v>
      </c>
      <c r="B239" s="194"/>
      <c r="C239" s="194"/>
      <c r="D239" s="194"/>
      <c r="E239" s="194"/>
      <c r="F239" s="194"/>
      <c r="G239" s="194"/>
      <c r="H239" s="194"/>
      <c r="I239" s="194"/>
      <c r="J239" s="194"/>
      <c r="K239" s="194"/>
      <c r="L239" s="194"/>
      <c r="M239" s="194"/>
      <c r="N239" s="194"/>
      <c r="O239" s="194"/>
      <c r="P239" s="194"/>
    </row>
  </sheetData>
  <sheetProtection insertRows="0"/>
  <autoFilter ref="A13:P239">
    <filterColumn colId="3"/>
    <filterColumn colId="5">
      <customFilters>
        <customFilter val="*typo*"/>
        <customFilter val="*reword*"/>
      </customFilters>
    </filterColumn>
    <filterColumn colId="9">
      <filters blank="1"/>
    </filterColumn>
    <filterColumn colId="10">
      <filters blank="1"/>
    </filterColumn>
  </autoFilter>
  <mergeCells count="17">
    <mergeCell ref="D7:F7"/>
    <mergeCell ref="A8:C8"/>
    <mergeCell ref="D8:F8"/>
    <mergeCell ref="D3:J3"/>
    <mergeCell ref="D10:J10"/>
    <mergeCell ref="A239:P239"/>
    <mergeCell ref="A9:D9"/>
    <mergeCell ref="D5:F5"/>
    <mergeCell ref="D6:F6"/>
    <mergeCell ref="A6:C6"/>
    <mergeCell ref="D11:E11"/>
    <mergeCell ref="H11:J11"/>
    <mergeCell ref="A3:C3"/>
    <mergeCell ref="A4:C4"/>
    <mergeCell ref="A5:C5"/>
    <mergeCell ref="D4:F4"/>
    <mergeCell ref="A7:C7"/>
  </mergeCells>
  <conditionalFormatting sqref="N4:N5 O1:P238 N14:N238 N240:P65536">
    <cfRule type="cellIs" dxfId="14" priority="11" stopIfTrue="1" operator="equal">
      <formula>CheckErr</formula>
    </cfRule>
  </conditionalFormatting>
  <conditionalFormatting sqref="L14:L238">
    <cfRule type="expression" dxfId="13" priority="2" stopIfTrue="1">
      <formula>$P14=CheckErr</formula>
    </cfRule>
  </conditionalFormatting>
  <conditionalFormatting sqref="H14:K238">
    <cfRule type="expression" dxfId="12" priority="18" stopIfTrue="1">
      <formula>$O14=CheckErr</formula>
    </cfRule>
  </conditionalFormatting>
  <conditionalFormatting sqref="D4:F5 B14:F238">
    <cfRule type="expression" dxfId="11" priority="20" stopIfTrue="1">
      <formula>$N4=CheckErr</formula>
    </cfRule>
  </conditionalFormatting>
  <dataValidations count="8">
    <dataValidation allowBlank="1" showErrorMessage="1" promptTitle="Reviewer Name" prompt="The reviewer should enter their name here when performing a review. When producing a consolidated RRR, the author should set this to 'N/A' (the reviewer names can be found on the 'Metrics' sheet)." sqref="O7 P8 N4:N6"/>
    <dataValidation type="textLength" allowBlank="1" showInputMessage="1" showErrorMessage="1" sqref="L14:L238">
      <formula1>2</formula1>
      <formula2>4</formula2>
    </dataValidation>
    <dataValidation type="list" allowBlank="1" showInputMessage="1" showErrorMessage="1" sqref="J14:J238">
      <formula1>"Accepted,Rejected,Duplicate,Noted"</formula1>
    </dataValidation>
    <dataValidation type="list" showInputMessage="1" showErrorMessage="1" sqref="K14:K238">
      <formula1>"Y,y,-"</formula1>
    </dataValidation>
    <dataValidation operator="greaterThan" allowBlank="1" showInputMessage="1" showErrorMessage="1" sqref="D14:E238"/>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D4:F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D5:F5"/>
    <dataValidation allowBlank="1" showInputMessage="1" showErrorMessage="1" promptTitle="Time Spent" prompt="This data is entered in the &quot;Metrics&quot; sheet." sqref="D6:F8"/>
  </dataValidations>
  <pageMargins left="0.74803149606299213" right="0.74803149606299213" top="0.98425196850393704" bottom="0.98425196850393704" header="0.51181102362204722" footer="0.51181102362204722"/>
  <pageSetup paperSize="9" scale="73"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2"/>
  <dimension ref="A1:S130"/>
  <sheetViews>
    <sheetView workbookViewId="0">
      <selection activeCell="B3" sqref="B3:C3"/>
    </sheetView>
  </sheetViews>
  <sheetFormatPr defaultRowHeight="13.5"/>
  <cols>
    <col min="1" max="1" width="13.875" style="89" bestFit="1" customWidth="1"/>
    <col min="2" max="2" width="17.25" style="89" bestFit="1" customWidth="1"/>
    <col min="3" max="3" width="52.25" style="89" bestFit="1" customWidth="1"/>
    <col min="4" max="4" width="17.25" style="89" bestFit="1" customWidth="1"/>
    <col min="5" max="5" width="53" style="89" customWidth="1"/>
    <col min="6" max="6" width="17.25" style="89" customWidth="1"/>
    <col min="7" max="7" width="62.375" style="89" customWidth="1"/>
    <col min="8" max="8" width="16.5" style="89" bestFit="1" customWidth="1"/>
    <col min="9" max="9" width="62.375" style="89" customWidth="1"/>
    <col min="10" max="10" width="18" style="89" customWidth="1"/>
    <col min="11" max="11" width="25.875" style="89" customWidth="1"/>
    <col min="12" max="12" width="11.5" style="89" bestFit="1" customWidth="1"/>
    <col min="13" max="13" width="62.375" style="89" customWidth="1"/>
    <col min="14" max="14" width="11.5" style="89" bestFit="1" customWidth="1"/>
    <col min="15" max="15" width="62.375" style="89" customWidth="1"/>
    <col min="16" max="16" width="11.5" style="89" bestFit="1" customWidth="1"/>
    <col min="17" max="18" width="62.375" style="89" customWidth="1"/>
    <col min="19" max="19" width="9" style="89"/>
    <col min="20" max="16384" width="9" style="162"/>
  </cols>
  <sheetData>
    <row r="1" spans="1:19" ht="13.5" customHeight="1">
      <c r="A1" s="160" t="s">
        <v>139</v>
      </c>
      <c r="B1" s="206" t="s">
        <v>518</v>
      </c>
      <c r="C1" s="208"/>
      <c r="D1" s="206" t="s">
        <v>324</v>
      </c>
      <c r="E1" s="207"/>
      <c r="F1" s="206" t="s">
        <v>407</v>
      </c>
      <c r="G1" s="207"/>
      <c r="H1" s="206" t="s">
        <v>445</v>
      </c>
      <c r="I1" s="207"/>
      <c r="J1" s="206" t="s">
        <v>553</v>
      </c>
      <c r="K1" s="207"/>
      <c r="L1" s="206" t="s">
        <v>524</v>
      </c>
      <c r="M1" s="207"/>
      <c r="N1" s="206" t="s">
        <v>479</v>
      </c>
      <c r="O1" s="207"/>
      <c r="P1" s="206" t="s">
        <v>143</v>
      </c>
      <c r="Q1" s="207"/>
      <c r="R1" s="209" t="s">
        <v>193</v>
      </c>
      <c r="S1" s="161" t="s">
        <v>389</v>
      </c>
    </row>
    <row r="2" spans="1:19" ht="13.5" customHeight="1">
      <c r="A2" s="160" t="s">
        <v>140</v>
      </c>
      <c r="B2" s="206" t="s">
        <v>550</v>
      </c>
      <c r="C2" s="208"/>
      <c r="D2" s="206" t="s">
        <v>325</v>
      </c>
      <c r="E2" s="207"/>
      <c r="F2" s="206" t="s">
        <v>406</v>
      </c>
      <c r="G2" s="207"/>
      <c r="H2" s="206" t="s">
        <v>552</v>
      </c>
      <c r="I2" s="207"/>
      <c r="J2" s="206" t="s">
        <v>552</v>
      </c>
      <c r="K2" s="207"/>
      <c r="L2" s="206" t="s">
        <v>552</v>
      </c>
      <c r="M2" s="207"/>
      <c r="N2" s="206" t="s">
        <v>552</v>
      </c>
      <c r="O2" s="207"/>
      <c r="P2" s="206" t="s">
        <v>401</v>
      </c>
      <c r="Q2" s="207"/>
      <c r="R2" s="210"/>
      <c r="S2" s="161"/>
    </row>
    <row r="3" spans="1:19" ht="13.5" customHeight="1">
      <c r="A3" s="160" t="s">
        <v>141</v>
      </c>
      <c r="B3" s="206" t="s">
        <v>551</v>
      </c>
      <c r="C3" s="208"/>
      <c r="D3" s="206" t="s">
        <v>326</v>
      </c>
      <c r="E3" s="207"/>
      <c r="F3" s="206" t="s">
        <v>144</v>
      </c>
      <c r="G3" s="207"/>
      <c r="H3" s="206" t="s">
        <v>144</v>
      </c>
      <c r="I3" s="207"/>
      <c r="J3" s="206" t="s">
        <v>144</v>
      </c>
      <c r="K3" s="207"/>
      <c r="L3" s="206" t="s">
        <v>144</v>
      </c>
      <c r="M3" s="207"/>
      <c r="N3" s="206" t="s">
        <v>554</v>
      </c>
      <c r="O3" s="207"/>
      <c r="P3" s="206" t="s">
        <v>144</v>
      </c>
      <c r="Q3" s="207"/>
      <c r="R3" s="211"/>
      <c r="S3" s="161"/>
    </row>
    <row r="4" spans="1:19" ht="14.25" customHeight="1" thickBot="1">
      <c r="A4" s="160" t="s">
        <v>364</v>
      </c>
      <c r="B4" s="206" t="s">
        <v>374</v>
      </c>
      <c r="C4" s="208"/>
      <c r="D4" s="206" t="s">
        <v>390</v>
      </c>
      <c r="E4" s="207"/>
      <c r="F4" s="206" t="s">
        <v>440</v>
      </c>
      <c r="G4" s="207"/>
      <c r="H4" s="206" t="s">
        <v>440</v>
      </c>
      <c r="I4" s="207"/>
      <c r="J4" s="206" t="s">
        <v>549</v>
      </c>
      <c r="K4" s="207"/>
      <c r="L4" s="206" t="s">
        <v>440</v>
      </c>
      <c r="M4" s="207"/>
      <c r="N4" s="206" t="s">
        <v>480</v>
      </c>
      <c r="O4" s="207"/>
      <c r="P4" s="206" t="s">
        <v>390</v>
      </c>
      <c r="Q4" s="207"/>
      <c r="R4" s="161" t="s">
        <v>390</v>
      </c>
      <c r="S4" s="161"/>
    </row>
    <row r="5" spans="1:19" ht="19.5">
      <c r="B5" s="89" t="s">
        <v>365</v>
      </c>
      <c r="C5" s="163" t="s">
        <v>366</v>
      </c>
      <c r="D5" s="89" t="s">
        <v>365</v>
      </c>
      <c r="E5" s="163" t="s">
        <v>327</v>
      </c>
      <c r="F5" s="148" t="s">
        <v>365</v>
      </c>
      <c r="G5" s="163" t="s">
        <v>408</v>
      </c>
      <c r="H5" s="89" t="s">
        <v>365</v>
      </c>
      <c r="I5" s="163" t="s">
        <v>446</v>
      </c>
      <c r="J5" s="170" t="s">
        <v>365</v>
      </c>
      <c r="K5" s="171" t="s">
        <v>541</v>
      </c>
      <c r="L5" s="89" t="s">
        <v>365</v>
      </c>
      <c r="M5" s="163" t="s">
        <v>525</v>
      </c>
      <c r="N5" s="89" t="s">
        <v>365</v>
      </c>
      <c r="O5" s="163" t="s">
        <v>487</v>
      </c>
      <c r="P5" s="89" t="s">
        <v>365</v>
      </c>
      <c r="Q5" s="163" t="s">
        <v>142</v>
      </c>
    </row>
    <row r="6" spans="1:19" ht="40.5">
      <c r="B6" s="89" t="s">
        <v>367</v>
      </c>
      <c r="C6" s="89" t="s">
        <v>136</v>
      </c>
      <c r="D6" s="89" t="s">
        <v>367</v>
      </c>
      <c r="E6" s="89" t="s">
        <v>328</v>
      </c>
      <c r="F6" s="89" t="s">
        <v>367</v>
      </c>
      <c r="G6" s="89" t="s">
        <v>409</v>
      </c>
      <c r="H6" s="89" t="s">
        <v>403</v>
      </c>
      <c r="I6" s="89" t="s">
        <v>447</v>
      </c>
      <c r="J6" s="89" t="s">
        <v>367</v>
      </c>
      <c r="K6" s="89" t="s">
        <v>542</v>
      </c>
      <c r="L6" s="89" t="s">
        <v>403</v>
      </c>
      <c r="M6" s="89" t="s">
        <v>526</v>
      </c>
      <c r="N6" s="89" t="s">
        <v>476</v>
      </c>
      <c r="O6" s="89" t="s">
        <v>523</v>
      </c>
      <c r="P6" s="89" t="s">
        <v>375</v>
      </c>
      <c r="Q6" s="89" t="s">
        <v>205</v>
      </c>
    </row>
    <row r="7" spans="1:19" ht="42">
      <c r="B7" s="89" t="s">
        <v>367</v>
      </c>
      <c r="C7" s="89" t="s">
        <v>155</v>
      </c>
      <c r="D7" s="89" t="s">
        <v>367</v>
      </c>
      <c r="E7" s="89" t="s">
        <v>329</v>
      </c>
      <c r="F7" s="89" t="s">
        <v>367</v>
      </c>
      <c r="G7" s="89" t="s">
        <v>410</v>
      </c>
      <c r="H7" s="89" t="s">
        <v>365</v>
      </c>
      <c r="I7" s="163" t="s">
        <v>448</v>
      </c>
      <c r="J7" s="89" t="s">
        <v>540</v>
      </c>
      <c r="K7" s="89" t="s">
        <v>543</v>
      </c>
      <c r="L7" s="89" t="s">
        <v>403</v>
      </c>
      <c r="M7" s="89" t="s">
        <v>527</v>
      </c>
      <c r="N7" s="89" t="s">
        <v>476</v>
      </c>
      <c r="O7" s="89" t="s">
        <v>481</v>
      </c>
      <c r="P7" s="89" t="s">
        <v>375</v>
      </c>
      <c r="Q7" s="89" t="s">
        <v>206</v>
      </c>
    </row>
    <row r="8" spans="1:19" ht="40.5">
      <c r="B8" s="89" t="s">
        <v>367</v>
      </c>
      <c r="C8" s="89" t="s">
        <v>137</v>
      </c>
      <c r="D8" s="89" t="s">
        <v>367</v>
      </c>
      <c r="E8" s="89" t="s">
        <v>330</v>
      </c>
      <c r="F8" s="89" t="s">
        <v>367</v>
      </c>
      <c r="G8" s="89" t="s">
        <v>441</v>
      </c>
      <c r="H8" s="89" t="s">
        <v>403</v>
      </c>
      <c r="I8" s="89" t="s">
        <v>449</v>
      </c>
      <c r="J8" s="89" t="s">
        <v>540</v>
      </c>
      <c r="K8" s="89" t="s">
        <v>544</v>
      </c>
      <c r="L8" s="89" t="s">
        <v>403</v>
      </c>
      <c r="M8" s="89" t="s">
        <v>528</v>
      </c>
      <c r="N8" s="89" t="s">
        <v>375</v>
      </c>
      <c r="O8" s="89" t="s">
        <v>482</v>
      </c>
      <c r="P8" s="89" t="s">
        <v>375</v>
      </c>
      <c r="Q8" s="89" t="s">
        <v>207</v>
      </c>
    </row>
    <row r="9" spans="1:19" ht="40.5">
      <c r="B9" s="89" t="s">
        <v>367</v>
      </c>
      <c r="C9" s="89" t="s">
        <v>138</v>
      </c>
      <c r="D9" s="89" t="s">
        <v>367</v>
      </c>
      <c r="E9" s="89" t="s">
        <v>331</v>
      </c>
      <c r="F9" s="89" t="s">
        <v>367</v>
      </c>
      <c r="G9" s="89" t="s">
        <v>411</v>
      </c>
      <c r="H9" s="89" t="s">
        <v>375</v>
      </c>
      <c r="I9" s="89" t="s">
        <v>450</v>
      </c>
      <c r="J9" s="89" t="s">
        <v>540</v>
      </c>
      <c r="K9" s="89" t="s">
        <v>545</v>
      </c>
      <c r="L9" s="89" t="s">
        <v>403</v>
      </c>
      <c r="M9" s="89" t="s">
        <v>529</v>
      </c>
      <c r="N9" s="89" t="s">
        <v>403</v>
      </c>
      <c r="O9" s="89" t="s">
        <v>483</v>
      </c>
      <c r="P9" s="89" t="s">
        <v>375</v>
      </c>
      <c r="Q9" s="89" t="s">
        <v>208</v>
      </c>
    </row>
    <row r="10" spans="1:19" ht="27">
      <c r="B10" s="89" t="s">
        <v>367</v>
      </c>
      <c r="C10" s="89" t="s">
        <v>368</v>
      </c>
      <c r="D10" s="89" t="s">
        <v>367</v>
      </c>
      <c r="E10" s="89" t="s">
        <v>332</v>
      </c>
      <c r="F10" s="89" t="s">
        <v>367</v>
      </c>
      <c r="G10" s="89" t="s">
        <v>412</v>
      </c>
      <c r="H10" s="89" t="s">
        <v>375</v>
      </c>
      <c r="I10" s="89" t="s">
        <v>451</v>
      </c>
      <c r="J10" s="89" t="s">
        <v>367</v>
      </c>
      <c r="K10" s="89" t="s">
        <v>546</v>
      </c>
      <c r="L10" s="89" t="s">
        <v>375</v>
      </c>
      <c r="M10" s="89" t="s">
        <v>530</v>
      </c>
      <c r="N10" s="89" t="s">
        <v>476</v>
      </c>
      <c r="O10" s="89" t="s">
        <v>484</v>
      </c>
      <c r="P10" s="89" t="s">
        <v>375</v>
      </c>
      <c r="Q10" s="89" t="s">
        <v>209</v>
      </c>
    </row>
    <row r="11" spans="1:19" ht="28.5">
      <c r="B11" s="89" t="s">
        <v>367</v>
      </c>
      <c r="C11" s="89" t="s">
        <v>369</v>
      </c>
      <c r="D11" s="89" t="s">
        <v>365</v>
      </c>
      <c r="E11" s="163" t="s">
        <v>333</v>
      </c>
      <c r="F11" s="89" t="s">
        <v>367</v>
      </c>
      <c r="G11" s="89" t="s">
        <v>413</v>
      </c>
      <c r="H11" s="89" t="s">
        <v>375</v>
      </c>
      <c r="I11" s="89" t="s">
        <v>452</v>
      </c>
      <c r="J11" s="89" t="s">
        <v>367</v>
      </c>
      <c r="K11" s="89" t="s">
        <v>547</v>
      </c>
      <c r="L11" s="89" t="s">
        <v>375</v>
      </c>
      <c r="M11" s="89" t="s">
        <v>531</v>
      </c>
      <c r="N11" s="89" t="s">
        <v>403</v>
      </c>
      <c r="O11" s="89" t="s">
        <v>485</v>
      </c>
      <c r="P11" s="89" t="s">
        <v>375</v>
      </c>
      <c r="Q11" s="89" t="s">
        <v>210</v>
      </c>
    </row>
    <row r="12" spans="1:19" ht="42">
      <c r="B12" s="89" t="s">
        <v>367</v>
      </c>
      <c r="C12" s="89" t="s">
        <v>539</v>
      </c>
      <c r="D12" s="89" t="s">
        <v>375</v>
      </c>
      <c r="E12" s="89" t="s">
        <v>334</v>
      </c>
      <c r="F12" s="89" t="s">
        <v>367</v>
      </c>
      <c r="G12" s="89" t="s">
        <v>414</v>
      </c>
      <c r="H12" s="89" t="s">
        <v>365</v>
      </c>
      <c r="I12" s="163" t="s">
        <v>453</v>
      </c>
      <c r="J12" s="89" t="s">
        <v>375</v>
      </c>
      <c r="K12" s="89" t="s">
        <v>548</v>
      </c>
      <c r="L12" s="89" t="s">
        <v>375</v>
      </c>
      <c r="M12" s="89" t="s">
        <v>532</v>
      </c>
      <c r="N12" s="89" t="s">
        <v>403</v>
      </c>
      <c r="O12" s="89" t="s">
        <v>486</v>
      </c>
      <c r="P12" s="89" t="s">
        <v>375</v>
      </c>
      <c r="Q12" s="89" t="s">
        <v>211</v>
      </c>
    </row>
    <row r="13" spans="1:19" ht="42">
      <c r="B13" s="89" t="s">
        <v>367</v>
      </c>
      <c r="C13" s="89" t="s">
        <v>370</v>
      </c>
      <c r="D13" s="89" t="s">
        <v>375</v>
      </c>
      <c r="E13" s="89" t="s">
        <v>335</v>
      </c>
      <c r="F13" s="89" t="s">
        <v>367</v>
      </c>
      <c r="G13" s="89" t="s">
        <v>415</v>
      </c>
      <c r="H13" s="89" t="s">
        <v>403</v>
      </c>
      <c r="I13" s="89" t="s">
        <v>454</v>
      </c>
      <c r="L13" s="89" t="s">
        <v>476</v>
      </c>
      <c r="M13" s="89" t="s">
        <v>533</v>
      </c>
      <c r="N13" s="89" t="s">
        <v>365</v>
      </c>
      <c r="O13" s="163" t="s">
        <v>488</v>
      </c>
      <c r="P13" s="89" t="s">
        <v>375</v>
      </c>
      <c r="Q13" s="89" t="s">
        <v>212</v>
      </c>
    </row>
    <row r="14" spans="1:19" ht="54">
      <c r="B14" s="89" t="s">
        <v>367</v>
      </c>
      <c r="C14" s="89" t="s">
        <v>371</v>
      </c>
      <c r="D14" s="89" t="s">
        <v>375</v>
      </c>
      <c r="E14" s="89" t="s">
        <v>336</v>
      </c>
      <c r="F14" s="89" t="s">
        <v>367</v>
      </c>
      <c r="G14" s="89" t="s">
        <v>416</v>
      </c>
      <c r="H14" s="89" t="s">
        <v>375</v>
      </c>
      <c r="I14" s="89" t="s">
        <v>519</v>
      </c>
      <c r="L14" s="89" t="s">
        <v>476</v>
      </c>
      <c r="M14" s="89" t="s">
        <v>534</v>
      </c>
      <c r="N14" s="89" t="s">
        <v>403</v>
      </c>
      <c r="O14" s="89" t="s">
        <v>489</v>
      </c>
      <c r="P14" s="89" t="s">
        <v>375</v>
      </c>
      <c r="Q14" s="89" t="s">
        <v>213</v>
      </c>
    </row>
    <row r="15" spans="1:19" ht="27">
      <c r="B15" s="89" t="s">
        <v>367</v>
      </c>
      <c r="C15" s="89" t="s">
        <v>372</v>
      </c>
      <c r="D15" s="89" t="s">
        <v>375</v>
      </c>
      <c r="E15" s="89" t="s">
        <v>337</v>
      </c>
      <c r="F15" s="89" t="s">
        <v>367</v>
      </c>
      <c r="G15" s="89" t="s">
        <v>417</v>
      </c>
      <c r="H15" s="89" t="s">
        <v>403</v>
      </c>
      <c r="I15" s="89" t="s">
        <v>455</v>
      </c>
      <c r="L15" s="89" t="s">
        <v>476</v>
      </c>
      <c r="M15" s="89" t="s">
        <v>535</v>
      </c>
      <c r="N15" s="89" t="s">
        <v>403</v>
      </c>
      <c r="O15" s="89" t="s">
        <v>490</v>
      </c>
      <c r="P15" s="89" t="s">
        <v>375</v>
      </c>
      <c r="Q15" s="89" t="s">
        <v>214</v>
      </c>
    </row>
    <row r="16" spans="1:19" ht="40.5">
      <c r="B16" s="89" t="s">
        <v>367</v>
      </c>
      <c r="C16" s="89" t="s">
        <v>373</v>
      </c>
      <c r="D16" s="89" t="s">
        <v>375</v>
      </c>
      <c r="E16" s="89" t="s">
        <v>338</v>
      </c>
      <c r="F16" s="89" t="s">
        <v>367</v>
      </c>
      <c r="G16" s="89" t="s">
        <v>418</v>
      </c>
      <c r="H16" s="89" t="s">
        <v>403</v>
      </c>
      <c r="I16" s="89" t="s">
        <v>456</v>
      </c>
      <c r="L16" s="89" t="s">
        <v>476</v>
      </c>
      <c r="M16" s="89" t="s">
        <v>536</v>
      </c>
      <c r="N16" s="89" t="s">
        <v>476</v>
      </c>
      <c r="O16" s="89" t="s">
        <v>491</v>
      </c>
      <c r="P16" s="89" t="s">
        <v>375</v>
      </c>
      <c r="Q16" s="89" t="s">
        <v>215</v>
      </c>
    </row>
    <row r="17" spans="4:17" ht="28.5">
      <c r="D17" s="89" t="s">
        <v>375</v>
      </c>
      <c r="E17" s="89" t="s">
        <v>339</v>
      </c>
      <c r="F17" s="89" t="s">
        <v>367</v>
      </c>
      <c r="G17" s="89" t="s">
        <v>419</v>
      </c>
      <c r="H17" s="89" t="s">
        <v>365</v>
      </c>
      <c r="I17" s="163" t="s">
        <v>478</v>
      </c>
      <c r="J17" s="163"/>
      <c r="K17" s="163"/>
      <c r="N17" s="89" t="s">
        <v>403</v>
      </c>
      <c r="O17" s="89" t="s">
        <v>492</v>
      </c>
      <c r="P17" s="89" t="s">
        <v>375</v>
      </c>
      <c r="Q17" s="89" t="s">
        <v>216</v>
      </c>
    </row>
    <row r="18" spans="4:17" ht="27">
      <c r="D18" s="89" t="s">
        <v>375</v>
      </c>
      <c r="E18" s="89" t="s">
        <v>340</v>
      </c>
      <c r="F18" s="89" t="s">
        <v>367</v>
      </c>
      <c r="G18" s="89" t="s">
        <v>420</v>
      </c>
      <c r="H18" s="89" t="s">
        <v>375</v>
      </c>
      <c r="I18" s="89" t="s">
        <v>457</v>
      </c>
      <c r="N18" s="89" t="s">
        <v>375</v>
      </c>
      <c r="O18" s="89" t="s">
        <v>493</v>
      </c>
      <c r="P18" s="89" t="s">
        <v>375</v>
      </c>
      <c r="Q18" s="89" t="s">
        <v>217</v>
      </c>
    </row>
    <row r="19" spans="4:17" ht="40.5">
      <c r="D19" s="89" t="s">
        <v>375</v>
      </c>
      <c r="E19" s="89" t="s">
        <v>341</v>
      </c>
      <c r="F19" s="89" t="s">
        <v>367</v>
      </c>
      <c r="G19" s="89" t="s">
        <v>421</v>
      </c>
      <c r="H19" s="89" t="s">
        <v>375</v>
      </c>
      <c r="I19" s="89" t="s">
        <v>458</v>
      </c>
      <c r="N19" s="89" t="s">
        <v>476</v>
      </c>
      <c r="O19" s="89" t="s">
        <v>494</v>
      </c>
      <c r="P19" s="89" t="s">
        <v>375</v>
      </c>
      <c r="Q19" s="89" t="s">
        <v>218</v>
      </c>
    </row>
    <row r="20" spans="4:17" ht="39">
      <c r="D20" s="89" t="s">
        <v>375</v>
      </c>
      <c r="E20" s="89" t="s">
        <v>342</v>
      </c>
      <c r="F20" s="89" t="s">
        <v>367</v>
      </c>
      <c r="G20" s="89" t="s">
        <v>422</v>
      </c>
      <c r="H20" s="89" t="s">
        <v>375</v>
      </c>
      <c r="I20" s="89" t="s">
        <v>459</v>
      </c>
      <c r="M20" s="163"/>
      <c r="N20" s="89" t="s">
        <v>476</v>
      </c>
      <c r="O20" s="89" t="s">
        <v>495</v>
      </c>
      <c r="P20" s="89" t="s">
        <v>365</v>
      </c>
      <c r="Q20" s="163" t="s">
        <v>145</v>
      </c>
    </row>
    <row r="21" spans="4:17" ht="40.5">
      <c r="D21" s="89" t="s">
        <v>375</v>
      </c>
      <c r="E21" s="89" t="s">
        <v>343</v>
      </c>
      <c r="F21" s="89" t="s">
        <v>367</v>
      </c>
      <c r="G21" s="89" t="s">
        <v>423</v>
      </c>
      <c r="H21" s="89" t="s">
        <v>403</v>
      </c>
      <c r="I21" s="89" t="s">
        <v>460</v>
      </c>
      <c r="N21" s="89" t="s">
        <v>403</v>
      </c>
      <c r="O21" s="89" t="s">
        <v>496</v>
      </c>
      <c r="P21" s="89" t="s">
        <v>375</v>
      </c>
      <c r="Q21" s="89" t="s">
        <v>219</v>
      </c>
    </row>
    <row r="22" spans="4:17" ht="42">
      <c r="D22" s="89" t="s">
        <v>375</v>
      </c>
      <c r="E22" s="89" t="s">
        <v>344</v>
      </c>
      <c r="F22" s="89" t="s">
        <v>367</v>
      </c>
      <c r="G22" s="89" t="s">
        <v>424</v>
      </c>
      <c r="H22" s="89" t="s">
        <v>365</v>
      </c>
      <c r="I22" s="89" t="s">
        <v>461</v>
      </c>
      <c r="N22" s="89" t="s">
        <v>365</v>
      </c>
      <c r="O22" s="163" t="s">
        <v>497</v>
      </c>
      <c r="P22" s="89" t="s">
        <v>375</v>
      </c>
      <c r="Q22" s="89" t="s">
        <v>220</v>
      </c>
    </row>
    <row r="23" spans="4:17" ht="40.5">
      <c r="D23" s="89" t="s">
        <v>375</v>
      </c>
      <c r="E23" s="89" t="s">
        <v>345</v>
      </c>
      <c r="F23" s="89" t="s">
        <v>367</v>
      </c>
      <c r="G23" s="89" t="s">
        <v>425</v>
      </c>
      <c r="H23" s="89" t="s">
        <v>375</v>
      </c>
      <c r="I23" s="89" t="s">
        <v>520</v>
      </c>
      <c r="N23" s="89" t="s">
        <v>476</v>
      </c>
      <c r="O23" s="89" t="s">
        <v>498</v>
      </c>
      <c r="P23" s="89" t="s">
        <v>375</v>
      </c>
      <c r="Q23" s="89" t="s">
        <v>221</v>
      </c>
    </row>
    <row r="24" spans="4:17" ht="28.5">
      <c r="D24" s="89" t="s">
        <v>365</v>
      </c>
      <c r="E24" s="163" t="s">
        <v>346</v>
      </c>
      <c r="F24" s="89" t="s">
        <v>367</v>
      </c>
      <c r="G24" s="89" t="s">
        <v>426</v>
      </c>
      <c r="H24" s="89" t="s">
        <v>375</v>
      </c>
      <c r="I24" s="89" t="s">
        <v>462</v>
      </c>
      <c r="N24" s="89" t="s">
        <v>403</v>
      </c>
      <c r="O24" s="89" t="s">
        <v>499</v>
      </c>
      <c r="P24" s="89" t="s">
        <v>375</v>
      </c>
      <c r="Q24" s="89" t="s">
        <v>222</v>
      </c>
    </row>
    <row r="25" spans="4:17" ht="28.5">
      <c r="D25" s="89" t="s">
        <v>367</v>
      </c>
      <c r="E25" s="89" t="s">
        <v>355</v>
      </c>
      <c r="F25" s="89" t="s">
        <v>367</v>
      </c>
      <c r="G25" s="89" t="s">
        <v>427</v>
      </c>
      <c r="H25" s="89" t="s">
        <v>365</v>
      </c>
      <c r="I25" s="163" t="s">
        <v>463</v>
      </c>
      <c r="J25" s="163"/>
      <c r="K25" s="163"/>
      <c r="N25" s="89" t="s">
        <v>403</v>
      </c>
      <c r="O25" s="89" t="s">
        <v>500</v>
      </c>
      <c r="P25" s="89" t="s">
        <v>375</v>
      </c>
      <c r="Q25" s="89" t="s">
        <v>223</v>
      </c>
    </row>
    <row r="26" spans="4:17" ht="40.5">
      <c r="D26" s="89" t="s">
        <v>375</v>
      </c>
      <c r="E26" s="89" t="s">
        <v>356</v>
      </c>
      <c r="F26" s="89" t="s">
        <v>367</v>
      </c>
      <c r="G26" s="89" t="s">
        <v>428</v>
      </c>
      <c r="H26" s="89" t="s">
        <v>375</v>
      </c>
      <c r="I26" s="89" t="s">
        <v>464</v>
      </c>
      <c r="N26" s="89" t="s">
        <v>403</v>
      </c>
      <c r="O26" s="89" t="s">
        <v>501</v>
      </c>
      <c r="P26" s="89" t="s">
        <v>375</v>
      </c>
      <c r="Q26" s="89" t="s">
        <v>224</v>
      </c>
    </row>
    <row r="27" spans="4:17" ht="40.5">
      <c r="D27" s="89" t="s">
        <v>367</v>
      </c>
      <c r="E27" s="89" t="s">
        <v>347</v>
      </c>
      <c r="F27" s="89" t="s">
        <v>367</v>
      </c>
      <c r="G27" s="89" t="s">
        <v>429</v>
      </c>
      <c r="H27" s="89" t="s">
        <v>375</v>
      </c>
      <c r="I27" s="89" t="s">
        <v>465</v>
      </c>
      <c r="N27" s="89" t="s">
        <v>403</v>
      </c>
      <c r="O27" s="89" t="s">
        <v>502</v>
      </c>
      <c r="P27" s="89" t="s">
        <v>375</v>
      </c>
      <c r="Q27" s="89" t="s">
        <v>225</v>
      </c>
    </row>
    <row r="28" spans="4:17" ht="27">
      <c r="D28" s="89" t="s">
        <v>367</v>
      </c>
      <c r="E28" s="89" t="s">
        <v>348</v>
      </c>
      <c r="F28" s="89" t="s">
        <v>367</v>
      </c>
      <c r="G28" s="89" t="s">
        <v>430</v>
      </c>
      <c r="H28" s="89" t="s">
        <v>375</v>
      </c>
      <c r="I28" s="89" t="s">
        <v>521</v>
      </c>
      <c r="N28" s="89" t="s">
        <v>403</v>
      </c>
      <c r="O28" s="89" t="s">
        <v>503</v>
      </c>
      <c r="P28" s="89" t="s">
        <v>375</v>
      </c>
      <c r="Q28" s="89" t="s">
        <v>226</v>
      </c>
    </row>
    <row r="29" spans="4:17" ht="27">
      <c r="D29" s="89" t="s">
        <v>367</v>
      </c>
      <c r="E29" s="89" t="s">
        <v>349</v>
      </c>
      <c r="F29" s="89" t="s">
        <v>367</v>
      </c>
      <c r="G29" s="89" t="s">
        <v>431</v>
      </c>
      <c r="H29" s="89" t="s">
        <v>375</v>
      </c>
      <c r="I29" s="89" t="s">
        <v>466</v>
      </c>
      <c r="N29" s="89" t="s">
        <v>403</v>
      </c>
      <c r="O29" s="89" t="s">
        <v>504</v>
      </c>
      <c r="P29" s="89" t="s">
        <v>375</v>
      </c>
      <c r="Q29" s="89" t="s">
        <v>227</v>
      </c>
    </row>
    <row r="30" spans="4:17" ht="40.5">
      <c r="D30" s="89" t="s">
        <v>367</v>
      </c>
      <c r="E30" s="89" t="s">
        <v>350</v>
      </c>
      <c r="F30" s="89" t="s">
        <v>367</v>
      </c>
      <c r="G30" s="89" t="s">
        <v>432</v>
      </c>
      <c r="H30" s="89" t="s">
        <v>375</v>
      </c>
      <c r="I30" s="89" t="s">
        <v>467</v>
      </c>
      <c r="N30" s="89" t="s">
        <v>403</v>
      </c>
      <c r="O30" s="89" t="s">
        <v>505</v>
      </c>
      <c r="P30" s="89" t="s">
        <v>375</v>
      </c>
      <c r="Q30" s="89" t="s">
        <v>228</v>
      </c>
    </row>
    <row r="31" spans="4:17" ht="27">
      <c r="D31" s="89" t="s">
        <v>367</v>
      </c>
      <c r="E31" s="89" t="s">
        <v>351</v>
      </c>
      <c r="F31" s="89" t="s">
        <v>367</v>
      </c>
      <c r="G31" s="89" t="s">
        <v>433</v>
      </c>
      <c r="H31" s="89" t="s">
        <v>375</v>
      </c>
      <c r="I31" s="89" t="s">
        <v>468</v>
      </c>
      <c r="N31" s="89" t="s">
        <v>476</v>
      </c>
      <c r="O31" s="89" t="s">
        <v>506</v>
      </c>
      <c r="P31" s="89" t="s">
        <v>375</v>
      </c>
      <c r="Q31" s="89" t="s">
        <v>229</v>
      </c>
    </row>
    <row r="32" spans="4:17" ht="27">
      <c r="D32" s="89" t="s">
        <v>367</v>
      </c>
      <c r="E32" s="89" t="s">
        <v>352</v>
      </c>
      <c r="F32" s="89" t="s">
        <v>367</v>
      </c>
      <c r="G32" s="89" t="s">
        <v>434</v>
      </c>
      <c r="H32" s="89" t="s">
        <v>375</v>
      </c>
      <c r="I32" s="89" t="s">
        <v>469</v>
      </c>
      <c r="N32" s="89" t="s">
        <v>375</v>
      </c>
      <c r="O32" s="89" t="s">
        <v>507</v>
      </c>
      <c r="P32" s="89" t="s">
        <v>375</v>
      </c>
      <c r="Q32" s="89" t="s">
        <v>230</v>
      </c>
    </row>
    <row r="33" spans="4:17" ht="27">
      <c r="D33" s="89" t="s">
        <v>367</v>
      </c>
      <c r="E33" s="89" t="s">
        <v>353</v>
      </c>
      <c r="F33" s="89" t="s">
        <v>367</v>
      </c>
      <c r="G33" s="89" t="s">
        <v>435</v>
      </c>
      <c r="H33" s="89" t="s">
        <v>375</v>
      </c>
      <c r="I33" s="89" t="s">
        <v>470</v>
      </c>
      <c r="N33" s="89" t="s">
        <v>403</v>
      </c>
      <c r="O33" s="89" t="s">
        <v>508</v>
      </c>
      <c r="P33" s="89" t="s">
        <v>375</v>
      </c>
      <c r="Q33" s="89" t="s">
        <v>231</v>
      </c>
    </row>
    <row r="34" spans="4:17" ht="54">
      <c r="D34" s="89" t="s">
        <v>367</v>
      </c>
      <c r="E34" s="89" t="s">
        <v>354</v>
      </c>
      <c r="F34" s="89" t="s">
        <v>367</v>
      </c>
      <c r="G34" s="89" t="s">
        <v>436</v>
      </c>
      <c r="H34" s="89" t="s">
        <v>375</v>
      </c>
      <c r="I34" s="89" t="s">
        <v>522</v>
      </c>
      <c r="N34" s="89" t="s">
        <v>375</v>
      </c>
      <c r="O34" s="89" t="s">
        <v>509</v>
      </c>
      <c r="P34" s="89" t="s">
        <v>375</v>
      </c>
      <c r="Q34" s="89" t="s">
        <v>232</v>
      </c>
    </row>
    <row r="35" spans="4:17" ht="39">
      <c r="F35" s="89" t="s">
        <v>367</v>
      </c>
      <c r="G35" s="89" t="s">
        <v>437</v>
      </c>
      <c r="H35" s="89" t="s">
        <v>375</v>
      </c>
      <c r="I35" s="89" t="s">
        <v>471</v>
      </c>
      <c r="M35" s="163"/>
      <c r="N35" s="89" t="s">
        <v>403</v>
      </c>
      <c r="O35" s="89" t="s">
        <v>510</v>
      </c>
      <c r="P35" s="89" t="s">
        <v>365</v>
      </c>
      <c r="Q35" s="163" t="s">
        <v>146</v>
      </c>
    </row>
    <row r="36" spans="4:17" ht="27">
      <c r="F36" s="89" t="s">
        <v>367</v>
      </c>
      <c r="G36" s="89" t="s">
        <v>438</v>
      </c>
      <c r="H36" s="89" t="s">
        <v>375</v>
      </c>
      <c r="I36" s="89" t="s">
        <v>472</v>
      </c>
      <c r="N36" s="89" t="s">
        <v>403</v>
      </c>
      <c r="O36" s="89" t="s">
        <v>511</v>
      </c>
      <c r="P36" s="89" t="s">
        <v>375</v>
      </c>
      <c r="Q36" s="89" t="s">
        <v>233</v>
      </c>
    </row>
    <row r="37" spans="4:17" ht="27">
      <c r="F37" s="89" t="s">
        <v>367</v>
      </c>
      <c r="G37" s="89" t="s">
        <v>439</v>
      </c>
      <c r="H37" s="89" t="s">
        <v>375</v>
      </c>
      <c r="I37" s="89" t="s">
        <v>473</v>
      </c>
      <c r="N37" s="89" t="s">
        <v>403</v>
      </c>
      <c r="O37" s="89" t="s">
        <v>512</v>
      </c>
      <c r="P37" s="89" t="s">
        <v>375</v>
      </c>
      <c r="Q37" s="89" t="s">
        <v>234</v>
      </c>
    </row>
    <row r="38" spans="4:17" ht="28.5">
      <c r="H38" s="89" t="s">
        <v>375</v>
      </c>
      <c r="I38" s="89" t="s">
        <v>474</v>
      </c>
      <c r="N38" s="89" t="s">
        <v>365</v>
      </c>
      <c r="O38" s="163" t="s">
        <v>513</v>
      </c>
      <c r="P38" s="89" t="s">
        <v>375</v>
      </c>
      <c r="Q38" s="89" t="s">
        <v>235</v>
      </c>
    </row>
    <row r="39" spans="4:17" ht="28.5">
      <c r="H39" s="89" t="s">
        <v>365</v>
      </c>
      <c r="I39" s="163" t="s">
        <v>475</v>
      </c>
      <c r="J39" s="163"/>
      <c r="K39" s="163"/>
      <c r="N39" s="89" t="s">
        <v>476</v>
      </c>
      <c r="O39" s="89" t="s">
        <v>514</v>
      </c>
      <c r="P39" s="89" t="s">
        <v>375</v>
      </c>
      <c r="Q39" s="89" t="s">
        <v>236</v>
      </c>
    </row>
    <row r="40" spans="4:17" ht="27">
      <c r="H40" s="89" t="s">
        <v>476</v>
      </c>
      <c r="I40" s="89" t="s">
        <v>477</v>
      </c>
      <c r="N40" s="89" t="s">
        <v>476</v>
      </c>
      <c r="O40" s="89" t="s">
        <v>515</v>
      </c>
      <c r="P40" s="89" t="s">
        <v>375</v>
      </c>
      <c r="Q40" s="89" t="s">
        <v>237</v>
      </c>
    </row>
    <row r="41" spans="4:17" ht="27">
      <c r="N41" s="89" t="s">
        <v>402</v>
      </c>
      <c r="O41" s="89" t="s">
        <v>516</v>
      </c>
      <c r="P41" s="89" t="s">
        <v>375</v>
      </c>
      <c r="Q41" s="89" t="s">
        <v>238</v>
      </c>
    </row>
    <row r="42" spans="4:17" ht="27">
      <c r="N42" s="89" t="s">
        <v>403</v>
      </c>
      <c r="O42" s="89" t="s">
        <v>517</v>
      </c>
      <c r="P42" s="89" t="s">
        <v>375</v>
      </c>
      <c r="Q42" s="89" t="s">
        <v>239</v>
      </c>
    </row>
    <row r="43" spans="4:17" ht="19.5">
      <c r="I43" s="163"/>
      <c r="J43" s="163"/>
      <c r="K43" s="163"/>
      <c r="P43" s="89" t="s">
        <v>375</v>
      </c>
      <c r="Q43" s="89" t="s">
        <v>240</v>
      </c>
    </row>
    <row r="44" spans="4:17" ht="27">
      <c r="P44" s="89" t="s">
        <v>375</v>
      </c>
      <c r="Q44" s="89" t="s">
        <v>241</v>
      </c>
    </row>
    <row r="45" spans="4:17">
      <c r="F45" s="88"/>
      <c r="G45" s="88"/>
      <c r="P45" s="89" t="s">
        <v>375</v>
      </c>
      <c r="Q45" s="89" t="s">
        <v>242</v>
      </c>
    </row>
    <row r="46" spans="4:17">
      <c r="F46" s="88"/>
      <c r="G46" s="88"/>
      <c r="P46" s="89" t="s">
        <v>375</v>
      </c>
      <c r="Q46" s="89" t="s">
        <v>243</v>
      </c>
    </row>
    <row r="47" spans="4:17">
      <c r="P47" s="89" t="s">
        <v>375</v>
      </c>
      <c r="Q47" s="89" t="s">
        <v>244</v>
      </c>
    </row>
    <row r="48" spans="4:17" ht="40.5">
      <c r="P48" s="89" t="s">
        <v>375</v>
      </c>
      <c r="Q48" s="89" t="s">
        <v>245</v>
      </c>
    </row>
    <row r="49" spans="7:17" ht="27">
      <c r="P49" s="89" t="s">
        <v>375</v>
      </c>
      <c r="Q49" s="89" t="s">
        <v>246</v>
      </c>
    </row>
    <row r="50" spans="7:17">
      <c r="P50" s="89" t="s">
        <v>375</v>
      </c>
      <c r="Q50" s="89" t="s">
        <v>247</v>
      </c>
    </row>
    <row r="51" spans="7:17" ht="27">
      <c r="P51" s="89" t="s">
        <v>375</v>
      </c>
      <c r="Q51" s="89" t="s">
        <v>248</v>
      </c>
    </row>
    <row r="52" spans="7:17">
      <c r="P52" s="89" t="s">
        <v>375</v>
      </c>
      <c r="Q52" s="89" t="s">
        <v>249</v>
      </c>
    </row>
    <row r="53" spans="7:17">
      <c r="P53" s="89" t="s">
        <v>375</v>
      </c>
      <c r="Q53" s="89" t="s">
        <v>250</v>
      </c>
    </row>
    <row r="54" spans="7:17">
      <c r="P54" s="89" t="s">
        <v>375</v>
      </c>
      <c r="Q54" s="89" t="s">
        <v>251</v>
      </c>
    </row>
    <row r="55" spans="7:17">
      <c r="P55" s="89" t="s">
        <v>375</v>
      </c>
      <c r="Q55" s="89" t="s">
        <v>252</v>
      </c>
    </row>
    <row r="56" spans="7:17">
      <c r="P56" s="89" t="s">
        <v>375</v>
      </c>
      <c r="Q56" s="89" t="s">
        <v>253</v>
      </c>
    </row>
    <row r="57" spans="7:17" ht="19.5">
      <c r="G57" s="163"/>
      <c r="M57" s="163"/>
      <c r="O57" s="163"/>
      <c r="P57" s="89" t="s">
        <v>365</v>
      </c>
      <c r="Q57" s="163" t="s">
        <v>148</v>
      </c>
    </row>
    <row r="58" spans="7:17" ht="78">
      <c r="G58" s="163"/>
      <c r="M58" s="163"/>
      <c r="O58" s="163"/>
      <c r="P58" s="89" t="s">
        <v>365</v>
      </c>
      <c r="Q58" s="163" t="s">
        <v>147</v>
      </c>
    </row>
    <row r="59" spans="7:17">
      <c r="P59" s="89" t="s">
        <v>375</v>
      </c>
      <c r="Q59" s="89" t="s">
        <v>254</v>
      </c>
    </row>
    <row r="60" spans="7:17" ht="27">
      <c r="P60" s="89" t="s">
        <v>375</v>
      </c>
      <c r="Q60" s="89" t="s">
        <v>255</v>
      </c>
    </row>
    <row r="61" spans="7:17">
      <c r="P61" s="89" t="s">
        <v>375</v>
      </c>
      <c r="Q61" s="89" t="s">
        <v>256</v>
      </c>
    </row>
    <row r="62" spans="7:17">
      <c r="P62" s="89" t="s">
        <v>375</v>
      </c>
      <c r="Q62" s="89" t="s">
        <v>257</v>
      </c>
    </row>
    <row r="63" spans="7:17">
      <c r="P63" s="89" t="s">
        <v>375</v>
      </c>
      <c r="Q63" s="89" t="s">
        <v>258</v>
      </c>
    </row>
    <row r="64" spans="7:17">
      <c r="P64" s="89" t="s">
        <v>375</v>
      </c>
      <c r="Q64" s="89" t="s">
        <v>259</v>
      </c>
    </row>
    <row r="65" spans="7:17">
      <c r="P65" s="89" t="s">
        <v>375</v>
      </c>
      <c r="Q65" s="89" t="s">
        <v>260</v>
      </c>
    </row>
    <row r="66" spans="7:17" ht="27">
      <c r="P66" s="89" t="s">
        <v>375</v>
      </c>
      <c r="Q66" s="89" t="s">
        <v>261</v>
      </c>
    </row>
    <row r="67" spans="7:17">
      <c r="P67" s="89" t="s">
        <v>375</v>
      </c>
      <c r="Q67" s="89" t="s">
        <v>262</v>
      </c>
    </row>
    <row r="68" spans="7:17">
      <c r="P68" s="89" t="s">
        <v>375</v>
      </c>
      <c r="Q68" s="89" t="s">
        <v>263</v>
      </c>
    </row>
    <row r="69" spans="7:17">
      <c r="P69" s="89" t="s">
        <v>375</v>
      </c>
      <c r="Q69" s="89" t="s">
        <v>264</v>
      </c>
    </row>
    <row r="70" spans="7:17">
      <c r="P70" s="89" t="s">
        <v>375</v>
      </c>
      <c r="Q70" s="89" t="s">
        <v>265</v>
      </c>
    </row>
    <row r="71" spans="7:17">
      <c r="P71" s="89" t="s">
        <v>375</v>
      </c>
      <c r="Q71" s="89" t="s">
        <v>266</v>
      </c>
    </row>
    <row r="72" spans="7:17">
      <c r="P72" s="89" t="s">
        <v>375</v>
      </c>
      <c r="Q72" s="89" t="s">
        <v>267</v>
      </c>
    </row>
    <row r="73" spans="7:17">
      <c r="P73" s="89" t="s">
        <v>375</v>
      </c>
      <c r="Q73" s="89" t="s">
        <v>268</v>
      </c>
    </row>
    <row r="74" spans="7:17">
      <c r="P74" s="89" t="s">
        <v>375</v>
      </c>
      <c r="Q74" s="89" t="s">
        <v>269</v>
      </c>
    </row>
    <row r="75" spans="7:17">
      <c r="P75" s="89" t="s">
        <v>375</v>
      </c>
      <c r="Q75" s="89" t="s">
        <v>270</v>
      </c>
    </row>
    <row r="76" spans="7:17" ht="27">
      <c r="P76" s="89" t="s">
        <v>375</v>
      </c>
      <c r="Q76" s="89" t="s">
        <v>271</v>
      </c>
    </row>
    <row r="77" spans="7:17" ht="19.5">
      <c r="G77" s="163"/>
      <c r="M77" s="163"/>
      <c r="O77" s="163"/>
      <c r="P77" s="89" t="s">
        <v>365</v>
      </c>
      <c r="Q77" s="163" t="s">
        <v>152</v>
      </c>
    </row>
    <row r="78" spans="7:17" ht="39">
      <c r="G78" s="163"/>
      <c r="M78" s="163"/>
      <c r="O78" s="163"/>
      <c r="P78" s="89" t="s">
        <v>365</v>
      </c>
      <c r="Q78" s="163" t="s">
        <v>149</v>
      </c>
    </row>
    <row r="79" spans="7:17" ht="27">
      <c r="P79" s="89" t="s">
        <v>375</v>
      </c>
      <c r="Q79" s="89" t="s">
        <v>272</v>
      </c>
    </row>
    <row r="80" spans="7:17" ht="27">
      <c r="P80" s="89" t="s">
        <v>375</v>
      </c>
      <c r="Q80" s="89" t="s">
        <v>273</v>
      </c>
    </row>
    <row r="81" spans="16:17" ht="27">
      <c r="P81" s="89" t="s">
        <v>375</v>
      </c>
      <c r="Q81" s="89" t="s">
        <v>274</v>
      </c>
    </row>
    <row r="82" spans="16:17" ht="27">
      <c r="P82" s="89" t="s">
        <v>375</v>
      </c>
      <c r="Q82" s="89" t="s">
        <v>275</v>
      </c>
    </row>
    <row r="83" spans="16:17" ht="40.5">
      <c r="P83" s="89" t="s">
        <v>375</v>
      </c>
      <c r="Q83" s="89" t="s">
        <v>276</v>
      </c>
    </row>
    <row r="84" spans="16:17" ht="27">
      <c r="P84" s="89" t="s">
        <v>375</v>
      </c>
      <c r="Q84" s="89" t="s">
        <v>277</v>
      </c>
    </row>
    <row r="85" spans="16:17">
      <c r="P85" s="89" t="s">
        <v>375</v>
      </c>
      <c r="Q85" s="89" t="s">
        <v>150</v>
      </c>
    </row>
    <row r="86" spans="16:17" ht="27">
      <c r="P86" s="89" t="s">
        <v>375</v>
      </c>
      <c r="Q86" s="89" t="s">
        <v>278</v>
      </c>
    </row>
    <row r="87" spans="16:17" ht="40.5">
      <c r="P87" s="89" t="s">
        <v>375</v>
      </c>
      <c r="Q87" s="89" t="s">
        <v>279</v>
      </c>
    </row>
    <row r="88" spans="16:17" ht="40.5">
      <c r="P88" s="89" t="s">
        <v>375</v>
      </c>
      <c r="Q88" s="89" t="s">
        <v>280</v>
      </c>
    </row>
    <row r="89" spans="16:17">
      <c r="P89" s="89" t="s">
        <v>375</v>
      </c>
      <c r="Q89" s="89" t="s">
        <v>281</v>
      </c>
    </row>
    <row r="90" spans="16:17">
      <c r="P90" s="89" t="s">
        <v>375</v>
      </c>
      <c r="Q90" s="89" t="s">
        <v>282</v>
      </c>
    </row>
    <row r="91" spans="16:17" ht="27">
      <c r="P91" s="89" t="s">
        <v>375</v>
      </c>
      <c r="Q91" s="89" t="s">
        <v>283</v>
      </c>
    </row>
    <row r="92" spans="16:17">
      <c r="P92" s="89" t="s">
        <v>375</v>
      </c>
      <c r="Q92" s="89" t="s">
        <v>284</v>
      </c>
    </row>
    <row r="93" spans="16:17">
      <c r="P93" s="89" t="s">
        <v>375</v>
      </c>
      <c r="Q93" s="89" t="s">
        <v>285</v>
      </c>
    </row>
    <row r="94" spans="16:17">
      <c r="P94" s="89" t="s">
        <v>375</v>
      </c>
      <c r="Q94" s="89" t="s">
        <v>286</v>
      </c>
    </row>
    <row r="95" spans="16:17">
      <c r="P95" s="89" t="s">
        <v>375</v>
      </c>
      <c r="Q95" s="89" t="s">
        <v>287</v>
      </c>
    </row>
    <row r="96" spans="16:17" ht="40.5">
      <c r="P96" s="89" t="s">
        <v>375</v>
      </c>
      <c r="Q96" s="89" t="s">
        <v>288</v>
      </c>
    </row>
    <row r="97" spans="7:17" ht="19.5">
      <c r="G97" s="163"/>
      <c r="M97" s="163"/>
      <c r="O97" s="163"/>
      <c r="P97" s="89" t="s">
        <v>365</v>
      </c>
      <c r="Q97" s="163" t="s">
        <v>153</v>
      </c>
    </row>
    <row r="98" spans="7:17" ht="19.5">
      <c r="G98" s="163"/>
      <c r="M98" s="163"/>
      <c r="O98" s="163"/>
      <c r="P98" s="89" t="s">
        <v>365</v>
      </c>
      <c r="Q98" s="163" t="s">
        <v>404</v>
      </c>
    </row>
    <row r="99" spans="7:17">
      <c r="P99" s="89" t="s">
        <v>375</v>
      </c>
      <c r="Q99" s="89" t="s">
        <v>289</v>
      </c>
    </row>
    <row r="100" spans="7:17" ht="27">
      <c r="P100" s="89" t="s">
        <v>375</v>
      </c>
      <c r="Q100" s="89" t="s">
        <v>290</v>
      </c>
    </row>
    <row r="101" spans="7:17" ht="27">
      <c r="P101" s="89" t="s">
        <v>375</v>
      </c>
      <c r="Q101" s="89" t="s">
        <v>291</v>
      </c>
    </row>
    <row r="102" spans="7:17" ht="27">
      <c r="P102" s="89" t="s">
        <v>375</v>
      </c>
      <c r="Q102" s="89" t="s">
        <v>292</v>
      </c>
    </row>
    <row r="103" spans="7:17" ht="27">
      <c r="P103" s="89" t="s">
        <v>375</v>
      </c>
      <c r="Q103" s="89" t="s">
        <v>293</v>
      </c>
    </row>
    <row r="104" spans="7:17">
      <c r="P104" s="89" t="s">
        <v>375</v>
      </c>
      <c r="Q104" s="89" t="s">
        <v>294</v>
      </c>
    </row>
    <row r="105" spans="7:17" ht="27">
      <c r="P105" s="89" t="s">
        <v>375</v>
      </c>
      <c r="Q105" s="89" t="s">
        <v>295</v>
      </c>
    </row>
    <row r="106" spans="7:17">
      <c r="P106" s="89" t="s">
        <v>375</v>
      </c>
      <c r="Q106" s="89" t="s">
        <v>296</v>
      </c>
    </row>
    <row r="107" spans="7:17" ht="27">
      <c r="P107" s="89" t="s">
        <v>375</v>
      </c>
      <c r="Q107" s="89" t="s">
        <v>297</v>
      </c>
    </row>
    <row r="108" spans="7:17">
      <c r="P108" s="89" t="s">
        <v>375</v>
      </c>
      <c r="Q108" s="89" t="s">
        <v>298</v>
      </c>
    </row>
    <row r="109" spans="7:17" ht="27">
      <c r="P109" s="89" t="s">
        <v>375</v>
      </c>
      <c r="Q109" s="89" t="s">
        <v>299</v>
      </c>
    </row>
    <row r="110" spans="7:17" ht="27">
      <c r="P110" s="89" t="s">
        <v>375</v>
      </c>
      <c r="Q110" s="89" t="s">
        <v>300</v>
      </c>
    </row>
    <row r="111" spans="7:17">
      <c r="P111" s="89" t="s">
        <v>375</v>
      </c>
      <c r="Q111" s="89" t="s">
        <v>301</v>
      </c>
    </row>
    <row r="112" spans="7:17">
      <c r="P112" s="89" t="s">
        <v>375</v>
      </c>
      <c r="Q112" s="89" t="s">
        <v>302</v>
      </c>
    </row>
    <row r="113" spans="7:17">
      <c r="P113" s="89" t="s">
        <v>375</v>
      </c>
      <c r="Q113" s="89" t="s">
        <v>303</v>
      </c>
    </row>
    <row r="114" spans="7:17">
      <c r="P114" s="89" t="s">
        <v>375</v>
      </c>
      <c r="Q114" s="89" t="s">
        <v>304</v>
      </c>
    </row>
    <row r="115" spans="7:17" ht="19.5">
      <c r="G115" s="163"/>
      <c r="M115" s="163"/>
      <c r="O115" s="163"/>
      <c r="P115" s="89" t="s">
        <v>365</v>
      </c>
      <c r="Q115" s="163" t="s">
        <v>154</v>
      </c>
    </row>
    <row r="116" spans="7:17" ht="19.5">
      <c r="G116" s="163"/>
      <c r="M116" s="163"/>
      <c r="O116" s="163"/>
      <c r="P116" s="89" t="s">
        <v>365</v>
      </c>
      <c r="Q116" s="163" t="s">
        <v>151</v>
      </c>
    </row>
    <row r="117" spans="7:17" ht="19.5">
      <c r="G117" s="163"/>
      <c r="M117" s="163"/>
      <c r="O117" s="163"/>
      <c r="P117" s="89" t="s">
        <v>365</v>
      </c>
      <c r="Q117" s="163" t="s">
        <v>405</v>
      </c>
    </row>
    <row r="118" spans="7:17">
      <c r="P118" s="89" t="s">
        <v>375</v>
      </c>
      <c r="Q118" s="89" t="s">
        <v>305</v>
      </c>
    </row>
    <row r="119" spans="7:17">
      <c r="P119" s="89" t="s">
        <v>375</v>
      </c>
      <c r="Q119" s="89" t="s">
        <v>213</v>
      </c>
    </row>
    <row r="120" spans="7:17">
      <c r="P120" s="89" t="s">
        <v>375</v>
      </c>
      <c r="Q120" s="89" t="s">
        <v>306</v>
      </c>
    </row>
    <row r="121" spans="7:17">
      <c r="P121" s="89" t="s">
        <v>375</v>
      </c>
      <c r="Q121" s="89" t="s">
        <v>307</v>
      </c>
    </row>
    <row r="122" spans="7:17">
      <c r="P122" s="89" t="s">
        <v>375</v>
      </c>
      <c r="Q122" s="89" t="s">
        <v>308</v>
      </c>
    </row>
    <row r="123" spans="7:17">
      <c r="P123" s="89" t="s">
        <v>375</v>
      </c>
      <c r="Q123" s="89" t="s">
        <v>309</v>
      </c>
    </row>
    <row r="124" spans="7:17">
      <c r="P124" s="89" t="s">
        <v>375</v>
      </c>
      <c r="Q124" s="89" t="s">
        <v>310</v>
      </c>
    </row>
    <row r="125" spans="7:17">
      <c r="P125" s="89" t="s">
        <v>375</v>
      </c>
      <c r="Q125" s="89" t="s">
        <v>311</v>
      </c>
    </row>
    <row r="126" spans="7:17">
      <c r="P126" s="89" t="s">
        <v>375</v>
      </c>
      <c r="Q126" s="89" t="s">
        <v>312</v>
      </c>
    </row>
    <row r="127" spans="7:17">
      <c r="P127" s="89" t="s">
        <v>375</v>
      </c>
      <c r="Q127" s="89" t="s">
        <v>313</v>
      </c>
    </row>
    <row r="128" spans="7:17">
      <c r="P128" s="89" t="s">
        <v>375</v>
      </c>
      <c r="Q128" s="89" t="s">
        <v>314</v>
      </c>
    </row>
    <row r="129" spans="16:17">
      <c r="P129" s="89" t="s">
        <v>375</v>
      </c>
      <c r="Q129" s="89" t="s">
        <v>315</v>
      </c>
    </row>
    <row r="130" spans="16:17">
      <c r="P130" s="89" t="s">
        <v>375</v>
      </c>
      <c r="Q130" s="89" t="s">
        <v>316</v>
      </c>
    </row>
  </sheetData>
  <mergeCells count="33">
    <mergeCell ref="R1:R3"/>
    <mergeCell ref="B2:C2"/>
    <mergeCell ref="D2:E2"/>
    <mergeCell ref="P2:Q2"/>
    <mergeCell ref="B3:C3"/>
    <mergeCell ref="H3:I3"/>
    <mergeCell ref="L1:M1"/>
    <mergeCell ref="L2:M2"/>
    <mergeCell ref="L3:M3"/>
    <mergeCell ref="P3:Q3"/>
    <mergeCell ref="J1:K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P4:Q4"/>
    <mergeCell ref="N1:O1"/>
    <mergeCell ref="N2:O2"/>
    <mergeCell ref="N3:O3"/>
    <mergeCell ref="N4:O4"/>
    <mergeCell ref="P1:Q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6.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32" customWidth="1"/>
    <col min="2" max="2" width="5.375" style="32" customWidth="1"/>
    <col min="3" max="3" width="28.125" style="32" customWidth="1"/>
    <col min="4" max="4" width="5" style="115" customWidth="1"/>
    <col min="5" max="5" width="14.125" style="116" customWidth="1"/>
    <col min="6" max="6" width="9.875" style="115" customWidth="1"/>
    <col min="7" max="7" width="10.125" style="115" customWidth="1"/>
    <col min="8" max="8" width="10" style="115" customWidth="1"/>
    <col min="9" max="10" width="9.875" style="115" customWidth="1"/>
    <col min="11" max="11" width="5" style="115" customWidth="1"/>
    <col min="12" max="16384" width="9" style="32"/>
  </cols>
  <sheetData>
    <row r="1" spans="1:11" ht="21">
      <c r="A1" s="114" t="s">
        <v>160</v>
      </c>
    </row>
    <row r="2" spans="1:11">
      <c r="A2" s="32" t="str">
        <f>'Calling Notice'!A9</f>
        <v>Item Size (Added)</v>
      </c>
      <c r="B2" s="212" t="str">
        <f>'Calling Notice'!B9</f>
        <v>&lt;Item Size&gt;</v>
      </c>
      <c r="C2" s="212"/>
    </row>
    <row r="3" spans="1:11" ht="24">
      <c r="A3" s="32" t="str">
        <f>'Calling Notice'!A10</f>
        <v>Item Size (Modified)</v>
      </c>
      <c r="B3" s="212" t="str">
        <f>'Calling Notice'!B10</f>
        <v>&lt;Item Size&gt;</v>
      </c>
      <c r="C3" s="212"/>
      <c r="E3" s="117" t="str">
        <f>IF(CaptureEffortData,"","THERE IS NO NEED TO FILL IN THIS SHEET")</f>
        <v/>
      </c>
    </row>
    <row r="4" spans="1:11">
      <c r="A4" s="32" t="str">
        <f>'Calling Notice'!A11</f>
        <v>Item Size (Deleted)</v>
      </c>
      <c r="B4" s="212" t="str">
        <f>'Calling Notice'!B11</f>
        <v>&lt;Item Size&gt;</v>
      </c>
      <c r="C4" s="212"/>
    </row>
    <row r="5" spans="1:11">
      <c r="A5" s="32" t="str">
        <f>'Calling Notice'!A12</f>
        <v>Item Size Units</v>
      </c>
      <c r="B5" s="212" t="str">
        <f>'Calling Notice'!B12</f>
        <v>&lt;Item Size Units&gt;</v>
      </c>
      <c r="C5" s="212"/>
    </row>
    <row r="6" spans="1:11">
      <c r="A6" s="118" t="s">
        <v>161</v>
      </c>
      <c r="B6" s="212" t="str">
        <f>IF(SUM(B2:B4)=0,"&lt;Item Size&gt;",SUM(B2:B4))</f>
        <v>&lt;Item Size&gt;</v>
      </c>
      <c r="C6" s="212"/>
    </row>
    <row r="8" spans="1:11" ht="21">
      <c r="A8" s="114" t="s">
        <v>104</v>
      </c>
      <c r="B8" s="114"/>
    </row>
    <row r="9" spans="1:11">
      <c r="A9" s="119"/>
      <c r="B9" s="120"/>
    </row>
    <row r="10" spans="1:11" ht="24" customHeight="1">
      <c r="A10" s="213" t="s">
        <v>103</v>
      </c>
      <c r="B10" s="214"/>
      <c r="C10" s="37">
        <f>SUM(C14:C23)</f>
        <v>0</v>
      </c>
      <c r="D10" s="49"/>
      <c r="E10" s="121"/>
    </row>
    <row r="11" spans="1:11">
      <c r="A11" s="215" t="s">
        <v>102</v>
      </c>
      <c r="B11" s="216"/>
      <c r="C11" s="48" t="str">
        <f>CONCATENATE(INT(C10/60)," hour(s) and ", MOD(C10,60), " minutes")</f>
        <v>0 hour(s) and 0 minutes</v>
      </c>
      <c r="D11" s="47"/>
      <c r="E11" s="121"/>
    </row>
    <row r="12" spans="1:11">
      <c r="D12" s="122"/>
      <c r="G12" s="123" t="s">
        <v>87</v>
      </c>
      <c r="H12" s="123" t="s">
        <v>86</v>
      </c>
      <c r="I12" s="123" t="s">
        <v>132</v>
      </c>
      <c r="J12" s="123" t="s">
        <v>85</v>
      </c>
      <c r="K12" s="123"/>
    </row>
    <row r="13" spans="1:11" ht="45.75" customHeight="1" outlineLevel="1">
      <c r="A13" s="124" t="s">
        <v>101</v>
      </c>
      <c r="B13" s="125" t="s">
        <v>100</v>
      </c>
      <c r="C13" s="126" t="s">
        <v>99</v>
      </c>
      <c r="D13" s="127" t="s">
        <v>93</v>
      </c>
      <c r="E13" s="128" t="s">
        <v>98</v>
      </c>
      <c r="F13" s="129" t="s">
        <v>97</v>
      </c>
      <c r="G13" s="129" t="s">
        <v>96</v>
      </c>
      <c r="H13" s="129" t="s">
        <v>95</v>
      </c>
      <c r="I13" s="129" t="s">
        <v>131</v>
      </c>
      <c r="J13" s="129" t="s">
        <v>94</v>
      </c>
      <c r="K13" s="130" t="s">
        <v>93</v>
      </c>
    </row>
    <row r="14" spans="1:11" outlineLevel="1">
      <c r="A14" s="145"/>
      <c r="B14" s="145"/>
      <c r="C14" s="145"/>
      <c r="D14" s="46" t="str">
        <f t="shared" ref="D14:D23" si="0">IF(OR(COUNTA(A14:C14)=0,COUNTA(A14:C14)=COUNTA(A$13:C$13)),CheckOK,CheckErr)</f>
        <v/>
      </c>
      <c r="E14" s="45" t="str">
        <f>IF(NOT(ISBLANK(C14)),IF(ISNUMBER(ItemSize),ItemSize/C14,"Enter Item Size"),"")</f>
        <v/>
      </c>
      <c r="F14" s="43" t="str">
        <f t="shared" ref="F14:F23" si="1">IF(ISBLANK(B14),"",COUNTIF(DevCommentInitials,B14))</f>
        <v/>
      </c>
      <c r="G14" s="43" t="str">
        <f t="shared" ref="G14:J23" si="2">IF(ISBLANK($B14),"",COUNTIFS(DevCommentInitials,$B14,DevCommentStatuses,G$12))</f>
        <v/>
      </c>
      <c r="H14" s="43" t="str">
        <f t="shared" si="2"/>
        <v/>
      </c>
      <c r="I14" s="43" t="str">
        <f t="shared" si="2"/>
        <v/>
      </c>
      <c r="J14" s="43" t="str">
        <f t="shared" si="2"/>
        <v/>
      </c>
      <c r="K14" s="43" t="str">
        <f t="shared" ref="K14:K23" si="3">IF(ISBLANK(B14),"",IF(F14=G14+H14+I14+J14,CheckOK,CheckErr))</f>
        <v/>
      </c>
    </row>
    <row r="15" spans="1:11" outlineLevel="1">
      <c r="A15" s="145"/>
      <c r="B15" s="145"/>
      <c r="C15" s="145"/>
      <c r="D15" s="46" t="str">
        <f t="shared" si="0"/>
        <v/>
      </c>
      <c r="E15" s="45" t="str">
        <f t="shared" ref="E15:E23" si="4">IF(NOT(ISBLANK(C15)),IF(ISNUMBER(ItemSize),ItemSize/C15,"Enter Item Size"),"")</f>
        <v/>
      </c>
      <c r="F15" s="43" t="str">
        <f t="shared" si="1"/>
        <v/>
      </c>
      <c r="G15" s="43" t="str">
        <f t="shared" si="2"/>
        <v/>
      </c>
      <c r="H15" s="43" t="str">
        <f t="shared" si="2"/>
        <v/>
      </c>
      <c r="I15" s="43" t="str">
        <f t="shared" si="2"/>
        <v/>
      </c>
      <c r="J15" s="43" t="str">
        <f t="shared" si="2"/>
        <v/>
      </c>
      <c r="K15" s="43" t="str">
        <f t="shared" si="3"/>
        <v/>
      </c>
    </row>
    <row r="16" spans="1:11" outlineLevel="1">
      <c r="A16" s="145"/>
      <c r="B16" s="145"/>
      <c r="C16" s="145"/>
      <c r="D16" s="46" t="str">
        <f t="shared" si="0"/>
        <v/>
      </c>
      <c r="E16" s="45" t="str">
        <f t="shared" si="4"/>
        <v/>
      </c>
      <c r="F16" s="43" t="str">
        <f t="shared" si="1"/>
        <v/>
      </c>
      <c r="G16" s="43" t="str">
        <f t="shared" si="2"/>
        <v/>
      </c>
      <c r="H16" s="43" t="str">
        <f t="shared" si="2"/>
        <v/>
      </c>
      <c r="I16" s="43" t="str">
        <f t="shared" si="2"/>
        <v/>
      </c>
      <c r="J16" s="43" t="str">
        <f t="shared" si="2"/>
        <v/>
      </c>
      <c r="K16" s="43" t="str">
        <f t="shared" si="3"/>
        <v/>
      </c>
    </row>
    <row r="17" spans="1:11" outlineLevel="1">
      <c r="A17" s="145"/>
      <c r="B17" s="145"/>
      <c r="C17" s="145"/>
      <c r="D17" s="46" t="str">
        <f t="shared" si="0"/>
        <v/>
      </c>
      <c r="E17" s="45" t="str">
        <f t="shared" si="4"/>
        <v/>
      </c>
      <c r="F17" s="43" t="str">
        <f t="shared" si="1"/>
        <v/>
      </c>
      <c r="G17" s="43" t="str">
        <f t="shared" si="2"/>
        <v/>
      </c>
      <c r="H17" s="43" t="str">
        <f t="shared" si="2"/>
        <v/>
      </c>
      <c r="I17" s="43" t="str">
        <f t="shared" si="2"/>
        <v/>
      </c>
      <c r="J17" s="43" t="str">
        <f t="shared" si="2"/>
        <v/>
      </c>
      <c r="K17" s="43" t="str">
        <f t="shared" si="3"/>
        <v/>
      </c>
    </row>
    <row r="18" spans="1:11" outlineLevel="1">
      <c r="A18" s="145"/>
      <c r="B18" s="145"/>
      <c r="C18" s="145"/>
      <c r="D18" s="46" t="str">
        <f t="shared" si="0"/>
        <v/>
      </c>
      <c r="E18" s="45" t="str">
        <f t="shared" si="4"/>
        <v/>
      </c>
      <c r="F18" s="43" t="str">
        <f t="shared" si="1"/>
        <v/>
      </c>
      <c r="G18" s="43" t="str">
        <f t="shared" si="2"/>
        <v/>
      </c>
      <c r="H18" s="43" t="str">
        <f t="shared" si="2"/>
        <v/>
      </c>
      <c r="I18" s="43" t="str">
        <f t="shared" si="2"/>
        <v/>
      </c>
      <c r="J18" s="43" t="str">
        <f t="shared" si="2"/>
        <v/>
      </c>
      <c r="K18" s="43" t="str">
        <f t="shared" si="3"/>
        <v/>
      </c>
    </row>
    <row r="19" spans="1:11" outlineLevel="1">
      <c r="A19" s="145"/>
      <c r="B19" s="145"/>
      <c r="C19" s="145"/>
      <c r="D19" s="46" t="str">
        <f t="shared" si="0"/>
        <v/>
      </c>
      <c r="E19" s="45" t="str">
        <f t="shared" si="4"/>
        <v/>
      </c>
      <c r="F19" s="43" t="str">
        <f t="shared" si="1"/>
        <v/>
      </c>
      <c r="G19" s="43" t="str">
        <f t="shared" si="2"/>
        <v/>
      </c>
      <c r="H19" s="43" t="str">
        <f t="shared" si="2"/>
        <v/>
      </c>
      <c r="I19" s="43" t="str">
        <f t="shared" si="2"/>
        <v/>
      </c>
      <c r="J19" s="43" t="str">
        <f t="shared" si="2"/>
        <v/>
      </c>
      <c r="K19" s="43" t="str">
        <f t="shared" si="3"/>
        <v/>
      </c>
    </row>
    <row r="20" spans="1:11" outlineLevel="1">
      <c r="A20" s="145"/>
      <c r="B20" s="145"/>
      <c r="C20" s="145"/>
      <c r="D20" s="46" t="str">
        <f t="shared" si="0"/>
        <v/>
      </c>
      <c r="E20" s="45" t="str">
        <f t="shared" si="4"/>
        <v/>
      </c>
      <c r="F20" s="43" t="str">
        <f t="shared" si="1"/>
        <v/>
      </c>
      <c r="G20" s="43" t="str">
        <f t="shared" si="2"/>
        <v/>
      </c>
      <c r="H20" s="43" t="str">
        <f t="shared" si="2"/>
        <v/>
      </c>
      <c r="I20" s="43" t="str">
        <f t="shared" si="2"/>
        <v/>
      </c>
      <c r="J20" s="43" t="str">
        <f t="shared" si="2"/>
        <v/>
      </c>
      <c r="K20" s="43" t="str">
        <f t="shared" si="3"/>
        <v/>
      </c>
    </row>
    <row r="21" spans="1:11" outlineLevel="1">
      <c r="A21" s="145"/>
      <c r="B21" s="145"/>
      <c r="C21" s="145"/>
      <c r="D21" s="46" t="str">
        <f t="shared" si="0"/>
        <v/>
      </c>
      <c r="E21" s="45" t="str">
        <f t="shared" si="4"/>
        <v/>
      </c>
      <c r="F21" s="43" t="str">
        <f t="shared" si="1"/>
        <v/>
      </c>
      <c r="G21" s="43" t="str">
        <f t="shared" si="2"/>
        <v/>
      </c>
      <c r="H21" s="43" t="str">
        <f t="shared" si="2"/>
        <v/>
      </c>
      <c r="I21" s="43" t="str">
        <f t="shared" si="2"/>
        <v/>
      </c>
      <c r="J21" s="43" t="str">
        <f t="shared" si="2"/>
        <v/>
      </c>
      <c r="K21" s="43" t="str">
        <f t="shared" si="3"/>
        <v/>
      </c>
    </row>
    <row r="22" spans="1:11" outlineLevel="1">
      <c r="A22" s="145"/>
      <c r="B22" s="145"/>
      <c r="C22" s="145"/>
      <c r="D22" s="46" t="str">
        <f t="shared" si="0"/>
        <v/>
      </c>
      <c r="E22" s="45" t="str">
        <f t="shared" si="4"/>
        <v/>
      </c>
      <c r="F22" s="43" t="str">
        <f t="shared" si="1"/>
        <v/>
      </c>
      <c r="G22" s="43" t="str">
        <f t="shared" si="2"/>
        <v/>
      </c>
      <c r="H22" s="43" t="str">
        <f t="shared" si="2"/>
        <v/>
      </c>
      <c r="I22" s="43" t="str">
        <f t="shared" si="2"/>
        <v/>
      </c>
      <c r="J22" s="43" t="str">
        <f t="shared" si="2"/>
        <v/>
      </c>
      <c r="K22" s="43" t="str">
        <f t="shared" si="3"/>
        <v/>
      </c>
    </row>
    <row r="23" spans="1:11" outlineLevel="1">
      <c r="A23" s="145"/>
      <c r="B23" s="145"/>
      <c r="C23" s="145"/>
      <c r="D23" s="46" t="str">
        <f t="shared" si="0"/>
        <v/>
      </c>
      <c r="E23" s="45" t="str">
        <f t="shared" si="4"/>
        <v/>
      </c>
      <c r="F23" s="43" t="str">
        <f t="shared" si="1"/>
        <v/>
      </c>
      <c r="G23" s="43" t="str">
        <f t="shared" si="2"/>
        <v/>
      </c>
      <c r="H23" s="43" t="str">
        <f t="shared" si="2"/>
        <v/>
      </c>
      <c r="I23" s="43" t="str">
        <f t="shared" si="2"/>
        <v/>
      </c>
      <c r="J23" s="43" t="str">
        <f t="shared" si="2"/>
        <v/>
      </c>
      <c r="K23" s="43" t="str">
        <f t="shared" si="3"/>
        <v/>
      </c>
    </row>
    <row r="24" spans="1:11" outlineLevel="1">
      <c r="A24" s="218" t="s">
        <v>92</v>
      </c>
      <c r="B24" s="218"/>
      <c r="C24" s="132">
        <f>TotalTimeSpentReviewing</f>
        <v>0</v>
      </c>
      <c r="D24" s="133"/>
      <c r="E24" s="44" t="str">
        <f>IF(NOT(ISNUMBER(ItemSize)),"Enter Item Size",IF(C24&gt;0,ItemSize/C24,"-"))</f>
        <v>Enter Item Size</v>
      </c>
      <c r="F24" s="134">
        <f>SUM(F14:F23)</f>
        <v>0</v>
      </c>
      <c r="G24" s="134">
        <f>SUM(G14:G23)</f>
        <v>0</v>
      </c>
      <c r="H24" s="134">
        <f>SUM(H14:H23)</f>
        <v>0</v>
      </c>
      <c r="I24" s="134">
        <f>SUM(I14:I23)</f>
        <v>0</v>
      </c>
      <c r="J24" s="134">
        <f>SUM(J14:J23)</f>
        <v>0</v>
      </c>
      <c r="K24" s="43" t="str">
        <f>IF(F24=G24+H24+I24+J24,CheckOK,CheckErr)</f>
        <v/>
      </c>
    </row>
    <row r="25" spans="1:11" s="138" customFormat="1" ht="27" customHeight="1" outlineLevel="1">
      <c r="A25" s="217" t="s">
        <v>91</v>
      </c>
      <c r="B25" s="217"/>
      <c r="C25" s="131"/>
      <c r="D25" s="135"/>
      <c r="E25" s="136"/>
      <c r="F25" s="137">
        <f>COUNTA(DevCommentInitials)</f>
        <v>94</v>
      </c>
      <c r="G25" s="137">
        <f>COUNTIF(DevCommentStatuses,G$12)</f>
        <v>21</v>
      </c>
      <c r="H25" s="137">
        <f>COUNTIF(DevCommentStatuses,H$12)</f>
        <v>7</v>
      </c>
      <c r="I25" s="137">
        <f>COUNTIF(DevCommentStatuses,I$12)</f>
        <v>0</v>
      </c>
      <c r="J25" s="137">
        <f>COUNTIF(DevCommentStatuses,J$12)</f>
        <v>1</v>
      </c>
      <c r="K25" s="43" t="str">
        <f>IF(AND(F25=G25+H25+I25+J25,F24=F25,G24=G25,H24=H25,I24=I25,J24=J25),CheckOK,CheckErr)</f>
        <v>!</v>
      </c>
    </row>
    <row r="27" spans="1:11" ht="21">
      <c r="A27" s="114" t="s">
        <v>162</v>
      </c>
    </row>
    <row r="28" spans="1:11">
      <c r="A28" s="213" t="str">
        <f>A27</f>
        <v>Time Spent Reworking</v>
      </c>
      <c r="B28" s="214"/>
      <c r="C28" s="37">
        <f>SUM(C32:C36)</f>
        <v>0</v>
      </c>
    </row>
    <row r="29" spans="1:11">
      <c r="A29" s="215" t="s">
        <v>102</v>
      </c>
      <c r="B29" s="216"/>
      <c r="C29" s="48" t="str">
        <f>CONCATENATE(INT(C28/60)," hour(s) and ", MOD(C28,60), " minutes")</f>
        <v>0 hour(s) and 0 minutes</v>
      </c>
    </row>
    <row r="30" spans="1:11">
      <c r="G30" s="123" t="s">
        <v>87</v>
      </c>
      <c r="H30" s="123" t="s">
        <v>86</v>
      </c>
      <c r="I30" s="123" t="s">
        <v>132</v>
      </c>
      <c r="J30" s="123" t="s">
        <v>85</v>
      </c>
    </row>
    <row r="31" spans="1:11" ht="38.25" customHeight="1" outlineLevel="2">
      <c r="A31" s="139" t="s">
        <v>164</v>
      </c>
      <c r="B31" s="140" t="s">
        <v>165</v>
      </c>
      <c r="C31" s="141" t="s">
        <v>128</v>
      </c>
      <c r="D31" s="127" t="s">
        <v>93</v>
      </c>
      <c r="E31" s="128" t="s">
        <v>166</v>
      </c>
      <c r="F31" s="129" t="s">
        <v>169</v>
      </c>
      <c r="G31" s="129" t="s">
        <v>96</v>
      </c>
      <c r="H31" s="129" t="s">
        <v>95</v>
      </c>
      <c r="I31" s="129" t="s">
        <v>131</v>
      </c>
      <c r="J31" s="129" t="s">
        <v>94</v>
      </c>
      <c r="K31" s="130" t="s">
        <v>93</v>
      </c>
    </row>
    <row r="32" spans="1:11" outlineLevel="2">
      <c r="A32" s="145"/>
      <c r="B32" s="145"/>
      <c r="C32" s="145"/>
      <c r="D32" s="46" t="str">
        <f>IF(OR(COUNTA(A32:C32)=0,COUNTA(A32:C32)=COUNTA(A$13:C$13)),CheckOK,CheckErr)</f>
        <v/>
      </c>
      <c r="E32" s="45" t="str">
        <f>IF(NOT(ISBLANK(C32)),IF(ISNUMBER(ItemSize),F32/C32,"Enter Item Size"),"")</f>
        <v/>
      </c>
      <c r="F32" s="43" t="str">
        <f>IF(ISBLANK(B32),"",COUNTIF(DevAuthorInitials,B32))</f>
        <v/>
      </c>
      <c r="G32" s="43" t="str">
        <f t="shared" ref="G32:J36" si="5">IF(ISBLANK($B32),"",COUNTIFS(DevAuthorInitials,$B32,DevCommentStatuses,G$12))</f>
        <v/>
      </c>
      <c r="H32" s="43" t="str">
        <f t="shared" si="5"/>
        <v/>
      </c>
      <c r="I32" s="43" t="str">
        <f t="shared" si="5"/>
        <v/>
      </c>
      <c r="J32" s="43" t="str">
        <f t="shared" si="5"/>
        <v/>
      </c>
      <c r="K32" s="43" t="str">
        <f>IF(ISBLANK(B32),"",IF(F32=G32+H32+I32+J32,CheckOK,CheckErr))</f>
        <v/>
      </c>
    </row>
    <row r="33" spans="1:11" outlineLevel="2">
      <c r="A33" s="145"/>
      <c r="B33" s="145"/>
      <c r="C33" s="145"/>
      <c r="D33" s="46" t="str">
        <f>IF(OR(COUNTA(A33:C33)=0,COUNTA(A33:C33)=COUNTA(A$13:C$13)),CheckOK,CheckErr)</f>
        <v/>
      </c>
      <c r="E33" s="45" t="str">
        <f>IF(NOT(ISBLANK(C33)),IF(ISNUMBER(ItemSize),F33/C33,"Enter Item Size"),"")</f>
        <v/>
      </c>
      <c r="F33" s="43" t="str">
        <f>IF(ISBLANK(B33),"",COUNTIF(DevAuthorInitials,B33))</f>
        <v/>
      </c>
      <c r="G33" s="43" t="str">
        <f t="shared" si="5"/>
        <v/>
      </c>
      <c r="H33" s="43" t="str">
        <f t="shared" si="5"/>
        <v/>
      </c>
      <c r="I33" s="43" t="str">
        <f t="shared" si="5"/>
        <v/>
      </c>
      <c r="J33" s="43" t="str">
        <f t="shared" si="5"/>
        <v/>
      </c>
      <c r="K33" s="43" t="str">
        <f>IF(ISBLANK(B33),"",IF(F33=G33+H33+I33+J33,CheckOK,CheckErr))</f>
        <v/>
      </c>
    </row>
    <row r="34" spans="1:11" outlineLevel="2">
      <c r="A34" s="145"/>
      <c r="B34" s="145"/>
      <c r="C34" s="145"/>
      <c r="D34" s="46" t="str">
        <f>IF(OR(COUNTA(A34:C34)=0,COUNTA(A34:C34)=COUNTA(A$13:C$13)),CheckOK,CheckErr)</f>
        <v/>
      </c>
      <c r="E34" s="45" t="str">
        <f>IF(NOT(ISBLANK(C34)),IF(ISNUMBER(ItemSize),F34/C34,"Enter Item Size"),"")</f>
        <v/>
      </c>
      <c r="F34" s="43" t="str">
        <f>IF(ISBLANK(B34),"",COUNTIF(DevAuthorInitials,B34))</f>
        <v/>
      </c>
      <c r="G34" s="43" t="str">
        <f t="shared" si="5"/>
        <v/>
      </c>
      <c r="H34" s="43" t="str">
        <f t="shared" si="5"/>
        <v/>
      </c>
      <c r="I34" s="43" t="str">
        <f t="shared" si="5"/>
        <v/>
      </c>
      <c r="J34" s="43" t="str">
        <f t="shared" si="5"/>
        <v/>
      </c>
      <c r="K34" s="43" t="str">
        <f>IF(ISBLANK(B34),"",IF(F34=G34+H34+I34+J34,CheckOK,CheckErr))</f>
        <v/>
      </c>
    </row>
    <row r="35" spans="1:11" outlineLevel="2">
      <c r="A35" s="145"/>
      <c r="B35" s="145"/>
      <c r="C35" s="145"/>
      <c r="D35" s="46" t="str">
        <f>IF(OR(COUNTA(A35:C35)=0,COUNTA(A35:C35)=COUNTA(A$13:C$13)),CheckOK,CheckErr)</f>
        <v/>
      </c>
      <c r="E35" s="45" t="str">
        <f>IF(NOT(ISBLANK(C35)),IF(ISNUMBER(ItemSize),F35/C35,"Enter Item Size"),"")</f>
        <v/>
      </c>
      <c r="F35" s="43" t="str">
        <f>IF(ISBLANK(B35),"",COUNTIF(DevAuthorInitials,B35))</f>
        <v/>
      </c>
      <c r="G35" s="43" t="str">
        <f t="shared" si="5"/>
        <v/>
      </c>
      <c r="H35" s="43" t="str">
        <f t="shared" si="5"/>
        <v/>
      </c>
      <c r="I35" s="43" t="str">
        <f t="shared" si="5"/>
        <v/>
      </c>
      <c r="J35" s="43" t="str">
        <f t="shared" si="5"/>
        <v/>
      </c>
      <c r="K35" s="43" t="str">
        <f>IF(ISBLANK(B35),"",IF(F35=G35+H35+I35+J35,CheckOK,CheckErr))</f>
        <v/>
      </c>
    </row>
    <row r="36" spans="1:11" outlineLevel="2">
      <c r="A36" s="145"/>
      <c r="B36" s="145"/>
      <c r="C36" s="145"/>
      <c r="D36" s="46" t="str">
        <f>IF(OR(COUNTA(A36:C36)=0,COUNTA(A36:C36)=COUNTA(A$13:C$13)),CheckOK,CheckErr)</f>
        <v/>
      </c>
      <c r="E36" s="45" t="str">
        <f>IF(NOT(ISBLANK(C36)),IF(ISNUMBER(ItemSize),F36/C36,"Enter Item Size"),"")</f>
        <v/>
      </c>
      <c r="F36" s="43" t="str">
        <f>IF(ISBLANK(B36),"",COUNTIF(DevAuthorInitials,B36))</f>
        <v/>
      </c>
      <c r="G36" s="43" t="str">
        <f t="shared" si="5"/>
        <v/>
      </c>
      <c r="H36" s="43" t="str">
        <f t="shared" si="5"/>
        <v/>
      </c>
      <c r="I36" s="43" t="str">
        <f t="shared" si="5"/>
        <v/>
      </c>
      <c r="J36" s="43" t="str">
        <f t="shared" si="5"/>
        <v/>
      </c>
      <c r="K36" s="43" t="str">
        <f>IF(ISBLANK(B36),"",IF(F36=G36+H36+I36+J36,CheckOK,CheckErr))</f>
        <v/>
      </c>
    </row>
    <row r="37" spans="1:11" outlineLevel="2">
      <c r="A37" s="218" t="s">
        <v>92</v>
      </c>
      <c r="B37" s="218"/>
      <c r="C37" s="132">
        <f>TotalEffortToFix</f>
        <v>0</v>
      </c>
      <c r="D37" s="133"/>
      <c r="E37" s="44" t="str">
        <f>IF(NOT(ISNUMBER(ItemSize)),"Enter Item Size",IF(C37&gt;0,ItemSize/C37,"-"))</f>
        <v>Enter Item Size</v>
      </c>
      <c r="F37" s="134">
        <f>SUM(F32:F36)</f>
        <v>0</v>
      </c>
      <c r="G37" s="134">
        <f>SUM(G32:G36)</f>
        <v>0</v>
      </c>
      <c r="H37" s="134">
        <f>SUM(H32:H36)</f>
        <v>0</v>
      </c>
      <c r="I37" s="134">
        <f>SUM(I32:I36)</f>
        <v>0</v>
      </c>
      <c r="J37" s="134">
        <f>SUM(J32:J36)</f>
        <v>0</v>
      </c>
      <c r="K37" s="43" t="str">
        <f>IF(F37=G37+H37+I37+J37,CheckOK,CheckErr)</f>
        <v/>
      </c>
    </row>
    <row r="38" spans="1:11" outlineLevel="2">
      <c r="A38" s="217" t="s">
        <v>91</v>
      </c>
      <c r="B38" s="217"/>
      <c r="C38" s="131"/>
      <c r="D38" s="135"/>
      <c r="E38" s="136"/>
      <c r="F38" s="137">
        <f>COUNTA(DevCommentInitials)</f>
        <v>94</v>
      </c>
      <c r="G38" s="137">
        <f>COUNTIF(DevCommentStatuses,G$12)</f>
        <v>21</v>
      </c>
      <c r="H38" s="137">
        <f>COUNTIF(DevCommentStatuses,H$12)</f>
        <v>7</v>
      </c>
      <c r="I38" s="137">
        <f>COUNTIF(DevCommentStatuses,I$12)</f>
        <v>0</v>
      </c>
      <c r="J38" s="137">
        <f>COUNTIF(DevCommentStatuses,J$12)</f>
        <v>1</v>
      </c>
      <c r="K38" s="43" t="str">
        <f>IF(AND(F38=G38+H38+I38+J38,F37=F38,G37=G38,H37=H38,I37=I38,J37=J38),CheckOK,CheckErr)</f>
        <v>!</v>
      </c>
    </row>
    <row r="40" spans="1:11" ht="21">
      <c r="A40" s="114" t="s">
        <v>163</v>
      </c>
    </row>
    <row r="42" spans="1:11">
      <c r="A42" s="213" t="str">
        <f>A40</f>
        <v>Time Spent Moderating</v>
      </c>
      <c r="B42" s="214"/>
      <c r="C42" s="37">
        <f>SUM(C46:C50)</f>
        <v>0</v>
      </c>
    </row>
    <row r="43" spans="1:11">
      <c r="A43" s="215" t="s">
        <v>102</v>
      </c>
      <c r="B43" s="216"/>
      <c r="C43" s="48" t="str">
        <f>CONCATENATE(INT(C42/60)," hour(s) and ", MOD(C42,60), " minutes")</f>
        <v>0 hour(s) and 0 minutes</v>
      </c>
    </row>
    <row r="44" spans="1:11">
      <c r="G44" s="123" t="s">
        <v>87</v>
      </c>
      <c r="H44" s="123" t="s">
        <v>86</v>
      </c>
      <c r="I44" s="123" t="s">
        <v>132</v>
      </c>
      <c r="J44" s="123" t="s">
        <v>85</v>
      </c>
    </row>
    <row r="45" spans="1:11" ht="45" customHeight="1" outlineLevel="2">
      <c r="A45" s="142" t="s">
        <v>171</v>
      </c>
      <c r="B45" s="143" t="s">
        <v>170</v>
      </c>
      <c r="C45" s="144" t="s">
        <v>129</v>
      </c>
      <c r="D45" s="127" t="s">
        <v>93</v>
      </c>
      <c r="E45" s="128" t="s">
        <v>167</v>
      </c>
      <c r="F45" s="129" t="s">
        <v>168</v>
      </c>
      <c r="G45" s="129" t="s">
        <v>96</v>
      </c>
      <c r="H45" s="129" t="s">
        <v>95</v>
      </c>
      <c r="I45" s="129" t="s">
        <v>131</v>
      </c>
      <c r="J45" s="129" t="s">
        <v>94</v>
      </c>
      <c r="K45" s="130" t="s">
        <v>93</v>
      </c>
    </row>
    <row r="46" spans="1:11" outlineLevel="2">
      <c r="A46" s="145"/>
      <c r="B46" s="145"/>
      <c r="C46" s="145"/>
      <c r="D46" s="46" t="str">
        <f>IF(OR(COUNTA(A46:C46)=0,COUNTA(A46:C46)=COUNTA(A$13:C$13)),CheckOK,CheckErr)</f>
        <v/>
      </c>
      <c r="E46" s="45" t="str">
        <f>IF(NOT(ISBLANK(C46)),IF(ISNUMBER(ItemSize),F46/C46,"Enter Item Size"),"")</f>
        <v/>
      </c>
      <c r="F46" s="43" t="str">
        <f>IF(ISBLANK(B46),"",COUNTIF(DevModeratorInitials,B46))</f>
        <v/>
      </c>
      <c r="G46" s="43" t="str">
        <f t="shared" ref="G46:J50" si="6">IF(ISBLANK($B46),"",COUNTIFS(DevModeratorInitials,$B46,DevCommentStatuses,G$12))</f>
        <v/>
      </c>
      <c r="H46" s="43" t="str">
        <f t="shared" si="6"/>
        <v/>
      </c>
      <c r="I46" s="43" t="str">
        <f t="shared" si="6"/>
        <v/>
      </c>
      <c r="J46" s="43" t="str">
        <f t="shared" si="6"/>
        <v/>
      </c>
      <c r="K46" s="43" t="str">
        <f>IF(ISBLANK(B46),"",IF(F46=G46+H46+I46+J46,CheckOK,CheckErr))</f>
        <v/>
      </c>
    </row>
    <row r="47" spans="1:11" outlineLevel="2">
      <c r="A47" s="145"/>
      <c r="B47" s="145"/>
      <c r="C47" s="145"/>
      <c r="D47" s="46" t="str">
        <f>IF(OR(COUNTA(A47:C47)=0,COUNTA(A47:C47)=COUNTA(A$13:C$13)),CheckOK,CheckErr)</f>
        <v/>
      </c>
      <c r="E47" s="45" t="str">
        <f>IF(NOT(ISBLANK(C47)),IF(ISNUMBER(ItemSize),F47/C47,"Enter Item Size"),"")</f>
        <v/>
      </c>
      <c r="F47" s="43" t="str">
        <f>IF(ISBLANK(B47),"",COUNTIF(DevModeratorInitials,B47))</f>
        <v/>
      </c>
      <c r="G47" s="43" t="str">
        <f t="shared" si="6"/>
        <v/>
      </c>
      <c r="H47" s="43" t="str">
        <f t="shared" si="6"/>
        <v/>
      </c>
      <c r="I47" s="43" t="str">
        <f t="shared" si="6"/>
        <v/>
      </c>
      <c r="J47" s="43" t="str">
        <f t="shared" si="6"/>
        <v/>
      </c>
      <c r="K47" s="43" t="str">
        <f>IF(ISBLANK(B47),"",IF(F47=G47+H47+I47+J47,CheckOK,CheckErr))</f>
        <v/>
      </c>
    </row>
    <row r="48" spans="1:11" outlineLevel="2">
      <c r="A48" s="145"/>
      <c r="B48" s="145"/>
      <c r="C48" s="145"/>
      <c r="D48" s="46" t="str">
        <f>IF(OR(COUNTA(A48:C48)=0,COUNTA(A48:C48)=COUNTA(A$13:C$13)),CheckOK,CheckErr)</f>
        <v/>
      </c>
      <c r="E48" s="45" t="str">
        <f>IF(NOT(ISBLANK(C48)),IF(ISNUMBER(ItemSize),F48/C48,"Enter Item Size"),"")</f>
        <v/>
      </c>
      <c r="F48" s="43" t="str">
        <f>IF(ISBLANK(B48),"",COUNTIF(DevModeratorInitials,B48))</f>
        <v/>
      </c>
      <c r="G48" s="43" t="str">
        <f t="shared" si="6"/>
        <v/>
      </c>
      <c r="H48" s="43" t="str">
        <f t="shared" si="6"/>
        <v/>
      </c>
      <c r="I48" s="43" t="str">
        <f t="shared" si="6"/>
        <v/>
      </c>
      <c r="J48" s="43" t="str">
        <f t="shared" si="6"/>
        <v/>
      </c>
      <c r="K48" s="43" t="str">
        <f>IF(ISBLANK(B48),"",IF(F48=G48+H48+I48+J48,CheckOK,CheckErr))</f>
        <v/>
      </c>
    </row>
    <row r="49" spans="1:11" outlineLevel="2">
      <c r="A49" s="145"/>
      <c r="B49" s="145"/>
      <c r="C49" s="145"/>
      <c r="D49" s="46" t="str">
        <f>IF(OR(COUNTA(A49:C49)=0,COUNTA(A49:C49)=COUNTA(A$13:C$13)),CheckOK,CheckErr)</f>
        <v/>
      </c>
      <c r="E49" s="45" t="str">
        <f>IF(NOT(ISBLANK(C49)),IF(ISNUMBER(ItemSize),F49/C49,"Enter Item Size"),"")</f>
        <v/>
      </c>
      <c r="F49" s="43" t="str">
        <f>IF(ISBLANK(B49),"",COUNTIF(DevModeratorInitials,B49))</f>
        <v/>
      </c>
      <c r="G49" s="43" t="str">
        <f t="shared" si="6"/>
        <v/>
      </c>
      <c r="H49" s="43" t="str">
        <f t="shared" si="6"/>
        <v/>
      </c>
      <c r="I49" s="43" t="str">
        <f t="shared" si="6"/>
        <v/>
      </c>
      <c r="J49" s="43" t="str">
        <f t="shared" si="6"/>
        <v/>
      </c>
      <c r="K49" s="43" t="str">
        <f>IF(ISBLANK(B49),"",IF(F49=G49+H49+I49+J49,CheckOK,CheckErr))</f>
        <v/>
      </c>
    </row>
    <row r="50" spans="1:11" outlineLevel="2">
      <c r="A50" s="145"/>
      <c r="B50" s="145"/>
      <c r="C50" s="145"/>
      <c r="D50" s="46" t="str">
        <f>IF(OR(COUNTA(A50:C50)=0,COUNTA(A50:C50)=COUNTA(A$13:C$13)),CheckOK,CheckErr)</f>
        <v/>
      </c>
      <c r="E50" s="45" t="str">
        <f>IF(NOT(ISBLANK(C50)),IF(ISNUMBER(ItemSize),F50/C50,"Enter Item Size"),"")</f>
        <v/>
      </c>
      <c r="F50" s="43" t="str">
        <f>IF(ISBLANK(B50),"",COUNTIF(DevModeratorInitials,B50))</f>
        <v/>
      </c>
      <c r="G50" s="43" t="str">
        <f t="shared" si="6"/>
        <v/>
      </c>
      <c r="H50" s="43" t="str">
        <f t="shared" si="6"/>
        <v/>
      </c>
      <c r="I50" s="43" t="str">
        <f t="shared" si="6"/>
        <v/>
      </c>
      <c r="J50" s="43" t="str">
        <f t="shared" si="6"/>
        <v/>
      </c>
      <c r="K50" s="43" t="str">
        <f>IF(ISBLANK(B50),"",IF(F50=G50+H50+I50+J50,CheckOK,CheckErr))</f>
        <v/>
      </c>
    </row>
    <row r="51" spans="1:11" outlineLevel="2">
      <c r="A51" s="218" t="s">
        <v>92</v>
      </c>
      <c r="B51" s="218"/>
      <c r="C51" s="132">
        <f>TotalTimeModerating</f>
        <v>0</v>
      </c>
      <c r="D51" s="133"/>
      <c r="E51" s="44" t="str">
        <f>IF(NOT(ISNUMBER(ItemSize)),"Enter Item Size",IF(C51&gt;0,ItemSize/C51,"-"))</f>
        <v>Enter Item Size</v>
      </c>
      <c r="F51" s="134">
        <f>SUM(F46:F50)</f>
        <v>0</v>
      </c>
      <c r="G51" s="134">
        <f>SUM(G46:G50)</f>
        <v>0</v>
      </c>
      <c r="H51" s="134">
        <f>SUM(H46:H50)</f>
        <v>0</v>
      </c>
      <c r="I51" s="134">
        <f>SUM(I46:I50)</f>
        <v>0</v>
      </c>
      <c r="J51" s="134">
        <f>SUM(J46:J50)</f>
        <v>0</v>
      </c>
      <c r="K51" s="43" t="str">
        <f>IF(F51=G51+H51+I51+J51,CheckOK,CheckErr)</f>
        <v/>
      </c>
    </row>
    <row r="52" spans="1:11" outlineLevel="2">
      <c r="A52" s="217" t="s">
        <v>91</v>
      </c>
      <c r="B52" s="217"/>
      <c r="C52" s="131"/>
      <c r="D52" s="135"/>
      <c r="E52" s="136"/>
      <c r="F52" s="137">
        <f>COUNTA(DevCommentInitials)</f>
        <v>94</v>
      </c>
      <c r="G52" s="137">
        <f>COUNTIF(DevCommentStatuses,G$12)</f>
        <v>21</v>
      </c>
      <c r="H52" s="137">
        <f>COUNTIF(DevCommentStatuses,H$12)</f>
        <v>7</v>
      </c>
      <c r="I52" s="137">
        <f>COUNTIF(DevCommentStatuses,I$12)</f>
        <v>0</v>
      </c>
      <c r="J52" s="137">
        <f>COUNTIF(DevCommentStatuses,J$12)</f>
        <v>1</v>
      </c>
      <c r="K52" s="43" t="str">
        <f>IF(AND(F52=G52+H52+I52+J52,F51=F52,G51=G52,H51=H52,I51=I52,J51=J52),CheckOK,CheckErr)</f>
        <v>!</v>
      </c>
    </row>
  </sheetData>
  <sheetProtection insertRows="0"/>
  <mergeCells count="17">
    <mergeCell ref="A43:B43"/>
    <mergeCell ref="A51:B51"/>
    <mergeCell ref="A52:B52"/>
    <mergeCell ref="A37:B37"/>
    <mergeCell ref="A38:B38"/>
    <mergeCell ref="A28:B28"/>
    <mergeCell ref="A29:B29"/>
    <mergeCell ref="A42:B42"/>
    <mergeCell ref="A10:B10"/>
    <mergeCell ref="A11:B11"/>
    <mergeCell ref="A25:B25"/>
    <mergeCell ref="A24:B24"/>
    <mergeCell ref="B2:C2"/>
    <mergeCell ref="B3:C3"/>
    <mergeCell ref="B4:C4"/>
    <mergeCell ref="B5:C5"/>
    <mergeCell ref="B6:C6"/>
  </mergeCells>
  <conditionalFormatting sqref="D1:D1048576">
    <cfRule type="cellIs" dxfId="10" priority="46" stopIfTrue="1" operator="equal">
      <formula>CheckErr</formula>
    </cfRule>
  </conditionalFormatting>
  <conditionalFormatting sqref="K1:K1048576">
    <cfRule type="expression" dxfId="9" priority="45" stopIfTrue="1">
      <formula>K1=CheckErr</formula>
    </cfRule>
  </conditionalFormatting>
  <conditionalFormatting sqref="A14:C23">
    <cfRule type="expression" dxfId="8" priority="6" stopIfTrue="1">
      <formula>$D14=CheckErr</formula>
    </cfRule>
  </conditionalFormatting>
  <conditionalFormatting sqref="C24:C25">
    <cfRule type="expression" dxfId="7" priority="5" stopIfTrue="1">
      <formula>$D24=CheckErr</formula>
    </cfRule>
  </conditionalFormatting>
  <conditionalFormatting sqref="A32:C36">
    <cfRule type="expression" dxfId="6" priority="4" stopIfTrue="1">
      <formula>$D32=CheckErr</formula>
    </cfRule>
  </conditionalFormatting>
  <conditionalFormatting sqref="C37:C38">
    <cfRule type="expression" dxfId="5" priority="3" stopIfTrue="1">
      <formula>$D37=CheckErr</formula>
    </cfRule>
  </conditionalFormatting>
  <conditionalFormatting sqref="A46:C50">
    <cfRule type="expression" dxfId="4" priority="2" stopIfTrue="1">
      <formula>$D46=CheckErr</formula>
    </cfRule>
  </conditionalFormatting>
  <conditionalFormatting sqref="C51:C52">
    <cfRule type="expression" dxfId="3"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7.xml><?xml version="1.0" encoding="utf-8"?>
<worksheet xmlns="http://schemas.openxmlformats.org/spreadsheetml/2006/main" xmlns:r="http://schemas.openxmlformats.org/officeDocument/2006/relationships">
  <sheetPr codeName="Sheet6">
    <tabColor rgb="FF92D050"/>
    <pageSetUpPr fitToPage="1"/>
  </sheetPr>
  <dimension ref="A1:F84"/>
  <sheetViews>
    <sheetView workbookViewId="0">
      <selection activeCell="F6" sqref="F6"/>
    </sheetView>
  </sheetViews>
  <sheetFormatPr defaultRowHeight="13.5"/>
  <cols>
    <col min="1" max="1" width="29" style="9" customWidth="1"/>
    <col min="2" max="2" width="18" style="9" customWidth="1"/>
    <col min="3" max="3" width="12.375" style="9" customWidth="1"/>
    <col min="4" max="4" width="28.125" style="9" customWidth="1"/>
    <col min="5" max="5" width="1.375" style="9" bestFit="1" customWidth="1"/>
    <col min="6" max="6" width="21.625" style="9" customWidth="1"/>
    <col min="7" max="16384" width="9" style="9"/>
  </cols>
  <sheetData>
    <row r="1" spans="1:5" ht="21">
      <c r="A1" s="31" t="s">
        <v>90</v>
      </c>
    </row>
    <row r="3" spans="1:5" ht="27" customHeight="1">
      <c r="A3" s="42" t="s">
        <v>89</v>
      </c>
      <c r="B3" s="235" t="str">
        <f>CONCATENATE('Calling Notice'!$B$3,", ",'Calling Notice'!$B$4,", ",'Calling Notice'!$B$5," ",'Calling Notice'!$B$6,", ",TEXT('Calling Notice'!$B$7,"dd MMMM yyyy"))</f>
        <v>&lt;Title&gt;, &lt;S.Pnnnn.nn.n&gt; or &lt;CM System path&gt;, &lt;Issue n.n&gt; or &lt;CM System revision number&gt; &lt;Status&gt;, dd MMMM yyyy</v>
      </c>
      <c r="C3" s="235"/>
      <c r="D3" s="235"/>
    </row>
    <row r="5" spans="1:5">
      <c r="A5" s="16" t="s">
        <v>88</v>
      </c>
      <c r="B5" s="41">
        <f>COUNTA(DevCommentInitials)</f>
        <v>94</v>
      </c>
      <c r="C5" s="40"/>
    </row>
    <row r="6" spans="1:5">
      <c r="A6" s="16" t="s">
        <v>398</v>
      </c>
      <c r="B6" s="37" t="e">
        <f>COUNTIFS(DevCommentStatuses,"Accepted",DevCommentCategory, "01 - Mandatory (Op)")</f>
        <v>#REF!</v>
      </c>
      <c r="C6" s="39" t="e">
        <f>IF($B$5&lt;&gt;0,B6/$B$5,0)</f>
        <v>#REF!</v>
      </c>
    </row>
    <row r="7" spans="1:5">
      <c r="A7" s="16" t="s">
        <v>399</v>
      </c>
      <c r="B7" s="37" t="e">
        <f>COUNTIF(DevCommentStatuses,"Accepted")-B6</f>
        <v>#REF!</v>
      </c>
      <c r="C7" s="39" t="e">
        <f>IF($B$5&lt;&gt;0,B7/$B$5,0)</f>
        <v>#REF!</v>
      </c>
    </row>
    <row r="8" spans="1:5">
      <c r="A8" s="16" t="s">
        <v>86</v>
      </c>
      <c r="B8" s="37">
        <f>COUNTIF(DevCommentStatuses,A8)</f>
        <v>7</v>
      </c>
      <c r="C8" s="39">
        <f>IF($B$5&lt;&gt;0,B8/$B$5,0)</f>
        <v>7.4468085106382975E-2</v>
      </c>
    </row>
    <row r="9" spans="1:5">
      <c r="A9" s="16" t="s">
        <v>132</v>
      </c>
      <c r="B9" s="37">
        <f>COUNTIF(DevCommentStatuses,A9)</f>
        <v>0</v>
      </c>
      <c r="C9" s="39">
        <f>IF($B$5&lt;&gt;0,B9/$B$5,0)</f>
        <v>0</v>
      </c>
    </row>
    <row r="10" spans="1:5" ht="14.25" thickBot="1">
      <c r="A10" s="38" t="s">
        <v>85</v>
      </c>
      <c r="B10" s="37">
        <f>COUNTIF(DevCommentStatuses,A10)</f>
        <v>1</v>
      </c>
      <c r="C10" s="36">
        <f>IF($B$5&lt;&gt;0,B10/$B$5,0)</f>
        <v>1.0638297872340425E-2</v>
      </c>
    </row>
    <row r="11" spans="1:5" ht="14.25" thickBot="1">
      <c r="A11" s="35" t="s">
        <v>84</v>
      </c>
      <c r="B11" s="34" t="e">
        <f>SUM(B6:B10)</f>
        <v>#REF!</v>
      </c>
      <c r="C11" s="33" t="e">
        <f>SUM(C6:C10)</f>
        <v>#REF!</v>
      </c>
      <c r="E11" s="9" t="e">
        <f>IF(C11&lt;&gt;1,CheckErr,CheckOK)</f>
        <v>#REF!</v>
      </c>
    </row>
    <row r="12" spans="1:5">
      <c r="B12" s="32"/>
    </row>
    <row r="13" spans="1:5">
      <c r="A13" s="92"/>
      <c r="B13" s="90" t="s">
        <v>189</v>
      </c>
      <c r="C13" s="90" t="s">
        <v>387</v>
      </c>
      <c r="D13" s="90" t="s">
        <v>388</v>
      </c>
    </row>
    <row r="14" spans="1:5">
      <c r="A14" s="93" t="s">
        <v>188</v>
      </c>
      <c r="B14" s="90" t="e">
        <f>Checklist_Total</f>
        <v>#REF!</v>
      </c>
      <c r="C14" s="90" t="e">
        <f>B14-Checklist_ToGo</f>
        <v>#REF!</v>
      </c>
      <c r="D14" s="90" t="e">
        <f>B14-Checklist_ToSign</f>
        <v>#REF!</v>
      </c>
      <c r="E14" s="9" t="e">
        <f>IF(OR(B14=0,NOT(AND(C14=B14,C14=D14))),CheckErr,CheckOK)</f>
        <v>#REF!</v>
      </c>
    </row>
    <row r="15" spans="1:5">
      <c r="B15" s="32"/>
    </row>
    <row r="16" spans="1:5" hidden="1">
      <c r="A16" s="16" t="s">
        <v>83</v>
      </c>
      <c r="B16" s="238" t="str">
        <f>Metrics!C11</f>
        <v>0 hour(s) and 0 minutes</v>
      </c>
      <c r="C16" s="239"/>
    </row>
    <row r="17" spans="1:5" hidden="1">
      <c r="A17" s="16" t="s">
        <v>82</v>
      </c>
      <c r="B17" s="231" t="str">
        <f>Metrics!C29</f>
        <v>0 hour(s) and 0 minutes</v>
      </c>
      <c r="C17" s="232"/>
    </row>
    <row r="18" spans="1:5" hidden="1">
      <c r="A18" s="16" t="s">
        <v>82</v>
      </c>
      <c r="B18" s="231" t="str">
        <f>Metrics!C43</f>
        <v>0 hour(s) and 0 minutes</v>
      </c>
      <c r="C18" s="232"/>
    </row>
    <row r="19" spans="1:5" hidden="1"/>
    <row r="20" spans="1:5" hidden="1"/>
    <row r="21" spans="1:5" hidden="1"/>
    <row r="23" spans="1:5" ht="21">
      <c r="A23" s="10" t="s">
        <v>81</v>
      </c>
    </row>
    <row r="25" spans="1:5">
      <c r="A25" s="104" t="s">
        <v>80</v>
      </c>
      <c r="B25" s="236"/>
      <c r="C25" s="236"/>
      <c r="D25" s="236"/>
      <c r="E25" s="9" t="str">
        <f>IF(ISBLANK(B25),CheckErr,CheckOK)</f>
        <v>!</v>
      </c>
    </row>
    <row r="26" spans="1:5">
      <c r="A26" s="94" t="s">
        <v>79</v>
      </c>
      <c r="B26" s="233" t="s">
        <v>27</v>
      </c>
      <c r="C26" s="234"/>
      <c r="D26" s="234"/>
      <c r="E26" s="9" t="str">
        <f>IF(OR(LEFT(B26,1)="&lt;",COUNTIF(Blanks,B26)&gt;0),CheckErr,CheckOK)</f>
        <v>!</v>
      </c>
    </row>
    <row r="28" spans="1:5">
      <c r="A28" s="94" t="s">
        <v>191</v>
      </c>
      <c r="B28" s="228" t="s">
        <v>192</v>
      </c>
      <c r="C28" s="229"/>
      <c r="D28" s="230"/>
      <c r="E28" s="5" t="str">
        <f>IF(OR(LEFT(B28,1)="&lt;",COUNTIF(Blanks,B28)&gt;0),CheckErr,CheckOK)</f>
        <v>!</v>
      </c>
    </row>
    <row r="29" spans="1:5">
      <c r="A29" s="94" t="s">
        <v>78</v>
      </c>
      <c r="B29" s="237" t="s">
        <v>77</v>
      </c>
      <c r="C29" s="236"/>
      <c r="D29" s="236"/>
      <c r="E29" s="9" t="str">
        <f>IF(OR(LEFT(B29,1)="&lt;",COUNTIF(Blanks,B29)&gt;0),CheckErr,CheckOK)</f>
        <v>!</v>
      </c>
    </row>
    <row r="30" spans="1:5">
      <c r="A30" s="94" t="s">
        <v>76</v>
      </c>
      <c r="B30" s="233" t="s">
        <v>27</v>
      </c>
      <c r="C30" s="234"/>
      <c r="D30" s="234"/>
      <c r="E30" s="9" t="str">
        <f>IF(OR(LEFT(B30,1)="&lt;",COUNTIF(Blanks,B30)&gt;0),CheckErr,CheckOK)</f>
        <v>!</v>
      </c>
    </row>
    <row r="32" spans="1:5">
      <c r="A32" s="94" t="s">
        <v>383</v>
      </c>
      <c r="B32" s="237" t="s">
        <v>77</v>
      </c>
      <c r="C32" s="236"/>
      <c r="D32" s="236"/>
      <c r="E32" s="9" t="e">
        <f>IF(Checklist_FailSafety&gt;0,CheckErr,CheckOK)</f>
        <v>#REF!</v>
      </c>
    </row>
    <row r="33" spans="1:6">
      <c r="A33" s="94" t="s">
        <v>384</v>
      </c>
      <c r="B33" s="233" t="s">
        <v>27</v>
      </c>
      <c r="C33" s="234"/>
      <c r="D33" s="234"/>
      <c r="E33" s="9" t="e">
        <f>IF(Checklist_FailSafety&gt;0,CheckErr,CheckOK)</f>
        <v>#REF!</v>
      </c>
    </row>
    <row r="35" spans="1:6">
      <c r="A35" s="94" t="s">
        <v>385</v>
      </c>
      <c r="B35" s="237" t="s">
        <v>77</v>
      </c>
      <c r="C35" s="236"/>
      <c r="D35" s="236"/>
      <c r="E35" s="9" t="e">
        <f>IF(Checklist_FailTechnical,CheckErr,CheckOK)</f>
        <v>#REF!</v>
      </c>
    </row>
    <row r="36" spans="1:6">
      <c r="A36" s="94" t="s">
        <v>386</v>
      </c>
      <c r="B36" s="233" t="s">
        <v>27</v>
      </c>
      <c r="C36" s="234"/>
      <c r="D36" s="234"/>
      <c r="E36" s="9" t="e">
        <f>IF(Checklist_FailTechnical,CheckErr,CheckOK)</f>
        <v>#REF!</v>
      </c>
    </row>
    <row r="39" spans="1:6" ht="21">
      <c r="A39" s="31" t="s">
        <v>75</v>
      </c>
    </row>
    <row r="41" spans="1:6" ht="29.25" customHeight="1">
      <c r="A41" s="224" t="s">
        <v>135</v>
      </c>
      <c r="B41" s="224"/>
      <c r="C41" s="224"/>
      <c r="D41" s="224"/>
      <c r="E41" s="224"/>
      <c r="F41" s="224"/>
    </row>
    <row r="43" spans="1:6">
      <c r="A43" s="81" t="s">
        <v>74</v>
      </c>
      <c r="B43" s="81" t="s">
        <v>73</v>
      </c>
      <c r="C43" s="30" t="s">
        <v>72</v>
      </c>
      <c r="D43" s="81" t="s">
        <v>71</v>
      </c>
      <c r="E43" s="227" t="s">
        <v>70</v>
      </c>
      <c r="F43" s="227"/>
    </row>
    <row r="44" spans="1:6">
      <c r="A44" s="28" t="s">
        <v>69</v>
      </c>
      <c r="B44" s="28" t="s">
        <v>68</v>
      </c>
      <c r="C44" s="29" t="s">
        <v>67</v>
      </c>
      <c r="D44" s="28" t="str">
        <f t="shared" ref="D44:D54" ca="1" si="0">IF(COUNTIF(INDIRECT("'" &amp; B44 &amp; "'!$" &amp; C44 &amp; ":$" &amp; C44),CheckErr)=0,StatusConsistent,StatusInconsistent)</f>
        <v>Inconsistent</v>
      </c>
      <c r="E44" s="223"/>
      <c r="F44" s="223"/>
    </row>
    <row r="45" spans="1:6">
      <c r="A45" s="28" t="s">
        <v>66</v>
      </c>
      <c r="B45" s="28" t="s">
        <v>201</v>
      </c>
      <c r="C45" s="29" t="s">
        <v>65</v>
      </c>
      <c r="D45" s="28" t="str">
        <f ca="1">IF(COUNTIF(INDIRECT("'" &amp; B45 &amp; "'!$" &amp; C45 &amp; ":$" &amp; C45),CheckErr)=0,StatusConsistent,StatusInconsistent)</f>
        <v>Consistent</v>
      </c>
      <c r="E45" s="223"/>
      <c r="F45" s="223"/>
    </row>
    <row r="46" spans="1:6">
      <c r="A46" s="28" t="s">
        <v>66</v>
      </c>
      <c r="B46" s="28" t="s">
        <v>62</v>
      </c>
      <c r="C46" s="29" t="s">
        <v>442</v>
      </c>
      <c r="D46" s="28" t="str">
        <f t="shared" ca="1" si="0"/>
        <v>Consistent</v>
      </c>
      <c r="E46" s="223"/>
      <c r="F46" s="223"/>
    </row>
    <row r="47" spans="1:6">
      <c r="A47" s="28" t="s">
        <v>66</v>
      </c>
      <c r="B47" s="28" t="s">
        <v>159</v>
      </c>
      <c r="C47" s="29" t="s">
        <v>391</v>
      </c>
      <c r="D47" s="28" t="e">
        <f t="shared" ca="1" si="0"/>
        <v>#REF!</v>
      </c>
      <c r="E47" s="220"/>
      <c r="F47" s="221"/>
    </row>
    <row r="48" spans="1:6">
      <c r="A48" s="28" t="s">
        <v>64</v>
      </c>
      <c r="B48" s="28" t="s">
        <v>62</v>
      </c>
      <c r="C48" s="29" t="s">
        <v>443</v>
      </c>
      <c r="D48" s="28" t="str">
        <f t="shared" ca="1" si="0"/>
        <v>Consistent</v>
      </c>
      <c r="E48" s="223"/>
      <c r="F48" s="223"/>
    </row>
    <row r="49" spans="1:6" hidden="1">
      <c r="A49" s="28" t="s">
        <v>64</v>
      </c>
      <c r="B49" s="28" t="s">
        <v>63</v>
      </c>
      <c r="C49" s="29" t="s">
        <v>65</v>
      </c>
      <c r="D49" s="28" t="str">
        <f ca="1">IF(COUNTIF(INDIRECT("'" &amp; B49 &amp; "'!$" &amp; C49 &amp; ":$" &amp; C49),CheckErr)=0,StatusConsistent,IF(CaptureEffortData, StatusInconsistent,StatusConsistent))</f>
        <v>Consistent</v>
      </c>
      <c r="E49" s="223"/>
      <c r="F49" s="223"/>
    </row>
    <row r="50" spans="1:6" hidden="1">
      <c r="A50" s="28" t="s">
        <v>64</v>
      </c>
      <c r="B50" s="28" t="s">
        <v>63</v>
      </c>
      <c r="C50" s="29" t="s">
        <v>204</v>
      </c>
      <c r="D50" s="28" t="str">
        <f ca="1">IF(COUNTIF(INDIRECT("'" &amp; B50 &amp; "'!$" &amp; C50 &amp; ":$" &amp; C50),CheckErr)=0,StatusConsistent,IF(CaptureEffortData, StatusInconsistent,StatusConsistent))</f>
        <v>Inconsistent</v>
      </c>
      <c r="E50" s="223"/>
      <c r="F50" s="223"/>
    </row>
    <row r="51" spans="1:6">
      <c r="A51" s="28" t="s">
        <v>61</v>
      </c>
      <c r="B51" s="28" t="s">
        <v>201</v>
      </c>
      <c r="C51" s="29" t="s">
        <v>59</v>
      </c>
      <c r="D51" s="28" t="str">
        <f ca="1">IF(COUNTIF(INDIRECT("'" &amp; B51 &amp; "'!$" &amp; C51 &amp; ":$" &amp; C51),CheckErr)=0,StatusConsistent,StatusInconsistent)</f>
        <v>Consistent</v>
      </c>
      <c r="E51" s="220"/>
      <c r="F51" s="221"/>
    </row>
    <row r="52" spans="1:6">
      <c r="A52" s="28" t="s">
        <v>61</v>
      </c>
      <c r="B52" s="28" t="s">
        <v>62</v>
      </c>
      <c r="C52" s="29" t="s">
        <v>187</v>
      </c>
      <c r="D52" s="28" t="str">
        <f t="shared" ca="1" si="0"/>
        <v>Consistent</v>
      </c>
      <c r="E52" s="223"/>
      <c r="F52" s="223"/>
    </row>
    <row r="53" spans="1:6">
      <c r="A53" s="28" t="s">
        <v>61</v>
      </c>
      <c r="B53" s="28" t="s">
        <v>159</v>
      </c>
      <c r="C53" s="29" t="s">
        <v>444</v>
      </c>
      <c r="D53" s="28" t="e">
        <f ca="1">IF(COUNTIF(INDIRECT("'" &amp; B53 &amp; "'!$" &amp; C53 &amp; ":$" &amp; C53),CheckErr)=0,StatusConsistent,StatusInconsistent)</f>
        <v>#REF!</v>
      </c>
      <c r="E53" s="220"/>
      <c r="F53" s="221"/>
    </row>
    <row r="54" spans="1:6">
      <c r="A54" s="28" t="s">
        <v>61</v>
      </c>
      <c r="B54" s="28" t="s">
        <v>60</v>
      </c>
      <c r="C54" s="29" t="s">
        <v>59</v>
      </c>
      <c r="D54" s="28" t="str">
        <f t="shared" ca="1" si="0"/>
        <v>Inconsistent</v>
      </c>
      <c r="E54" s="223"/>
      <c r="F54" s="223"/>
    </row>
    <row r="56" spans="1:6">
      <c r="A56" s="9" t="s">
        <v>58</v>
      </c>
    </row>
    <row r="57" spans="1:6">
      <c r="B57" s="20" t="s">
        <v>57</v>
      </c>
      <c r="C57" s="224" t="s">
        <v>56</v>
      </c>
      <c r="D57" s="224"/>
      <c r="E57" s="224"/>
      <c r="F57" s="224"/>
    </row>
    <row r="58" spans="1:6">
      <c r="B58" s="27" t="s">
        <v>55</v>
      </c>
      <c r="C58" s="224" t="s">
        <v>54</v>
      </c>
      <c r="D58" s="224"/>
      <c r="E58" s="224"/>
      <c r="F58" s="224"/>
    </row>
    <row r="59" spans="1:6">
      <c r="A59" s="25"/>
      <c r="B59" s="25"/>
      <c r="C59" s="25"/>
      <c r="D59" s="25"/>
      <c r="E59" s="23"/>
      <c r="F59" s="23"/>
    </row>
    <row r="60" spans="1:6">
      <c r="A60" s="25"/>
      <c r="B60" s="25"/>
      <c r="C60" s="25"/>
      <c r="D60" s="25"/>
      <c r="E60" s="23"/>
      <c r="F60" s="23"/>
    </row>
    <row r="61" spans="1:6" hidden="1">
      <c r="A61" s="172" t="s">
        <v>557</v>
      </c>
      <c r="B61" s="173" t="s">
        <v>558</v>
      </c>
      <c r="C61" s="173"/>
      <c r="D61" s="173"/>
      <c r="E61" s="174"/>
      <c r="F61" s="175"/>
    </row>
    <row r="62" spans="1:6" hidden="1">
      <c r="A62" s="25"/>
      <c r="B62" s="25"/>
      <c r="C62" s="25"/>
      <c r="D62" s="25"/>
      <c r="E62" s="23"/>
      <c r="F62" s="23"/>
    </row>
    <row r="63" spans="1:6" hidden="1">
      <c r="A63" s="26" t="s">
        <v>53</v>
      </c>
      <c r="B63" s="25"/>
      <c r="C63" s="25"/>
      <c r="D63" s="25"/>
      <c r="E63" s="23"/>
      <c r="F63" s="24" t="str">
        <f>""</f>
        <v/>
      </c>
    </row>
    <row r="64" spans="1:6" hidden="1">
      <c r="E64" s="25"/>
    </row>
    <row r="65" spans="1:6" hidden="1">
      <c r="A65" s="225" t="s">
        <v>52</v>
      </c>
      <c r="B65" s="225"/>
      <c r="C65" s="225"/>
      <c r="D65" s="225"/>
      <c r="E65" s="111"/>
      <c r="F65" s="22" t="s">
        <v>51</v>
      </c>
    </row>
    <row r="66" spans="1:6" hidden="1"/>
    <row r="67" spans="1:6" hidden="1">
      <c r="A67" s="9" t="s">
        <v>50</v>
      </c>
      <c r="E67" s="226"/>
      <c r="F67" s="226"/>
    </row>
    <row r="68" spans="1:6" hidden="1"/>
    <row r="69" spans="1:6" hidden="1">
      <c r="A69" s="9" t="s">
        <v>49</v>
      </c>
    </row>
    <row r="70" spans="1:6" hidden="1"/>
    <row r="71" spans="1:6" hidden="1">
      <c r="A71" s="81" t="s">
        <v>48</v>
      </c>
      <c r="B71" s="227" t="s">
        <v>47</v>
      </c>
      <c r="C71" s="227"/>
    </row>
    <row r="72" spans="1:6" hidden="1">
      <c r="A72" s="82" t="s">
        <v>46</v>
      </c>
      <c r="B72" s="219" t="s">
        <v>27</v>
      </c>
      <c r="C72" s="219"/>
    </row>
    <row r="73" spans="1:6" hidden="1">
      <c r="A73" s="82" t="s">
        <v>45</v>
      </c>
      <c r="B73" s="219" t="s">
        <v>203</v>
      </c>
      <c r="C73" s="219"/>
    </row>
    <row r="74" spans="1:6" hidden="1">
      <c r="A74" s="222" t="s">
        <v>44</v>
      </c>
      <c r="B74" s="222"/>
      <c r="C74" s="222"/>
    </row>
    <row r="75" spans="1:6" hidden="1"/>
    <row r="76" spans="1:6" hidden="1">
      <c r="A76" s="9" t="s">
        <v>200</v>
      </c>
      <c r="B76" s="9" t="b">
        <v>1</v>
      </c>
    </row>
    <row r="77" spans="1:6" hidden="1">
      <c r="A77" s="9" t="s">
        <v>318</v>
      </c>
      <c r="B77" s="9" t="b">
        <v>1</v>
      </c>
    </row>
    <row r="78" spans="1:6" hidden="1"/>
    <row r="79" spans="1:6" hidden="1"/>
    <row r="80" spans="1:6" hidden="1"/>
    <row r="81" hidden="1"/>
    <row r="82" hidden="1"/>
    <row r="83" hidden="1"/>
    <row r="84" hidden="1"/>
  </sheetData>
  <mergeCells count="34">
    <mergeCell ref="B32:D32"/>
    <mergeCell ref="B33:D33"/>
    <mergeCell ref="B35:D35"/>
    <mergeCell ref="B36:D36"/>
    <mergeCell ref="A41:F41"/>
    <mergeCell ref="B28:D28"/>
    <mergeCell ref="B18:C18"/>
    <mergeCell ref="B30:D30"/>
    <mergeCell ref="B3:D3"/>
    <mergeCell ref="B26:D26"/>
    <mergeCell ref="B25:D25"/>
    <mergeCell ref="B29:D29"/>
    <mergeCell ref="B16:C16"/>
    <mergeCell ref="B17:C17"/>
    <mergeCell ref="E43:F43"/>
    <mergeCell ref="E44:F44"/>
    <mergeCell ref="E46:F46"/>
    <mergeCell ref="E45:F45"/>
    <mergeCell ref="E48:F48"/>
    <mergeCell ref="E47:F47"/>
    <mergeCell ref="E49:F49"/>
    <mergeCell ref="E50:F50"/>
    <mergeCell ref="E52:F52"/>
    <mergeCell ref="B71:C71"/>
    <mergeCell ref="B72:C72"/>
    <mergeCell ref="B73:C73"/>
    <mergeCell ref="E53:F53"/>
    <mergeCell ref="E51:F51"/>
    <mergeCell ref="A74:C74"/>
    <mergeCell ref="E54:F54"/>
    <mergeCell ref="C57:F57"/>
    <mergeCell ref="C58:F58"/>
    <mergeCell ref="A65:D65"/>
    <mergeCell ref="E67:F67"/>
  </mergeCells>
  <conditionalFormatting sqref="E1:E38">
    <cfRule type="cellIs" dxfId="2" priority="7" stopIfTrue="1" operator="equal">
      <formula>CheckErr</formula>
    </cfRule>
  </conditionalFormatting>
  <conditionalFormatting sqref="D44:D54">
    <cfRule type="expression" dxfId="1" priority="4" stopIfTrue="1">
      <formula>D44=StatusInconsistent</formula>
    </cfRule>
  </conditionalFormatting>
  <conditionalFormatting sqref="B25:D38">
    <cfRule type="expression" dxfId="0"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 customFormat="1">
      <c r="A1" s="2" t="s">
        <v>2</v>
      </c>
      <c r="B1" s="2" t="s">
        <v>3</v>
      </c>
    </row>
    <row r="2" spans="1:2">
      <c r="A2" s="1" t="s">
        <v>0</v>
      </c>
      <c r="B2" t="e">
        <f>DocSet</f>
        <v>#REF!</v>
      </c>
    </row>
    <row r="3" spans="1:2">
      <c r="A3" s="1" t="s">
        <v>1</v>
      </c>
      <c r="B3" t="e">
        <f>DocTitle</f>
        <v>#REF!</v>
      </c>
    </row>
    <row r="4" spans="1:2">
      <c r="A4" s="1" t="s">
        <v>4</v>
      </c>
      <c r="B4" t="e">
        <f>DocRef</f>
        <v>#REF!</v>
      </c>
    </row>
    <row r="5" spans="1:2">
      <c r="A5" s="1" t="s">
        <v>5</v>
      </c>
      <c r="B5" t="e">
        <f>DocIssue</f>
        <v>#REF!</v>
      </c>
    </row>
    <row r="6" spans="1:2">
      <c r="A6" s="1" t="s">
        <v>6</v>
      </c>
      <c r="B6" s="105" t="e">
        <f>DocDate</f>
        <v>#REF!</v>
      </c>
    </row>
    <row r="7" spans="1:2">
      <c r="A7" s="1" t="s">
        <v>8</v>
      </c>
      <c r="B7" s="1" t="e">
        <f>DocAuthor</f>
        <v>#REF!</v>
      </c>
    </row>
    <row r="8" spans="1:2">
      <c r="A8" s="1" t="s">
        <v>7</v>
      </c>
      <c r="B8" t="e">
        <f>DocApprover</f>
        <v>#REF!</v>
      </c>
    </row>
    <row r="9" spans="1:2">
      <c r="A9" s="91" t="str">
        <f>SUBSTITUTE("RRR_"&amp;'Calling Notice'!A3," ","_")</f>
        <v>RRR_Item_Title</v>
      </c>
      <c r="B9" t="str">
        <f>'Calling Notice'!B3</f>
        <v>&lt;Title&gt;</v>
      </c>
    </row>
    <row r="10" spans="1:2">
      <c r="A10" s="91" t="str">
        <f>SUBSTITUTE("RRR_"&amp;'Calling Notice'!A4," ","_")</f>
        <v>RRR_Item_Reference</v>
      </c>
      <c r="B10" t="str">
        <f>'Calling Notice'!B4</f>
        <v>&lt;S.Pnnnn.nn.n&gt; or &lt;CM System path&gt;</v>
      </c>
    </row>
    <row r="11" spans="1:2">
      <c r="A11" s="91" t="str">
        <f>SUBSTITUTE("RRR_"&amp;'Calling Notice'!A5," ","_")</f>
        <v>RRR_Item_Issue/Revision</v>
      </c>
      <c r="B11" t="str">
        <f>'Calling Notice'!B5</f>
        <v>&lt;Issue n.n&gt; or &lt;CM System revision number&gt;</v>
      </c>
    </row>
    <row r="12" spans="1:2">
      <c r="A12" s="91" t="str">
        <f>SUBSTITUTE("RRR_"&amp;'Calling Notice'!A6," ","_")</f>
        <v>RRR_Item_Status</v>
      </c>
      <c r="B12" t="str">
        <f>'Calling Notice'!B6</f>
        <v>&lt;Status&gt;</v>
      </c>
    </row>
    <row r="13" spans="1:2">
      <c r="A13" s="91" t="str">
        <f>SUBSTITUTE("RRR_"&amp;'Calling Notice'!A7," ","_")</f>
        <v>RRR_Item_Date</v>
      </c>
      <c r="B13" t="str">
        <f>'Calling Notice'!B7</f>
        <v>dd MMMM yyyy</v>
      </c>
    </row>
    <row r="14" spans="1:2">
      <c r="A14" s="91" t="str">
        <f>SUBSTITUTE("RRR_"&amp;'Calling Notice'!A8," ","_")</f>
        <v>RRR_Item_Author</v>
      </c>
      <c r="B14" t="str">
        <f>'Calling Notice'!B8</f>
        <v>&lt;Author&gt;</v>
      </c>
    </row>
    <row r="15" spans="1:2">
      <c r="A15" s="91" t="str">
        <f>SUBSTITUTE("RRR_"&amp;'Calling Notice'!A9," ","_")</f>
        <v>RRR_Item_Size_(Added)</v>
      </c>
      <c r="B15" t="str">
        <f>'Calling Notice'!B9</f>
        <v>&lt;Item Size&gt;</v>
      </c>
    </row>
    <row r="16" spans="1:2">
      <c r="A16" s="91" t="str">
        <f>SUBSTITUTE("RRR_"&amp;'Calling Notice'!A10," ","_")</f>
        <v>RRR_Item_Size_(Modified)</v>
      </c>
      <c r="B16" t="str">
        <f>'Calling Notice'!B10</f>
        <v>&lt;Item Size&gt;</v>
      </c>
    </row>
    <row r="17" spans="1:2">
      <c r="A17" s="91" t="str">
        <f>SUBSTITUTE("RRR_"&amp;'Calling Notice'!A11," ","_")</f>
        <v>RRR_Item_Size_(Deleted)</v>
      </c>
      <c r="B17" t="str">
        <f>'Calling Notice'!B11</f>
        <v>&lt;Item Size&gt;</v>
      </c>
    </row>
    <row r="18" spans="1:2">
      <c r="A18" s="91" t="str">
        <f>SUBSTITUTE("RRR_"&amp;'Calling Notice'!A12," ","_")</f>
        <v>RRR_Item_Size_Units</v>
      </c>
      <c r="B18" t="str">
        <f>'Calling Notice'!B12</f>
        <v>&lt;Item Size Units&gt;</v>
      </c>
    </row>
    <row r="19" spans="1:2">
      <c r="A19" s="91" t="str">
        <f>SUBSTITUTE("RRR_"&amp;'Calling Notice'!A13," ","_")</f>
        <v>RRR_File_List_Used</v>
      </c>
      <c r="B19" t="str">
        <f>'Calling Notice'!B13</f>
        <v>NO</v>
      </c>
    </row>
    <row r="20" spans="1:2">
      <c r="A20" s="91" t="str">
        <f>SUBSTITUTE("RRR_"&amp;'Calling Notice'!A17," ","_")</f>
        <v>RRR_Date_Review_Issued</v>
      </c>
      <c r="B20" t="str">
        <f>'Calling Notice'!B17</f>
        <v>dd MMMM yyyy</v>
      </c>
    </row>
    <row r="21" spans="1:2">
      <c r="A21" s="91" t="str">
        <f>SUBSTITUTE("RRR_"&amp;'Calling Notice'!A18," ","_")</f>
        <v>RRR_Type_of_Review</v>
      </c>
      <c r="B21" t="str">
        <f>'Calling Notice'!B18</f>
        <v>Offline Review (by Individual Reviewers)</v>
      </c>
    </row>
    <row r="22" spans="1:2">
      <c r="A22" s="91" t="str">
        <f>SUBSTITUTE("RRR_"&amp;'Calling Notice'!A19," ","_")</f>
        <v>RRR_Comments_Required_By</v>
      </c>
      <c r="B22" t="str">
        <f>'Calling Notice'!B19</f>
        <v>dd MMMM yyyy hh:mm</v>
      </c>
    </row>
    <row r="23" spans="1:2">
      <c r="A23" s="91" t="str">
        <f>SUBSTITUTE("RRR_"&amp;'Calling Notice'!A22," ","_")</f>
        <v>RRR_Book_Review_Time_To_WBS</v>
      </c>
      <c r="B23" t="str">
        <f>'Calling Notice'!B22</f>
        <v>&lt;WBS e.g. TnnnnR&gt;</v>
      </c>
    </row>
    <row r="24" spans="1:2">
      <c r="A24" s="91" t="str">
        <f>SUBSTITUTE("RRR_"&amp;'Calling Notice'!A23," ","_")</f>
        <v>RRR_Moderator</v>
      </c>
      <c r="B24" t="str">
        <f>'Calling Notice'!B23</f>
        <v>&lt;Name of Moderator&gt;</v>
      </c>
    </row>
    <row r="25" spans="1:2">
      <c r="A25" s="91" t="s">
        <v>172</v>
      </c>
      <c r="B25" t="str">
        <f>'Calling Notice'!B24</f>
        <v>&lt;Item Approver(s) - should always be invited to review even if the Moderator role is delegated&gt;</v>
      </c>
    </row>
    <row r="26" spans="1:2">
      <c r="A26" s="91" t="s">
        <v>173</v>
      </c>
      <c r="B26" t="str">
        <f>'Calling Notice'!B25</f>
        <v>&lt;Name of Reviewer and Role&gt;</v>
      </c>
    </row>
    <row r="27" spans="1:2">
      <c r="A27" s="91" t="s">
        <v>174</v>
      </c>
      <c r="B27" t="str">
        <f>'Calling Notice'!B26</f>
        <v>&lt;Name of Reviewer and Role&gt;</v>
      </c>
    </row>
    <row r="28" spans="1:2">
      <c r="A28" s="91" t="s">
        <v>175</v>
      </c>
      <c r="B28" t="str">
        <f>'Calling Notice'!B27</f>
        <v>A.N.Other (Checklist)</v>
      </c>
    </row>
    <row r="29" spans="1:2">
      <c r="A29" s="91" t="s">
        <v>176</v>
      </c>
      <c r="B29" t="str">
        <f>'Calling Notice'!B28</f>
        <v>A.N.Other (Typos, grammar, spelling, formatting etc.)</v>
      </c>
    </row>
    <row r="30" spans="1:2">
      <c r="A30" s="91" t="s">
        <v>177</v>
      </c>
      <c r="B30">
        <f>'Calling Notice'!B29</f>
        <v>0</v>
      </c>
    </row>
    <row r="31" spans="1:2">
      <c r="A31" s="91" t="s">
        <v>178</v>
      </c>
      <c r="B31" t="str">
        <f>StandardNo1</f>
        <v>Document Review Entry Checks (Review Procedure)</v>
      </c>
    </row>
    <row r="32" spans="1:2">
      <c r="A32" s="91" t="s">
        <v>179</v>
      </c>
      <c r="B32">
        <f>StandardNo2</f>
        <v>0</v>
      </c>
    </row>
    <row r="33" spans="1:2">
      <c r="A33" s="91" t="s">
        <v>357</v>
      </c>
      <c r="B33">
        <f>StandardNo3</f>
        <v>0</v>
      </c>
    </row>
    <row r="34" spans="1:2">
      <c r="A34" s="91" t="s">
        <v>358</v>
      </c>
      <c r="B34">
        <f>StandardNo4</f>
        <v>0</v>
      </c>
    </row>
    <row r="35" spans="1:2">
      <c r="A35" s="91" t="s">
        <v>359</v>
      </c>
      <c r="B35">
        <f>StandardNo5</f>
        <v>0</v>
      </c>
    </row>
    <row r="36" spans="1:2">
      <c r="A36" s="91" t="s">
        <v>360</v>
      </c>
      <c r="B36">
        <f>StandardNo6</f>
        <v>0</v>
      </c>
    </row>
    <row r="37" spans="1:2">
      <c r="A37" s="91" t="s">
        <v>361</v>
      </c>
      <c r="B37">
        <f>StandardNo7</f>
        <v>0</v>
      </c>
    </row>
    <row r="38" spans="1:2">
      <c r="A38" s="91" t="s">
        <v>362</v>
      </c>
      <c r="B38">
        <f>StandardNo8</f>
        <v>0</v>
      </c>
    </row>
    <row r="39" spans="1:2">
      <c r="A39" s="91" t="s">
        <v>363</v>
      </c>
      <c r="B39">
        <f>StandardNo9</f>
        <v>0</v>
      </c>
    </row>
    <row r="40" spans="1:2">
      <c r="A40" s="91" t="s">
        <v>377</v>
      </c>
      <c r="B40" t="e">
        <f>Checklist_Total</f>
        <v>#REF!</v>
      </c>
    </row>
    <row r="41" spans="1:2">
      <c r="A41" s="91" t="s">
        <v>180</v>
      </c>
      <c r="B41" t="e">
        <f>Checklist_ToGo</f>
        <v>#REF!</v>
      </c>
    </row>
    <row r="42" spans="1:2">
      <c r="A42" s="91" t="s">
        <v>376</v>
      </c>
      <c r="B42" t="e">
        <f>Checklist_ToSign</f>
        <v>#REF!</v>
      </c>
    </row>
    <row r="43" spans="1:2">
      <c r="A43" s="91" t="s">
        <v>378</v>
      </c>
      <c r="B43" t="e">
        <f ca="1">INDIRECT(MID(A43,5,100))</f>
        <v>#REF!</v>
      </c>
    </row>
    <row r="44" spans="1:2">
      <c r="A44" s="91" t="s">
        <v>379</v>
      </c>
      <c r="B44" t="e">
        <f ca="1">INDIRECT(MID(A44,5,100))</f>
        <v>#REF!</v>
      </c>
    </row>
    <row r="45" spans="1:2">
      <c r="A45" s="91" t="s">
        <v>380</v>
      </c>
      <c r="B45" t="e">
        <f ca="1">INDIRECT(MID(A45,5,100))</f>
        <v>#REF!</v>
      </c>
    </row>
    <row r="46" spans="1:2">
      <c r="A46" s="91" t="s">
        <v>381</v>
      </c>
      <c r="B46" t="e">
        <f ca="1">INDIRECT(MID(A46,5,100))</f>
        <v>#REF!</v>
      </c>
    </row>
    <row r="47" spans="1:2">
      <c r="A47" s="91" t="s">
        <v>382</v>
      </c>
      <c r="B47" t="e">
        <f ca="1">INDIRECT(MID(A47,5,100))</f>
        <v>#REF!</v>
      </c>
    </row>
    <row r="48" spans="1:2">
      <c r="A48" s="91" t="s">
        <v>181</v>
      </c>
      <c r="B48">
        <f>TotalTimeSpentReviewing</f>
        <v>0</v>
      </c>
    </row>
    <row r="49" spans="1:2">
      <c r="A49" s="91" t="s">
        <v>182</v>
      </c>
      <c r="B49">
        <f>TotalEffortToFix</f>
        <v>0</v>
      </c>
    </row>
    <row r="50" spans="1:2">
      <c r="A50" s="91" t="s">
        <v>183</v>
      </c>
      <c r="B50">
        <f>TotalTimeModerating</f>
        <v>0</v>
      </c>
    </row>
    <row r="51" spans="1:2">
      <c r="A51" s="91" t="str">
        <f>"RRR_Total_"&amp;'Summary and Sign Off'!A6</f>
        <v>RRR_Total_Accepted  (Op)</v>
      </c>
      <c r="B51" t="e">
        <f>'Summary and Sign Off'!B6</f>
        <v>#REF!</v>
      </c>
    </row>
    <row r="52" spans="1:2">
      <c r="A52" s="91" t="str">
        <f>"RRR_Total_"&amp;'Summary and Sign Off'!A8</f>
        <v>RRR_Total_Rejected</v>
      </c>
      <c r="B52">
        <f>'Summary and Sign Off'!B8</f>
        <v>7</v>
      </c>
    </row>
    <row r="53" spans="1:2">
      <c r="A53" s="91" t="str">
        <f>"RRR_Total_"&amp;'Summary and Sign Off'!A9</f>
        <v>RRR_Total_Duplicate</v>
      </c>
      <c r="B53">
        <f>'Summary and Sign Off'!B9</f>
        <v>0</v>
      </c>
    </row>
    <row r="54" spans="1:2">
      <c r="A54" s="91" t="str">
        <f>"RRR_Total_"&amp;'Summary and Sign Off'!A10</f>
        <v>RRR_Total_Noted</v>
      </c>
      <c r="B54">
        <f>'Summary and Sign Off'!B10</f>
        <v>1</v>
      </c>
    </row>
    <row r="55" spans="1:2">
      <c r="A55" s="91" t="s">
        <v>184</v>
      </c>
      <c r="B55">
        <f>'Summary and Sign Off'!B25:D25</f>
        <v>0</v>
      </c>
    </row>
    <row r="56" spans="1:2">
      <c r="A56" s="91" t="s">
        <v>185</v>
      </c>
      <c r="B56" t="str">
        <f>'Summary and Sign Off'!B29:D29</f>
        <v>&lt;Name of Approver&gt;</v>
      </c>
    </row>
    <row r="57" spans="1:2">
      <c r="A57" s="91" t="s">
        <v>186</v>
      </c>
      <c r="B57" t="str">
        <f>'Summary and Sign Off'!B30:D30</f>
        <v>dd MMMM yyyy</v>
      </c>
    </row>
    <row r="58" spans="1:2">
      <c r="A58" s="91" t="s">
        <v>392</v>
      </c>
      <c r="B58" t="str">
        <f>'Summary and Sign Off'!B32:D32</f>
        <v>&lt;Name of Approver&gt;</v>
      </c>
    </row>
    <row r="59" spans="1:2">
      <c r="A59" s="91" t="s">
        <v>393</v>
      </c>
      <c r="B59" t="str">
        <f>'Summary and Sign Off'!B33:D33</f>
        <v>dd MMMM yyyy</v>
      </c>
    </row>
    <row r="60" spans="1:2">
      <c r="A60" s="91" t="s">
        <v>394</v>
      </c>
      <c r="B60" t="str">
        <f>'Summary and Sign Off'!B35:D35</f>
        <v>&lt;Name of Approver&gt;</v>
      </c>
    </row>
    <row r="61" spans="1:2">
      <c r="A61" s="91" t="s">
        <v>395</v>
      </c>
      <c r="B61" t="str">
        <f>'Summary and Sign Off'!B36:D36</f>
        <v>dd MMMM yyyy</v>
      </c>
    </row>
    <row r="62" spans="1:2">
      <c r="A62" s="91" t="s">
        <v>396</v>
      </c>
      <c r="B62">
        <f ca="1">COUNTIF('Summary and Sign Off'!D44:D54,"Inconsistent")</f>
        <v>3</v>
      </c>
    </row>
    <row r="63" spans="1:2">
      <c r="A63" s="91" t="s">
        <v>397</v>
      </c>
      <c r="B63">
        <f>COUNTA('Summary and Sign Off'!E44:F54)</f>
        <v>0</v>
      </c>
    </row>
    <row r="64" spans="1:2">
      <c r="A64" s="91" t="s">
        <v>194</v>
      </c>
      <c r="B64">
        <f>CommentsRaised</f>
        <v>94</v>
      </c>
    </row>
    <row r="65" spans="1:3">
      <c r="A65" s="91" t="s">
        <v>195</v>
      </c>
      <c r="B65">
        <f>CommentsToAction</f>
        <v>0</v>
      </c>
    </row>
    <row r="66" spans="1:3">
      <c r="A66" s="91" t="s">
        <v>196</v>
      </c>
      <c r="B66">
        <f>CommentsToSignOff</f>
        <v>0</v>
      </c>
    </row>
    <row r="67" spans="1:3">
      <c r="A67" s="91" t="s">
        <v>202</v>
      </c>
      <c r="B67" t="str">
        <f>Final_Revision</f>
        <v>&lt;Issue n.n&gt; or &lt;CM System revision number&gt;</v>
      </c>
    </row>
    <row r="68" spans="1:3">
      <c r="A68" s="91" t="str">
        <f>"RRR_Total_"&amp;C68&amp;"_Op"</f>
        <v>RRR_Total_Accepted_Op</v>
      </c>
      <c r="B68" t="e">
        <f>COUNTIFS(DevCommentStatuses,C68,DevCommentCategory, "01 - Mandatory (Op)")</f>
        <v>#REF!</v>
      </c>
      <c r="C68" t="s">
        <v>87</v>
      </c>
    </row>
    <row r="69" spans="1:3">
      <c r="A69" s="91" t="str">
        <f>"RRR_Total_"&amp;C69&amp;"_Op"</f>
        <v>RRR_Total_Rejected_Op</v>
      </c>
      <c r="B69" t="e">
        <f>COUNTIFS(DevCommentStatuses,C69,DevCommentCategory, "01 - Mandatory (Op)")</f>
        <v>#REF!</v>
      </c>
      <c r="C69" t="s">
        <v>86</v>
      </c>
    </row>
    <row r="70" spans="1:3">
      <c r="A70" s="91" t="str">
        <f>"RRR_Total_"&amp;C70&amp;"_Op"</f>
        <v>RRR_Total_Duplicated_Op</v>
      </c>
      <c r="B70" t="e">
        <f>COUNTIFS(DevCommentStatuses,C70,DevCommentCategory, "01 - Mandatory (Op)")</f>
        <v>#REF!</v>
      </c>
      <c r="C70" t="s">
        <v>319</v>
      </c>
    </row>
    <row r="71" spans="1:3">
      <c r="A71" s="91" t="str">
        <f>"RRR_Total_"&amp;C71&amp;"_Op"</f>
        <v>RRR_Total_Noted_Op</v>
      </c>
      <c r="B71" t="e">
        <f>COUNTIFS(DevCommentStatuses,C71,DevCommentCategory, "01 - Mandatory (Op)")</f>
        <v>#REF!</v>
      </c>
      <c r="C71" t="s">
        <v>85</v>
      </c>
    </row>
    <row r="72" spans="1:3">
      <c r="A72" s="91"/>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vt:i4>
      </vt:variant>
    </vt:vector>
  </HeadingPairs>
  <TitlesOfParts>
    <vt:vector size="47" baseType="lpstr">
      <vt:lpstr>Usage</vt:lpstr>
      <vt:lpstr>Calling Notice</vt:lpstr>
      <vt:lpstr>File List</vt:lpstr>
      <vt:lpstr>Comments</vt:lpstr>
      <vt:lpstr>Checklists</vt:lpstr>
      <vt:lpstr>Metrics</vt:lpstr>
      <vt:lpstr>Summary and Sign Off</vt:lpstr>
      <vt:lpstr>CustomProperties</vt:lpstr>
      <vt:lpstr>Blanks</vt:lpstr>
      <vt:lpstr>CaptureEffortData</vt:lpstr>
      <vt:lpstr>CaptureSizeMetrics</vt:lpstr>
      <vt:lpstr>CheckErr</vt:lpstr>
      <vt:lpstr>CheckOK</vt:lpstr>
      <vt:lpstr>CodeFileListUsed</vt:lpstr>
      <vt:lpstr>CommentsRaised</vt:lpstr>
      <vt:lpstr>CommentsToAction</vt:lpstr>
      <vt:lpstr>CommentsToSignOff</vt:lpstr>
      <vt:lpstr>DevAuthorInitials</vt:lpstr>
      <vt:lpstr>DevCommentEffortToFix</vt:lpstr>
      <vt:lpstr>DevCommentInitials</vt:lpstr>
      <vt:lpstr>DevCommentStatuses</vt:lpstr>
      <vt:lpstr>DevModeratorInitials</vt:lpstr>
      <vt:lpstr>Final_Revision</vt:lpstr>
      <vt:lpstr>ItemSize</vt:lpstr>
      <vt:lpstr>'Calling Notice'!Print_Area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2012-08-23T13:56:10Z</cp:lastPrinted>
  <dcterms:created xsi:type="dcterms:W3CDTF">2006-01-10T12:16:43Z</dcterms:created>
  <dcterms:modified xsi:type="dcterms:W3CDTF">2013-02-18T14:24:03Z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#REF!</vt:lpwstr>
  </property>
  <property fmtid="{D5CDD505-2E9C-101B-9397-08002B2CF9AE}" pid="3" name="DocTitle">
    <vt:lpwstr>#REF!</vt:lpwstr>
  </property>
  <property fmtid="{D5CDD505-2E9C-101B-9397-08002B2CF9AE}" pid="4" name="DocRef">
    <vt:lpwstr>#REF!</vt:lpwstr>
  </property>
  <property fmtid="{D5CDD505-2E9C-101B-9397-08002B2CF9AE}" pid="5" name="DocIssue">
    <vt:lpwstr>#REF!</vt:lpwstr>
  </property>
  <property fmtid="{D5CDD505-2E9C-101B-9397-08002B2CF9AE}" pid="6" name="DocDate">
    <vt:lpwstr>#REF!</vt:lpwstr>
  </property>
  <property fmtid="{D5CDD505-2E9C-101B-9397-08002B2CF9AE}" pid="7" name="DocAuthor">
    <vt:lpwstr>#REF!</vt:lpwstr>
  </property>
  <property fmtid="{D5CDD505-2E9C-101B-9397-08002B2CF9AE}" pid="8" name="DocApprover">
    <vt:lpwstr>#REF!</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#REF!</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2</vt:lpwstr>
  </property>
  <property fmtid="{D5CDD505-2E9C-101B-9397-08002B2CF9AE}" pid="40" name="RRR_Total_Duplicate">
    <vt:lpwstr>0</vt:lpwstr>
  </property>
  <property fmtid="{D5CDD505-2E9C-101B-9397-08002B2CF9AE}" pid="41" name="RRR_Total_Noted">
    <vt:lpwstr>0</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94</vt:lpwstr>
  </property>
  <property fmtid="{D5CDD505-2E9C-101B-9397-08002B2CF9AE}" pid="47" name="RRR_CommentsToAction">
    <vt:lpwstr>0</vt:lpwstr>
  </property>
  <property fmtid="{D5CDD505-2E9C-101B-9397-08002B2CF9AE}" pid="48" name="RRR_CommentsToSignOff">
    <vt:lpwstr>0</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#REF!</vt:lpwstr>
  </property>
  <property fmtid="{D5CDD505-2E9C-101B-9397-08002B2CF9AE}" pid="61" name="RRR_Total_Rejected_Op">
    <vt:lpwstr>#REF!</vt:lpwstr>
  </property>
  <property fmtid="{D5CDD505-2E9C-101B-9397-08002B2CF9AE}" pid="62" name="RRR_Total_Duplicated_Op">
    <vt:lpwstr>#REF!</vt:lpwstr>
  </property>
  <property fmtid="{D5CDD505-2E9C-101B-9397-08002B2CF9AE}" pid="63" name="RRR_Total_Noted_Op">
    <vt:lpwstr>#REF!</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#REF!</vt:lpwstr>
  </property>
  <property fmtid="{D5CDD505-2E9C-101B-9397-08002B2CF9AE}" pid="73" name="RRR_Checklist_ToSign">
    <vt:lpwstr>#REF!</vt:lpwstr>
  </property>
  <property fmtid="{D5CDD505-2E9C-101B-9397-08002B2CF9AE}" pid="74" name="RRR_Checklist_TotalPass">
    <vt:lpwstr>#REF!</vt:lpwstr>
  </property>
  <property fmtid="{D5CDD505-2E9C-101B-9397-08002B2CF9AE}" pid="75" name="RRR_Checklist_FailSafety">
    <vt:lpwstr>#REF!</vt:lpwstr>
  </property>
  <property fmtid="{D5CDD505-2E9C-101B-9397-08002B2CF9AE}" pid="76" name="RRR_Checklist_FailTechnical">
    <vt:lpwstr>#REF!</vt:lpwstr>
  </property>
  <property fmtid="{D5CDD505-2E9C-101B-9397-08002B2CF9AE}" pid="77" name="RRR_Checklist_FailStandards">
    <vt:lpwstr>#REF!</vt:lpwstr>
  </property>
  <property fmtid="{D5CDD505-2E9C-101B-9397-08002B2CF9AE}" pid="78" name="RRR_Checklist_FailRecommended">
    <vt:lpwstr>#REF!</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3</vt:lpwstr>
  </property>
  <property fmtid="{D5CDD505-2E9C-101B-9397-08002B2CF9AE}" pid="84" name="RRR_InconsistenciesJustified">
    <vt:lpwstr>0</vt:lpwstr>
  </property>
  <property fmtid="{D5CDD505-2E9C-101B-9397-08002B2CF9AE}" pid="85" name="RRR_Total_Accepted  (Op)">
    <vt:lpwstr>#REF!</vt:lpwstr>
  </property>
</Properties>
</file>