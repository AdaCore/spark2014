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pivotTables/pivotTable1.xml" ContentType="application/vnd.openxmlformats-officedocument.spreadsheetml.pivotTable+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545" windowHeight="11640" tabRatio="648" firstSheet="2" activeTab="3"/>
  </bookViews>
  <sheets>
    <sheet name="Usage" sheetId="16" state="hidden" r:id="rId1"/>
    <sheet name="Calling Notice" sheetId="17" r:id="rId2"/>
    <sheet name="Progress" sheetId="26" r:id="rId3"/>
    <sheet name="Comments" sheetId="23" r:id="rId4"/>
    <sheet name="Checklist" sheetId="24" r:id="rId5"/>
    <sheet name="Checklists" sheetId="25" state="hidden" r:id="rId6"/>
    <sheet name="Metrics" sheetId="20" state="hidden" r:id="rId7"/>
    <sheet name="Summary and Sign Off" sheetId="19" r:id="rId8"/>
    <sheet name="Front Sheet" sheetId="14" state="hidden" r:id="rId9"/>
    <sheet name="Template Control" sheetId="11" state="hidden" r:id="rId10"/>
    <sheet name="CustomProperties" sheetId="15" state="hidden" r:id="rId11"/>
  </sheets>
  <definedNames>
    <definedName name="_xlnm._FilterDatabase" localSheetId="3" hidden="1">Comments!$A$20:$U$355</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Checklist!$Q$7</definedName>
    <definedName name="Checklist_FailSafety">Checklist!$Q$4</definedName>
    <definedName name="Checklist_FailStandards">Checklist!$Q$6</definedName>
    <definedName name="Checklist_FailTechnical">Checklist!$Q$5</definedName>
    <definedName name="Checklist_Items">Checklist!$A$7:$B$326</definedName>
    <definedName name="Checklist_ToGo">Checklist!$M$3</definedName>
    <definedName name="Checklist_ToSign">Checklist!$N$3</definedName>
    <definedName name="Checklist_Total">Checklist!$B$3</definedName>
    <definedName name="Checklist_TotalPass">Checklist!$Q$3</definedName>
    <definedName name="ChecklistStart">Checklist!$A$7</definedName>
    <definedName name="CheckOK">'Summary and Sign Off'!$F$63</definedName>
    <definedName name="CodeFileListUsed">'Calling Notice'!$B$13</definedName>
    <definedName name="CommentsRaised">Comments!$J$12</definedName>
    <definedName name="CommentsToAction">Comments!$P$12</definedName>
    <definedName name="CommentsToSignOff">Comments!$R$12</definedName>
    <definedName name="DevAuthorInitials">Comments!$L$21:$L$355</definedName>
    <definedName name="DevCommentCategory">Comments!$H$21:$H$355</definedName>
    <definedName name="DevCommentEffortToFix">Comments!A1</definedName>
    <definedName name="DevCommentEffortToModerate">Comments!$E$8</definedName>
    <definedName name="DevCommentInitials">Comments!$B$21:$B$355</definedName>
    <definedName name="DevCommentStatuses">Comments!$O$21:$O$355</definedName>
    <definedName name="DevModeratorInitials">Comments!$Q$21:$Q$355</definedName>
    <definedName name="DocApprover">'Front Sheet'!$C$24</definedName>
    <definedName name="DocAuthor">'Front Sheet'!$C$19</definedName>
    <definedName name="DocConfidentiality">'Front Sheet'!$C$17</definedName>
    <definedName name="DocDate">'Front Sheet'!$C$16</definedName>
    <definedName name="DocIssue">'Front Sheet'!$C$14</definedName>
    <definedName name="DocRef">'Front Sheet'!$C$13</definedName>
    <definedName name="DocSet">'Front Sheet'!$B$4</definedName>
    <definedName name="DocStatus">'Front Sheet'!$C$15</definedName>
    <definedName name="DocTitle">'Front Sheet'!$B$5</definedName>
    <definedName name="Final_Revision">'Summary and Sign Off'!$B$28</definedName>
    <definedName name="ItemSize">Metrics!$B$6</definedName>
    <definedName name="_xlnm.Print_Area" localSheetId="1">'Calling Notice'!$A$1:$B$52</definedName>
    <definedName name="_xlnm.Print_Area" localSheetId="4">Checklist!$A$2:$L$326</definedName>
    <definedName name="_xlnm.Print_Area" localSheetId="8">'Front Sheet'!$A$1:$D$42</definedName>
    <definedName name="_xlnm.Print_Area" localSheetId="7">'Summary and Sign Off'!$A$1:$D$38</definedName>
    <definedName name="_xlnm.Print_Titles" localSheetId="3">Comments!$20:$20</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Comments!$K:$K,Comments!#REF!</definedName>
    <definedName name="Z_745ADDF4_F7DF_4086_807E_540752E7B485_.wvu.PrintTitles" localSheetId="3" hidden="1">Comments!$20:$20</definedName>
    <definedName name="Z_BE287C18_2555_4F9D_9444_78E80943430A_.wvu.Cols" localSheetId="3" hidden="1">Comments!$K:$K,Comments!#REF!</definedName>
    <definedName name="Z_BE287C18_2555_4F9D_9444_78E80943430A_.wvu.PrintTitles" localSheetId="3" hidden="1">Comments!$20:$20</definedName>
  </definedNames>
  <calcPr calcId="125725"/>
  <customWorkbookViews>
    <customWorkbookView name="c - Personal View" guid="{BE287C18-2555-4F9D-9444-78E80943430A}" mergeInterval="0" personalView="1" maximized="1" xWindow="1" yWindow="1" windowWidth="1020" windowHeight="547" tabRatio="906" activeSheetId="1"/>
    <customWorkbookView name="thomas.wilson - Personal View" guid="{745ADDF4-F7DF-4086-807E-540752E7B485}" mergeInterval="0" personalView="1" maximized="1" xWindow="1" yWindow="1" windowWidth="1020" windowHeight="547" tabRatio="906" activeSheetId="1"/>
  </customWorkbookViews>
  <pivotCaches>
    <pivotCache cacheId="1" r:id="rId12"/>
  </pivotCaches>
</workbook>
</file>

<file path=xl/calcChain.xml><?xml version="1.0" encoding="utf-8"?>
<calcChain xmlns="http://schemas.openxmlformats.org/spreadsheetml/2006/main">
  <c r="F84" i="26"/>
  <c r="D70"/>
  <c r="F70" s="1"/>
  <c r="D69"/>
  <c r="F69" s="1"/>
  <c r="D68"/>
  <c r="F68" s="1"/>
  <c r="D67"/>
  <c r="F67" s="1"/>
  <c r="D66"/>
  <c r="F66" s="1"/>
  <c r="D65"/>
  <c r="F65" s="1"/>
  <c r="D64"/>
  <c r="F64" s="1"/>
  <c r="D63"/>
  <c r="F63" s="1"/>
  <c r="D62"/>
  <c r="F62" s="1"/>
  <c r="D61"/>
  <c r="F61" s="1"/>
  <c r="E84"/>
  <c r="D84"/>
  <c r="C84"/>
  <c r="C50" i="17"/>
  <c r="B63" i="15"/>
  <c r="B61"/>
  <c r="B60"/>
  <c r="B59"/>
  <c r="B58"/>
  <c r="N8" i="24"/>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69"/>
  <c r="N270"/>
  <c r="N271"/>
  <c r="N272"/>
  <c r="N273"/>
  <c r="N274"/>
  <c r="N275"/>
  <c r="N276"/>
  <c r="N277"/>
  <c r="N278"/>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7"/>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305"/>
  <c r="M306"/>
  <c r="M307"/>
  <c r="M308"/>
  <c r="M309"/>
  <c r="M310"/>
  <c r="M311"/>
  <c r="M312"/>
  <c r="M313"/>
  <c r="M314"/>
  <c r="M315"/>
  <c r="M316"/>
  <c r="M317"/>
  <c r="M318"/>
  <c r="M319"/>
  <c r="M320"/>
  <c r="M321"/>
  <c r="M322"/>
  <c r="M323"/>
  <c r="M324"/>
  <c r="M325"/>
  <c r="M326"/>
  <c r="M8"/>
  <c r="M7"/>
  <c r="A5"/>
  <c r="B3" s="1"/>
  <c r="B38" i="15"/>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E25"/>
  <c r="E26"/>
  <c r="E28"/>
  <c r="E29"/>
  <c r="E30"/>
  <c r="F63"/>
  <c r="S170" i="23"/>
  <c r="C11" i="17"/>
  <c r="A2" i="20"/>
  <c r="B2"/>
  <c r="A3"/>
  <c r="B3"/>
  <c r="E3"/>
  <c r="A4"/>
  <c r="B4"/>
  <c r="B6" s="1"/>
  <c r="A5"/>
  <c r="B5"/>
  <c r="C10"/>
  <c r="B48" i="15" s="1"/>
  <c r="C11" i="20"/>
  <c r="B16" i="19" s="1"/>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s="1"/>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E3" i="23"/>
  <c r="S4"/>
  <c r="S5"/>
  <c r="E6"/>
  <c r="E7"/>
  <c r="E8"/>
  <c r="J12"/>
  <c r="B64" i="15" s="1"/>
  <c r="T21" i="23"/>
  <c r="U21"/>
  <c r="A22"/>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T22"/>
  <c r="U22"/>
  <c r="T23"/>
  <c r="U23"/>
  <c r="T24"/>
  <c r="U24"/>
  <c r="T25"/>
  <c r="U25"/>
  <c r="T26"/>
  <c r="U26"/>
  <c r="T27"/>
  <c r="U27"/>
  <c r="T28"/>
  <c r="U28"/>
  <c r="T29"/>
  <c r="U29"/>
  <c r="T30"/>
  <c r="U30"/>
  <c r="T31"/>
  <c r="U31"/>
  <c r="T32"/>
  <c r="U32"/>
  <c r="T33"/>
  <c r="U33"/>
  <c r="T34"/>
  <c r="U34"/>
  <c r="T35"/>
  <c r="U35"/>
  <c r="T36"/>
  <c r="U36"/>
  <c r="T37"/>
  <c r="U37"/>
  <c r="T38"/>
  <c r="U38"/>
  <c r="T39"/>
  <c r="U39"/>
  <c r="T40"/>
  <c r="U40"/>
  <c r="T41"/>
  <c r="U41"/>
  <c r="T42"/>
  <c r="U42"/>
  <c r="T43"/>
  <c r="U43"/>
  <c r="T44"/>
  <c r="U44"/>
  <c r="T45"/>
  <c r="U45"/>
  <c r="T46"/>
  <c r="U46"/>
  <c r="T47"/>
  <c r="U47"/>
  <c r="T48"/>
  <c r="U48"/>
  <c r="T49"/>
  <c r="U49"/>
  <c r="T50"/>
  <c r="U50"/>
  <c r="T51"/>
  <c r="U51"/>
  <c r="T52"/>
  <c r="U52"/>
  <c r="T53"/>
  <c r="U53"/>
  <c r="T54"/>
  <c r="U54"/>
  <c r="T55"/>
  <c r="U55"/>
  <c r="T56"/>
  <c r="U56"/>
  <c r="T57"/>
  <c r="U57"/>
  <c r="T58"/>
  <c r="U58"/>
  <c r="T59"/>
  <c r="U59"/>
  <c r="T60"/>
  <c r="U60"/>
  <c r="T61"/>
  <c r="U61"/>
  <c r="T62"/>
  <c r="U62"/>
  <c r="T63"/>
  <c r="U63"/>
  <c r="T64"/>
  <c r="U64"/>
  <c r="T65"/>
  <c r="U65"/>
  <c r="T66"/>
  <c r="U66"/>
  <c r="T67"/>
  <c r="U67"/>
  <c r="T68"/>
  <c r="U68"/>
  <c r="T69"/>
  <c r="U69"/>
  <c r="T70"/>
  <c r="U70"/>
  <c r="T71"/>
  <c r="U71"/>
  <c r="T72"/>
  <c r="U72"/>
  <c r="T73"/>
  <c r="U73"/>
  <c r="T74"/>
  <c r="U74"/>
  <c r="T75"/>
  <c r="U75"/>
  <c r="T76"/>
  <c r="U76"/>
  <c r="T77"/>
  <c r="U77"/>
  <c r="T78"/>
  <c r="U78"/>
  <c r="T79"/>
  <c r="U79"/>
  <c r="T80"/>
  <c r="U80"/>
  <c r="T81"/>
  <c r="U81"/>
  <c r="T82"/>
  <c r="U82"/>
  <c r="T83"/>
  <c r="U83"/>
  <c r="T84"/>
  <c r="U84"/>
  <c r="T85"/>
  <c r="U85"/>
  <c r="T86"/>
  <c r="U86"/>
  <c r="T87"/>
  <c r="U87"/>
  <c r="T88"/>
  <c r="U88"/>
  <c r="T89"/>
  <c r="U89"/>
  <c r="T90"/>
  <c r="U90"/>
  <c r="T91"/>
  <c r="U91"/>
  <c r="T92"/>
  <c r="U92"/>
  <c r="T93"/>
  <c r="U93"/>
  <c r="T94"/>
  <c r="U94"/>
  <c r="T95"/>
  <c r="U95"/>
  <c r="T96"/>
  <c r="U96"/>
  <c r="T97"/>
  <c r="U97"/>
  <c r="T98"/>
  <c r="U98"/>
  <c r="T99"/>
  <c r="U99"/>
  <c r="T100"/>
  <c r="U100"/>
  <c r="T101"/>
  <c r="U101"/>
  <c r="T102"/>
  <c r="U102"/>
  <c r="T103"/>
  <c r="U103"/>
  <c r="T104"/>
  <c r="U104"/>
  <c r="T105"/>
  <c r="U105"/>
  <c r="T106"/>
  <c r="U106"/>
  <c r="T107"/>
  <c r="U107"/>
  <c r="T108"/>
  <c r="U108"/>
  <c r="T109"/>
  <c r="U109"/>
  <c r="T110"/>
  <c r="U110"/>
  <c r="T111"/>
  <c r="U111"/>
  <c r="T112"/>
  <c r="U112"/>
  <c r="T113"/>
  <c r="U113"/>
  <c r="T114"/>
  <c r="U114"/>
  <c r="T115"/>
  <c r="U115"/>
  <c r="T116"/>
  <c r="U116"/>
  <c r="T117"/>
  <c r="U117"/>
  <c r="T118"/>
  <c r="U118"/>
  <c r="T119"/>
  <c r="U119"/>
  <c r="T120"/>
  <c r="U120"/>
  <c r="T121"/>
  <c r="U121"/>
  <c r="T122"/>
  <c r="U122"/>
  <c r="T123"/>
  <c r="U123"/>
  <c r="T124"/>
  <c r="U124"/>
  <c r="T125"/>
  <c r="U125"/>
  <c r="T126"/>
  <c r="U126"/>
  <c r="T127"/>
  <c r="U127"/>
  <c r="T128"/>
  <c r="U128"/>
  <c r="T129"/>
  <c r="U129"/>
  <c r="T130"/>
  <c r="U130"/>
  <c r="T131"/>
  <c r="U131"/>
  <c r="T132"/>
  <c r="U132"/>
  <c r="T133"/>
  <c r="U133"/>
  <c r="T134"/>
  <c r="U134"/>
  <c r="T135"/>
  <c r="U135"/>
  <c r="T136"/>
  <c r="U136"/>
  <c r="T137"/>
  <c r="U137"/>
  <c r="T138"/>
  <c r="U138"/>
  <c r="T139"/>
  <c r="U139"/>
  <c r="T140"/>
  <c r="U140"/>
  <c r="T141"/>
  <c r="U141"/>
  <c r="T142"/>
  <c r="U142"/>
  <c r="T143"/>
  <c r="U143"/>
  <c r="T144"/>
  <c r="U144"/>
  <c r="T145"/>
  <c r="U145"/>
  <c r="T146"/>
  <c r="U146"/>
  <c r="T147"/>
  <c r="U147"/>
  <c r="T148"/>
  <c r="U148"/>
  <c r="T149"/>
  <c r="U149"/>
  <c r="T150"/>
  <c r="U150"/>
  <c r="T151"/>
  <c r="U151"/>
  <c r="T152"/>
  <c r="U152"/>
  <c r="T153"/>
  <c r="U153"/>
  <c r="T154"/>
  <c r="U154"/>
  <c r="T155"/>
  <c r="U155"/>
  <c r="T156"/>
  <c r="U156"/>
  <c r="T157"/>
  <c r="U157"/>
  <c r="T158"/>
  <c r="U158"/>
  <c r="T159"/>
  <c r="U159"/>
  <c r="T160"/>
  <c r="U160"/>
  <c r="T161"/>
  <c r="U161"/>
  <c r="T162"/>
  <c r="U162"/>
  <c r="T163"/>
  <c r="U163"/>
  <c r="T164"/>
  <c r="U164"/>
  <c r="T165"/>
  <c r="U165"/>
  <c r="T166"/>
  <c r="U166"/>
  <c r="T167"/>
  <c r="U167"/>
  <c r="T168"/>
  <c r="U168"/>
  <c r="T169"/>
  <c r="U169"/>
  <c r="C3" i="17"/>
  <c r="C4"/>
  <c r="C5"/>
  <c r="C6"/>
  <c r="C7"/>
  <c r="C8"/>
  <c r="C17"/>
  <c r="A19"/>
  <c r="A22" i="15"/>
  <c r="C19" i="17"/>
  <c r="C20"/>
  <c r="C23"/>
  <c r="C24"/>
  <c r="C25"/>
  <c r="C26"/>
  <c r="C27"/>
  <c r="C28"/>
  <c r="C29"/>
  <c r="C30"/>
  <c r="C34"/>
  <c r="C44"/>
  <c r="C45"/>
  <c r="C47"/>
  <c r="C48"/>
  <c r="C43" i="20"/>
  <c r="B18" i="19" s="1"/>
  <c r="B49" i="15"/>
  <c r="C9" i="19"/>
  <c r="G37" i="20"/>
  <c r="C10" i="17"/>
  <c r="C12"/>
  <c r="C9"/>
  <c r="B54" i="15"/>
  <c r="N3" i="24"/>
  <c r="J2" s="1"/>
  <c r="S168" i="23"/>
  <c r="S166"/>
  <c r="S164"/>
  <c r="S162"/>
  <c r="S160"/>
  <c r="S158"/>
  <c r="S156"/>
  <c r="S154"/>
  <c r="S152"/>
  <c r="S150"/>
  <c r="S148"/>
  <c r="S146"/>
  <c r="S144"/>
  <c r="S142"/>
  <c r="S140"/>
  <c r="S138"/>
  <c r="S136"/>
  <c r="S134"/>
  <c r="S132"/>
  <c r="S130"/>
  <c r="S128"/>
  <c r="S126"/>
  <c r="S124"/>
  <c r="S122"/>
  <c r="S120"/>
  <c r="S118"/>
  <c r="S116"/>
  <c r="S114"/>
  <c r="S112"/>
  <c r="S110"/>
  <c r="S108"/>
  <c r="S106"/>
  <c r="S104"/>
  <c r="S102"/>
  <c r="S100"/>
  <c r="S98"/>
  <c r="S96"/>
  <c r="S94"/>
  <c r="S92"/>
  <c r="S90"/>
  <c r="S88"/>
  <c r="S86"/>
  <c r="S84"/>
  <c r="S82"/>
  <c r="S80"/>
  <c r="S78"/>
  <c r="S76"/>
  <c r="S74"/>
  <c r="S72"/>
  <c r="S70"/>
  <c r="S68"/>
  <c r="S66"/>
  <c r="S64"/>
  <c r="S62"/>
  <c r="S60"/>
  <c r="S58"/>
  <c r="S56"/>
  <c r="S54"/>
  <c r="S52"/>
  <c r="S50"/>
  <c r="S48"/>
  <c r="S46"/>
  <c r="S44"/>
  <c r="S42"/>
  <c r="S40"/>
  <c r="S38"/>
  <c r="S36"/>
  <c r="S34"/>
  <c r="S32"/>
  <c r="S30"/>
  <c r="S28"/>
  <c r="S26"/>
  <c r="S24"/>
  <c r="S22"/>
  <c r="S21"/>
  <c r="S169"/>
  <c r="S167"/>
  <c r="S165"/>
  <c r="S163"/>
  <c r="S161"/>
  <c r="S159"/>
  <c r="S157"/>
  <c r="S155"/>
  <c r="S153"/>
  <c r="S151"/>
  <c r="S149"/>
  <c r="S147"/>
  <c r="S145"/>
  <c r="S143"/>
  <c r="S141"/>
  <c r="S139"/>
  <c r="S137"/>
  <c r="S135"/>
  <c r="S133"/>
  <c r="S131"/>
  <c r="S129"/>
  <c r="S127"/>
  <c r="S125"/>
  <c r="S123"/>
  <c r="S121"/>
  <c r="S119"/>
  <c r="S117"/>
  <c r="S115"/>
  <c r="S113"/>
  <c r="S111"/>
  <c r="S109"/>
  <c r="S107"/>
  <c r="S105"/>
  <c r="S103"/>
  <c r="S101"/>
  <c r="S99"/>
  <c r="S97"/>
  <c r="S95"/>
  <c r="S93"/>
  <c r="S91"/>
  <c r="S89"/>
  <c r="S87"/>
  <c r="S85"/>
  <c r="S83"/>
  <c r="S81"/>
  <c r="S79"/>
  <c r="S77"/>
  <c r="S75"/>
  <c r="S73"/>
  <c r="S71"/>
  <c r="S69"/>
  <c r="S67"/>
  <c r="S65"/>
  <c r="S63"/>
  <c r="S61"/>
  <c r="S59"/>
  <c r="S57"/>
  <c r="S55"/>
  <c r="S53"/>
  <c r="S51"/>
  <c r="S49"/>
  <c r="S47"/>
  <c r="S45"/>
  <c r="S43"/>
  <c r="S41"/>
  <c r="S39"/>
  <c r="S37"/>
  <c r="S35"/>
  <c r="S33"/>
  <c r="S31"/>
  <c r="S29"/>
  <c r="S27"/>
  <c r="S25"/>
  <c r="U354"/>
  <c r="S354"/>
  <c r="T353"/>
  <c r="U352"/>
  <c r="S352"/>
  <c r="T351"/>
  <c r="U350"/>
  <c r="S350"/>
  <c r="T349"/>
  <c r="U348"/>
  <c r="S348"/>
  <c r="T347"/>
  <c r="U346"/>
  <c r="S346"/>
  <c r="T345"/>
  <c r="U344"/>
  <c r="S344"/>
  <c r="T234"/>
  <c r="U233"/>
  <c r="S233"/>
  <c r="T232"/>
  <c r="U231"/>
  <c r="S231"/>
  <c r="T230"/>
  <c r="U229"/>
  <c r="S229"/>
  <c r="T228"/>
  <c r="U227"/>
  <c r="S227"/>
  <c r="T226"/>
  <c r="U225"/>
  <c r="S225"/>
  <c r="T224"/>
  <c r="U223"/>
  <c r="S223"/>
  <c r="T222"/>
  <c r="U221"/>
  <c r="S221"/>
  <c r="T220"/>
  <c r="U219"/>
  <c r="S219"/>
  <c r="T218"/>
  <c r="U217"/>
  <c r="S217"/>
  <c r="T216"/>
  <c r="U215"/>
  <c r="S215"/>
  <c r="T214"/>
  <c r="U213"/>
  <c r="S213"/>
  <c r="T212"/>
  <c r="U211"/>
  <c r="S211"/>
  <c r="T210"/>
  <c r="U209"/>
  <c r="S209"/>
  <c r="T208"/>
  <c r="U207"/>
  <c r="S207"/>
  <c r="T206"/>
  <c r="U205"/>
  <c r="S205"/>
  <c r="T204"/>
  <c r="U203"/>
  <c r="S203"/>
  <c r="T202"/>
  <c r="U201"/>
  <c r="S201"/>
  <c r="T200"/>
  <c r="U199"/>
  <c r="S199"/>
  <c r="T198"/>
  <c r="U197"/>
  <c r="S197"/>
  <c r="T196"/>
  <c r="U195"/>
  <c r="S195"/>
  <c r="T194"/>
  <c r="U193"/>
  <c r="S193"/>
  <c r="T192"/>
  <c r="U191"/>
  <c r="S191"/>
  <c r="T190"/>
  <c r="U189"/>
  <c r="S189"/>
  <c r="T188"/>
  <c r="U187"/>
  <c r="S187"/>
  <c r="T186"/>
  <c r="U185"/>
  <c r="S185"/>
  <c r="T184"/>
  <c r="U183"/>
  <c r="S183"/>
  <c r="T182"/>
  <c r="U181"/>
  <c r="S181"/>
  <c r="T180"/>
  <c r="U179"/>
  <c r="S179"/>
  <c r="T178"/>
  <c r="U177"/>
  <c r="S177"/>
  <c r="T176"/>
  <c r="U175"/>
  <c r="S175"/>
  <c r="T174"/>
  <c r="U173"/>
  <c r="S173"/>
  <c r="T172"/>
  <c r="U171"/>
  <c r="S171"/>
  <c r="T170"/>
  <c r="D15" i="20"/>
  <c r="D14"/>
  <c r="S23" i="23"/>
  <c r="T354"/>
  <c r="U353"/>
  <c r="S353"/>
  <c r="T352"/>
  <c r="U351"/>
  <c r="S351"/>
  <c r="T350"/>
  <c r="U349"/>
  <c r="S349"/>
  <c r="T348"/>
  <c r="U347"/>
  <c r="S347"/>
  <c r="T346"/>
  <c r="U345"/>
  <c r="S345"/>
  <c r="T344"/>
  <c r="U234"/>
  <c r="S234"/>
  <c r="T233"/>
  <c r="U232"/>
  <c r="S232"/>
  <c r="T231"/>
  <c r="U230"/>
  <c r="S230"/>
  <c r="T229"/>
  <c r="U228"/>
  <c r="S228"/>
  <c r="T227"/>
  <c r="U226"/>
  <c r="S226"/>
  <c r="T225"/>
  <c r="U224"/>
  <c r="S224"/>
  <c r="T223"/>
  <c r="U222"/>
  <c r="S222"/>
  <c r="T221"/>
  <c r="U220"/>
  <c r="S220"/>
  <c r="T219"/>
  <c r="U218"/>
  <c r="S218"/>
  <c r="T217"/>
  <c r="U216"/>
  <c r="S216"/>
  <c r="T215"/>
  <c r="U214"/>
  <c r="S214"/>
  <c r="T213"/>
  <c r="U212"/>
  <c r="S212"/>
  <c r="T211"/>
  <c r="U210"/>
  <c r="S210"/>
  <c r="T209"/>
  <c r="U208"/>
  <c r="S208"/>
  <c r="T207"/>
  <c r="U206"/>
  <c r="S206"/>
  <c r="T205"/>
  <c r="U204"/>
  <c r="S204"/>
  <c r="T203"/>
  <c r="U202"/>
  <c r="S202"/>
  <c r="T201"/>
  <c r="U200"/>
  <c r="S200"/>
  <c r="T199"/>
  <c r="U198"/>
  <c r="S198"/>
  <c r="T197"/>
  <c r="U196"/>
  <c r="S196"/>
  <c r="T195"/>
  <c r="U194"/>
  <c r="S194"/>
  <c r="T193"/>
  <c r="U192"/>
  <c r="S192"/>
  <c r="T191"/>
  <c r="U190"/>
  <c r="S190"/>
  <c r="T189"/>
  <c r="U188"/>
  <c r="S188"/>
  <c r="T187"/>
  <c r="U186"/>
  <c r="S186"/>
  <c r="T185"/>
  <c r="U184"/>
  <c r="S184"/>
  <c r="T183"/>
  <c r="U182"/>
  <c r="S182"/>
  <c r="T181"/>
  <c r="U180"/>
  <c r="S180"/>
  <c r="T179"/>
  <c r="U178"/>
  <c r="S178"/>
  <c r="T177"/>
  <c r="U176"/>
  <c r="S176"/>
  <c r="T175"/>
  <c r="U174"/>
  <c r="S174"/>
  <c r="T173"/>
  <c r="U172"/>
  <c r="S172"/>
  <c r="T171"/>
  <c r="U170"/>
  <c r="C51" i="20"/>
  <c r="C37"/>
  <c r="E35" i="19"/>
  <c r="E36"/>
  <c r="E33"/>
  <c r="E32"/>
  <c r="M3" i="24"/>
  <c r="B41" i="15"/>
  <c r="D23" i="20"/>
  <c r="D22"/>
  <c r="D21"/>
  <c r="D20"/>
  <c r="D19"/>
  <c r="D18"/>
  <c r="D17"/>
  <c r="D16"/>
  <c r="B42" i="15"/>
  <c r="C2" i="24"/>
  <c r="B43" i="15"/>
  <c r="D47" i="19"/>
  <c r="B46" i="15"/>
  <c r="D44" i="19"/>
  <c r="B44" i="15"/>
  <c r="D49" i="19"/>
  <c r="B45" i="15"/>
  <c r="D51" i="19"/>
  <c r="D45"/>
  <c r="D53"/>
  <c r="B51" i="15" l="1"/>
  <c r="E11" i="23"/>
  <c r="F37" i="20"/>
  <c r="H51"/>
  <c r="I37"/>
  <c r="F72" i="26"/>
  <c r="G84"/>
  <c r="H24" i="20"/>
  <c r="J37"/>
  <c r="J24"/>
  <c r="C8" i="19"/>
  <c r="C10"/>
  <c r="J51" i="20"/>
  <c r="F51"/>
  <c r="I24"/>
  <c r="I51"/>
  <c r="G51"/>
  <c r="H37"/>
  <c r="C6" i="19"/>
  <c r="G24" i="20"/>
  <c r="F24"/>
  <c r="R12" i="23"/>
  <c r="E37" i="20"/>
  <c r="E51"/>
  <c r="E24"/>
  <c r="P12" i="23"/>
  <c r="J11" s="1"/>
  <c r="B11" i="19"/>
  <c r="Q11" i="24"/>
  <c r="Q8"/>
  <c r="Q7"/>
  <c r="Q9"/>
  <c r="Q10"/>
  <c r="Q12"/>
  <c r="B40" i="15"/>
  <c r="B2" i="24"/>
  <c r="B14" i="19"/>
  <c r="B47" i="15"/>
  <c r="D48" i="19"/>
  <c r="D52"/>
  <c r="D46"/>
  <c r="K37" i="20" l="1"/>
  <c r="K38"/>
  <c r="C11" i="19"/>
  <c r="E11" s="1"/>
  <c r="K52" i="20"/>
  <c r="K51"/>
  <c r="K25"/>
  <c r="K24"/>
  <c r="B66" i="15"/>
  <c r="L11" i="23"/>
  <c r="B65" i="15"/>
  <c r="D14" i="19"/>
  <c r="C14"/>
  <c r="E14" s="1"/>
  <c r="D54"/>
  <c r="D50"/>
  <c r="B62" i="15" l="1"/>
</calcChain>
</file>

<file path=xl/comments1.xml><?xml version="1.0" encoding="utf-8"?>
<comments xmlns="http://schemas.openxmlformats.org/spreadsheetml/2006/main">
  <authors>
    <author>andrew.hawkins</author>
    <author>Chris Martin</author>
  </authors>
  <commentList>
    <comment ref="J20" authorId="0">
      <text>
        <r>
          <rPr>
            <b/>
            <sz val="8"/>
            <color indexed="81"/>
            <rFont val="Tahoma"/>
            <family val="2"/>
          </rPr>
          <t>01 - Mandatory (Operational)</t>
        </r>
        <r>
          <rPr>
            <sz val="8"/>
            <color indexed="81"/>
            <rFont val="Tahoma"/>
            <family val="2"/>
          </rPr>
          <t xml:space="preserve"> is used to identify changes that will result in operational errors (either by someone following the wrong guidance or the software doing the wrong thing)
</t>
        </r>
        <r>
          <rPr>
            <b/>
            <sz val="8"/>
            <color indexed="81"/>
            <rFont val="Tahoma"/>
            <family val="2"/>
          </rPr>
          <t>02 - Mandatory (Non-Operational)</t>
        </r>
        <r>
          <rPr>
            <sz val="8"/>
            <color indexed="81"/>
            <rFont val="Tahoma"/>
            <family val="2"/>
          </rPr>
          <t xml:space="preserve"> is used to identify changes that have no operational impact but require changes anyway - e.g. standards non-compliance
</t>
        </r>
        <r>
          <rPr>
            <b/>
            <sz val="8"/>
            <color indexed="81"/>
            <rFont val="Tahoma"/>
            <family val="2"/>
          </rPr>
          <t>03 - Desirable</t>
        </r>
        <r>
          <rPr>
            <sz val="8"/>
            <color indexed="81"/>
            <rFont val="Tahoma"/>
            <family val="2"/>
          </rPr>
          <t xml:space="preserve"> is used to record recomended changes that have no functional affect and do not affect compliance with standards.
</t>
        </r>
        <r>
          <rPr>
            <b/>
            <sz val="8"/>
            <color indexed="81"/>
            <rFont val="Tahoma"/>
            <family val="2"/>
          </rPr>
          <t>04 - Observation</t>
        </r>
        <r>
          <rPr>
            <sz val="8"/>
            <color indexed="81"/>
            <rFont val="Tahoma"/>
            <family val="2"/>
          </rPr>
          <t xml:space="preserve"> is used to record observations on the artefact that require no update. e.g. next time round try doing X.
</t>
        </r>
        <r>
          <rPr>
            <b/>
            <sz val="8"/>
            <color indexed="81"/>
            <rFont val="Tahoma"/>
            <family val="2"/>
          </rPr>
          <t>05 - Typo</t>
        </r>
        <r>
          <rPr>
            <sz val="8"/>
            <color indexed="81"/>
            <rFont val="Tahoma"/>
            <family val="2"/>
          </rPr>
          <t xml:space="preserve"> is used to categorise spelling, grammar errors etc.
</t>
        </r>
        <r>
          <rPr>
            <b/>
            <sz val="8"/>
            <color indexed="81"/>
            <rFont val="Tahoma"/>
            <family val="2"/>
          </rPr>
          <t xml:space="preserve">06 - No comment </t>
        </r>
        <r>
          <rPr>
            <sz val="8"/>
            <color indexed="81"/>
            <rFont val="Tahoma"/>
            <family val="2"/>
          </rPr>
          <t>is used to identify a note that requires no response. e.g. where the comment is "No comment".</t>
        </r>
      </text>
    </comment>
    <comment ref="K20" authorId="1">
      <text>
        <r>
          <rPr>
            <b/>
            <sz val="8"/>
            <color indexed="81"/>
            <rFont val="Tahoma"/>
            <family val="2"/>
          </rPr>
          <t>Chris Martin:</t>
        </r>
        <r>
          <rPr>
            <sz val="8"/>
            <color indexed="81"/>
            <rFont val="Tahoma"/>
            <family val="2"/>
          </rPr>
          <t xml:space="preserve">
(Unhide column to right via "+" at top for additional information column)</t>
        </r>
      </text>
    </comment>
    <comment ref="Q20" authorId="1">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2.xml><?xml version="1.0" encoding="utf-8"?>
<comments xmlns="http://schemas.openxmlformats.org/spreadsheetml/2006/main">
  <authors>
    <author>andrew.hawthorn</author>
  </authors>
  <commentList>
    <comment ref="I6" authorId="0">
      <text>
        <r>
          <rPr>
            <b/>
            <sz val="8"/>
            <color indexed="81"/>
            <rFont val="Tahoma"/>
            <family val="2"/>
          </rPr>
          <t>andrew.hawthorn:</t>
        </r>
        <r>
          <rPr>
            <sz val="8"/>
            <color indexed="81"/>
            <rFont val="Tahoma"/>
            <family val="2"/>
          </rPr>
          <t xml:space="preserve">
Justify any failures that won't be fixed.</t>
        </r>
      </text>
    </comment>
    <comment ref="L6" authorId="0">
      <text>
        <r>
          <rPr>
            <b/>
            <sz val="8"/>
            <color indexed="81"/>
            <rFont val="Tahoma"/>
            <family val="2"/>
          </rPr>
          <t>andrew.hawthorn:</t>
        </r>
        <r>
          <rPr>
            <sz val="8"/>
            <color indexed="81"/>
            <rFont val="Tahoma"/>
            <family val="2"/>
          </rPr>
          <t xml:space="preserve">
Any failure of a mandatory check should be justified here or in the Author's response.</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<sst xmlns="http://schemas.openxmlformats.org/spreadsheetml/2006/main" count="3749" uniqueCount="1757">
  <si>
    <t>Altran Praxis Limited, 20 Manvers Street, Bath BA1 1PX, UK.</t>
  </si>
  <si>
    <t>Document Control and References</t>
  </si>
  <si>
    <t>Changes history</t>
  </si>
  <si>
    <t>Commercial In Confidence</t>
  </si>
  <si>
    <t>Copyright Altran Praxis Limited 2006 - 2011.  All rights reserved.</t>
  </si>
  <si>
    <t>Issue:</t>
  </si>
  <si>
    <t>Status:</t>
  </si>
  <si>
    <t>Date:</t>
  </si>
  <si>
    <t>Confidentiality:</t>
  </si>
  <si>
    <t>Originator</t>
  </si>
  <si>
    <t>Approver</t>
  </si>
  <si>
    <t>Copies to:</t>
  </si>
  <si>
    <t>Project File</t>
  </si>
  <si>
    <t xml:space="preserve">File Reference: </t>
  </si>
  <si>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</si>
  <si>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</si>
  <si>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</si>
  <si>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</si>
  <si>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</si>
  <si>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</si>
  <si>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</si>
  <si>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</si>
  <si>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</si>
  <si>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</si>
  <si>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</si>
  <si>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</si>
  <si>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</si>
  <si>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</si>
  <si>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</si>
  <si>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</si>
  <si>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</si>
  <si>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</si>
  <si>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</si>
  <si>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</si>
  <si>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</si>
  <si>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</si>
  <si>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</si>
  <si>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</si>
  <si>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</si>
  <si>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</si>
  <si>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</si>
  <si>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</si>
  <si>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</si>
  <si>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</si>
  <si>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</si>
  <si>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</si>
  <si>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</si>
  <si>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</si>
  <si>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</si>
  <si>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</si>
  <si>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</si>
  <si>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</si>
  <si>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</si>
  <si>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</si>
  <si>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</si>
  <si>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</si>
  <si>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</si>
  <si>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</si>
  <si>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</si>
  <si>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</si>
  <si>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</si>
  <si>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</si>
  <si>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</si>
  <si>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</si>
  <si>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</si>
  <si>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</si>
  <si>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</si>
  <si>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</si>
  <si>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</si>
  <si>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</si>
  <si>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</si>
  <si>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</si>
  <si>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</si>
  <si>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</si>
  <si>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</si>
  <si>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</si>
  <si>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</si>
  <si>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</si>
  <si>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</si>
  <si>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</si>
  <si>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</si>
  <si>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</si>
  <si>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</si>
  <si>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</si>
  <si>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</si>
  <si>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</si>
  <si>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</si>
  <si>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</si>
  <si>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</si>
  <si>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</si>
  <si>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</si>
  <si>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</si>
  <si>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</si>
  <si>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</si>
  <si>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</si>
  <si>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</si>
  <si>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</si>
  <si>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</si>
  <si>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</si>
  <si>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</si>
  <si>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</si>
  <si>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</si>
  <si>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</si>
  <si>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</si>
  <si>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</si>
  <si>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</si>
  <si>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</si>
  <si>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</si>
  <si>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</si>
  <si>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</si>
  <si>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</si>
  <si>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</si>
  <si>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</si>
  <si>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</si>
  <si>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</si>
  <si>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</si>
  <si>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</si>
  <si>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</si>
  <si>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</si>
  <si>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</si>
  <si>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</si>
  <si>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</si>
  <si>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</si>
  <si>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</si>
  <si>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</si>
  <si>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</si>
  <si>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</si>
  <si>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Category</t>
  </si>
  <si>
    <t>Comment No</t>
  </si>
  <si>
    <t>Review Comments</t>
  </si>
  <si>
    <t>Review Date</t>
  </si>
  <si>
    <t>Sign-off by "Checker" (initials)</t>
  </si>
  <si>
    <t>Additional information (e.g. data allowing the reviewer to group comments by category)</t>
  </si>
  <si>
    <t xml:space="preserve">Reviewer's Comment </t>
  </si>
  <si>
    <t>Section Reference or Line Number(s)</t>
  </si>
  <si>
    <t>Summary of comments' status:</t>
  </si>
  <si>
    <t>Notes on Use of this form:</t>
  </si>
  <si>
    <t>Reviewer Name(s)</t>
  </si>
  <si>
    <t>Time Spent Reworking (mins)</t>
  </si>
  <si>
    <t>Time Spent Moderating (mins)</t>
  </si>
  <si>
    <t>Comments Duplicated</t>
  </si>
  <si>
    <t>Duplicate</t>
  </si>
  <si>
    <t>Comment No.</t>
  </si>
  <si>
    <t>Rev's Initials</t>
  </si>
  <si>
    <t>Colour codes: Blue =&gt; Comment fields, Yellow =&gt; Comment response fields, Green =&gt; Signe-off fields</t>
  </si>
  <si>
    <t>This section reports on the status of completion of this RRR. Self consistency checks are distributed throughout the worksheets. This worksheet presents a summary of the overall status.</t>
  </si>
  <si>
    <t>Reviewer
Initials</t>
  </si>
  <si>
    <t>Description</t>
  </si>
  <si>
    <t>Pass/
Comment#
/ NA</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</si>
  <si>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</si>
  <si>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</si>
  <si>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</si>
  <si>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</si>
  <si>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</si>
  <si>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</si>
  <si>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</si>
  <si>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</si>
  <si>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</si>
  <si>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</si>
  <si>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</si>
  <si>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</si>
  <si>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</si>
  <si>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</si>
  <si>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</si>
  <si>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</si>
  <si>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</si>
  <si>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</si>
  <si>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</si>
  <si>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</si>
  <si>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</si>
  <si>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</si>
  <si>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</si>
  <si>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RRR Template</t>
  </si>
  <si>
    <t>&lt;Name of Reviewer(s)&gt;</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</si>
  <si>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</si>
  <si>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</si>
  <si>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</si>
  <si>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</si>
  <si>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</si>
  <si>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</si>
  <si>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</si>
  <si>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</si>
  <si>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</si>
  <si>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</si>
  <si>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</si>
  <si>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</si>
  <si>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</si>
  <si>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</si>
  <si>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</si>
  <si>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</si>
  <si>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</si>
  <si>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</si>
  <si>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</si>
  <si>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</si>
  <si>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</si>
  <si>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</si>
  <si>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</si>
  <si>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</si>
  <si>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</si>
  <si>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</si>
  <si>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</si>
  <si>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</si>
  <si>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</si>
  <si>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</si>
  <si>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</si>
  <si>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</si>
  <si>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</si>
  <si>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</si>
  <si>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</si>
  <si>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</si>
  <si>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</si>
  <si>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</si>
  <si>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</si>
  <si>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</si>
  <si>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</si>
  <si>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</si>
  <si>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</si>
  <si>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</si>
  <si>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</si>
  <si>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</si>
  <si>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</si>
  <si>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</si>
  <si>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</si>
  <si>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</si>
  <si>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</si>
  <si>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</si>
  <si>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</si>
  <si>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</si>
  <si>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</si>
  <si>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</si>
  <si>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</si>
  <si>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</si>
  <si>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</si>
  <si>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</si>
  <si>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</si>
  <si>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</si>
  <si>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</si>
  <si>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</si>
  <si>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</si>
  <si>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</si>
  <si>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</si>
  <si>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</si>
  <si>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</si>
  <si>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</si>
  <si>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</si>
  <si>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</si>
  <si>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</si>
  <si>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</si>
  <si>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</si>
  <si>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</si>
  <si>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</si>
  <si>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</si>
  <si>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</si>
  <si>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</si>
  <si>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</si>
  <si>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</si>
  <si>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</si>
  <si>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</si>
  <si>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</si>
  <si>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</si>
  <si>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</si>
  <si>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</si>
  <si>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</si>
  <si>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</si>
  <si>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</si>
  <si>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</si>
  <si>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</si>
  <si>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</si>
  <si>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</si>
  <si>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</si>
  <si>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</si>
  <si>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</si>
  <si>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</si>
  <si>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</si>
  <si>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</si>
  <si>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</si>
  <si>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</si>
  <si>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</si>
  <si>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</si>
  <si>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</si>
  <si>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</si>
  <si>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</si>
  <si>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</si>
  <si>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</si>
  <si>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</si>
  <si>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</si>
  <si>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</si>
  <si>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</si>
  <si>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</si>
  <si>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</si>
  <si>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</si>
  <si>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</si>
  <si>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</si>
  <si>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</si>
  <si>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</si>
  <si>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</si>
  <si>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</si>
  <si>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</si>
  <si>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</si>
  <si>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</si>
  <si>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</si>
  <si>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</si>
  <si>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</si>
  <si>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</si>
  <si>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</si>
  <si>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</si>
  <si>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</si>
  <si>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</si>
  <si>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</si>
  <si>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</si>
  <si>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</si>
  <si>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</si>
  <si>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</si>
  <si>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</si>
  <si>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</si>
  <si>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</si>
  <si>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</si>
  <si>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</si>
  <si>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</si>
  <si>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</si>
  <si>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</si>
  <si>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</si>
  <si>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</si>
  <si>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</si>
  <si>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</si>
  <si>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</si>
  <si>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</si>
  <si>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</si>
  <si>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</si>
  <si>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</si>
  <si>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</si>
  <si>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</si>
  <si>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</si>
  <si>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</si>
  <si>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</si>
  <si>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</si>
  <si>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</si>
  <si>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</si>
  <si>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</si>
  <si>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</si>
  <si>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</si>
  <si>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</si>
  <si>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</si>
  <si>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</si>
  <si>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</si>
  <si>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</si>
  <si>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</si>
  <si>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</si>
  <si>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</si>
  <si>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</si>
  <si>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</si>
  <si>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</si>
  <si>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</si>
  <si>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</si>
  <si>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</si>
  <si>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</si>
  <si>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</si>
  <si>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</si>
  <si>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</si>
  <si>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</si>
  <si>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</si>
  <si>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</si>
  <si>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</si>
  <si>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</si>
  <si>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</si>
  <si>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</si>
  <si>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</si>
  <si>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</si>
  <si>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</si>
  <si>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</si>
  <si>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</si>
  <si>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</si>
  <si>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</si>
  <si>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</si>
  <si>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</si>
  <si>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</si>
  <si>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</si>
  <si>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</si>
  <si>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</si>
  <si>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</si>
  <si>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</si>
  <si>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</si>
  <si>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</si>
  <si>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</si>
  <si>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</si>
  <si>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</si>
  <si>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</si>
  <si>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</si>
  <si>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</si>
  <si>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</si>
  <si>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</si>
  <si>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Check Type</t>
  </si>
  <si>
    <t>Authors Response 
(if justification required)</t>
  </si>
  <si>
    <t>Review ToDo</t>
  </si>
  <si>
    <t>Approval ToDo</t>
  </si>
  <si>
    <t>Sign-off by checker
(initials)</t>
  </si>
  <si>
    <t>RRR_Checklist_ToSign</t>
  </si>
  <si>
    <t>RRR_Checklist_Total</t>
  </si>
  <si>
    <t>Sign-off status</t>
  </si>
  <si>
    <t>Pass</t>
  </si>
  <si>
    <t>Fail - Standards</t>
  </si>
  <si>
    <t>Fail - Recommended</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</si>
  <si>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</si>
  <si>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</si>
  <si>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</si>
  <si>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</si>
  <si>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</si>
  <si>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</si>
  <si>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</si>
  <si>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</si>
  <si>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</si>
  <si>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</si>
  <si>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</si>
  <si>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</si>
  <si>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</si>
  <si>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</si>
  <si>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Sign-off notes</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</si>
  <si>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</si>
  <si>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</si>
  <si>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</si>
  <si>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</si>
  <si>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</si>
  <si>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</si>
  <si>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</si>
  <si>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</si>
  <si>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</si>
  <si>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Changes forecast</t>
  </si>
  <si>
    <t>Document references</t>
  </si>
  <si>
    <t>Status Summary</t>
  </si>
  <si>
    <t>Fail - Safety</t>
  </si>
  <si>
    <t>Fail - Technical</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</si>
  <si>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</si>
  <si>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</si>
  <si>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</si>
  <si>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</si>
  <si>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</si>
  <si>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</si>
  <si>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</si>
  <si>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</si>
  <si>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</si>
  <si>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</si>
  <si>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</si>
  <si>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</si>
  <si>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</si>
  <si>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</si>
  <si>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</si>
  <si>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</si>
  <si>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</si>
  <si>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</si>
  <si>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</si>
  <si>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</si>
  <si>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</si>
  <si>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</si>
  <si>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</si>
  <si>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</si>
  <si>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</si>
  <si>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</si>
  <si>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</si>
  <si>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</si>
  <si>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</si>
  <si>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</si>
  <si>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</si>
  <si>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</si>
  <si>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</si>
  <si>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</si>
  <si>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</si>
  <si>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</si>
  <si>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</si>
  <si>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</si>
  <si>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</si>
  <si>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</si>
  <si>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</si>
  <si>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</si>
  <si>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</si>
  <si>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</si>
  <si>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</si>
  <si>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</si>
  <si>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</si>
  <si>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</si>
  <si>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</si>
  <si>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</si>
  <si>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</si>
  <si>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</si>
  <si>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</si>
  <si>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</si>
  <si>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</si>
  <si>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</si>
  <si>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</si>
  <si>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</si>
  <si>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</si>
  <si>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</si>
  <si>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</si>
  <si>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</si>
  <si>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</si>
  <si>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</si>
  <si>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</si>
  <si>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</si>
  <si>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</si>
  <si>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</si>
  <si>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</si>
  <si>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</si>
  <si>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</si>
  <si>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</si>
  <si>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</si>
  <si>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</si>
  <si>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</si>
  <si>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</si>
  <si>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</si>
  <si>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</si>
  <si>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</si>
  <si>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</si>
  <si>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</si>
  <si>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</si>
  <si>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</si>
  <si>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</si>
  <si>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</si>
  <si>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</si>
  <si>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</si>
  <si>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</si>
  <si>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</si>
  <si>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</si>
  <si>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</si>
  <si>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</si>
  <si>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</si>
  <si>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</si>
  <si>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</si>
  <si>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</si>
  <si>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</si>
  <si>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</si>
  <si>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</si>
  <si>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</si>
  <si>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</si>
  <si>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</si>
  <si>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</si>
  <si>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</si>
  <si>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</si>
  <si>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</si>
  <si>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</si>
  <si>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</si>
  <si>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</si>
  <si>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</si>
  <si>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</si>
  <si>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</si>
  <si>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</si>
  <si>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</si>
  <si>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</si>
  <si>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</si>
  <si>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</si>
  <si>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</si>
  <si>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</si>
  <si>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</si>
  <si>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</si>
  <si>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</si>
  <si>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</si>
  <si>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NA</t>
  </si>
  <si>
    <t>Definitive</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</si>
  <si>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</si>
  <si>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</si>
  <si>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</si>
  <si>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</si>
  <si>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</si>
  <si>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</si>
  <si>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</si>
  <si>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</si>
  <si>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</si>
  <si>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</si>
  <si>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</si>
  <si>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</si>
  <si>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</si>
  <si>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</si>
  <si>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</si>
  <si>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</si>
  <si>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</si>
  <si>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</si>
  <si>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</si>
  <si>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</si>
  <si>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</si>
  <si>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</si>
  <si>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</si>
  <si>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</si>
  <si>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</si>
  <si>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</si>
  <si>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Issue 0.1 (14th September 2010):</t>
  </si>
  <si>
    <t>Initial version for review by Neil White, Guy Levell and Neil Henderson.</t>
  </si>
  <si>
    <t>Issue 0.2 (20 October 2010):</t>
  </si>
  <si>
    <t>Approved RRR following SPLAT33 creation review.</t>
  </si>
  <si>
    <t>Issue 0.3 (10 december 2010):</t>
  </si>
  <si>
    <t>Editorial team changes for review.</t>
  </si>
  <si>
    <t>Issue 0.4 (19 January 2011):</t>
  </si>
  <si>
    <t>Add Code file list, Development Comments and C Code Checklist worksheets and update calling notice and metrics worksheets accordingly.</t>
  </si>
  <si>
    <t>Issue 1.0 (17 February 2011):</t>
  </si>
  <si>
    <t>Definitive issue. Migrated of S.Q1200 files to SVN requires document re-numbering see SPLAT59.</t>
  </si>
  <si>
    <t>Replaced template with Phileas RRR template, SPLAT #68.</t>
  </si>
  <si>
    <t>Implement Foundation Behaviours</t>
  </si>
  <si>
    <t>S.Q1200.50.2</t>
  </si>
  <si>
    <t>1.1</t>
  </si>
  <si>
    <t>Andrew Hawthorn (SEPG Representative)</t>
  </si>
  <si>
    <t>E&amp;CS</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</si>
  <si>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</si>
  <si>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</si>
  <si>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</si>
  <si>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</si>
  <si>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</si>
  <si>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</si>
  <si>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</si>
  <si>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</si>
  <si>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</si>
  <si>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</si>
  <si>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</si>
  <si>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</si>
  <si>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</si>
  <si>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</si>
  <si>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</si>
  <si>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</si>
  <si>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</si>
  <si>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</si>
  <si>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</si>
  <si>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</si>
  <si>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</si>
  <si>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David Jackson (E&amp;CS)</t>
  </si>
  <si>
    <t>2) This template is setup by default to capture size data, to change it to not capture size data:</t>
  </si>
  <si>
    <t xml:space="preserve">    * Hide rows 9 to 12 on the "Calling Notice"</t>
  </si>
  <si>
    <t>Issue 1.1 (8 November 2012):</t>
  </si>
  <si>
    <t>TN</t>
  </si>
  <si>
    <t>LA11-018</t>
  </si>
  <si>
    <t>SB</t>
  </si>
  <si>
    <t xml:space="preserve">We've got
   Every input and output of a dependency_relation of a Depends aspect
   of a package specification is a state abstraction.
and
   Every output of an initialization_list of an Initializes aspect of a
   package specification is a state abstraction.
So how do we annotate (via Initializes or Depends)
    package Other_Pkg is
      Y : Integer := ... ;
    end Other_Pkg;
    with Other_Pkg;
    package Pkg is
      X : Integer;
      ...
    end Pkg;
    package body Pkg is
      ...
    begin
      X := Other_Pkg.Y;
    end;
? I think I am missing something here.
</t>
  </si>
  <si>
    <t>2 - All Package Aspects</t>
  </si>
  <si>
    <t xml:space="preserve">We've got
    An aspect_specification shall not have an Initializes Aspect
    if it has a Depends aspect.
This seems inconsistent with the treatment of subprograms, where
we allow (AFAIK) specification of both the Global and Depends aspects
for one subprogram. Perhaps we intended to disallow this case for
subprograms too?
</t>
  </si>
  <si>
    <t xml:space="preserve">We've got
   An Initializes aspect shall not allow function_result as an output.
This is redundant.
F'Result is only defined "Within a postcondition expression for function 
F". We added special rules for some attributes to allow
uses of F'Result in other contexts, but we don't need to say anything
if we just want to confirm the default rules.
We could either delete this rule or just slap square brackets around it
(indicating redundancy).
</t>
  </si>
  <si>
    <t xml:space="preserve">We've got
   The object denoted by a given output in an Initializes aspect shall
   not be denoted by any other output in that Initializes aspect.
as well as
   The object denoted by a given input in an input_list shall not be
    denoted by any other input in that input_list.
Now we also have the more succinct
    global_items in the same Global aspect shall denote
    distinct entities.
I like the shorter form better and would like to see it
used in all similar situations.
</t>
  </si>
  <si>
    <t>4 - Refinement</t>
  </si>
  <si>
    <t xml:space="preserve">There are several references to mode_specification, but this nonterminal
is no longer defined.
I think these are left over from when we planned to support conditional
and/or component-granularity dataflow specifications.
I think all this stuff (e.g., the entire section on mode
refinement) should be removed.
</t>
  </si>
  <si>
    <t xml:space="preserve">We are inconsistent in spelling synthesize/synthesise .
Several occurrences of both.
</t>
  </si>
  <si>
    <t xml:space="preserve">We've got
   Where one of these rules prohibits the occurrence of a variable V or
   any of its subcomponents as an actual parameter, the following
   constructs are also prohibited in this context:
   (a) a type conversion whose operand is a prohibited construct;
   (b) a qualified expression whose operand is a prohibited construct;
   (c) a prohibited construct enclosed in parentheses.
I think we need to deal with conditional expressions here, perhaps by
adding
   (d) a conditional expression having at least one dependent_expression
       which is a prohibited construct.
We don't want to pass
   (if Flag then X else ...)
in a context where passing X would violate this rule, right?
</t>
  </si>
  <si>
    <t>3 - All Subprogram Aspects</t>
  </si>
  <si>
    <t xml:space="preserve">We've got:
   Every input and output of a dependency_relation of a Depends aspect
   of a subprogram is a state abstraction, a whole object (not part of
   a containing object) or a formal parameter of the subprogram.
How about defining (somewhere earlier):
   A "state name" is a name which denotes either a state abstraction,
   a stand-alone variable, a variable formal parameter. a generic
   formal object, or an object renaming whose object_name is a
   state name.
The term "state name" is, of course, up for discussion.
Ditto for the inclusion of generic formal objects.
However these details turn out, I think we could then use this term in a bunch of places. For example, the rule above would become
    An input or output of a dependency_relation shall be a state name.
</t>
  </si>
  <si>
    <t xml:space="preserve">
I think that deleting the name resolution rule
    The name represented by a given global_item will resolve to denote
    a variable object or a state abstraction.
would have no effect on the language definition (which is a good
argument for deleting it) because we already get the desired effect from
the legality rule
    A global_item of a subprogram shall be a stand alone variable object
    [that is, it is not part of a larger object] or it shall be a
    state abstraction.
Note that name resolution rules generally do not treat constants
and variables differently. For example the rule that the target of
an assignment statement must be a variable object is a legality
rule, not a name resolution rule.
</t>
  </si>
  <si>
    <t>1 - Basic Spec Aspects</t>
  </si>
  <si>
    <t>Rule deleted</t>
  </si>
  <si>
    <t>Response to comment</t>
  </si>
  <si>
    <t xml:space="preserve">c) What about implicitly generated proof obligations
associated with runtime checks? In this example,
     procedure P (N, Max : Natural) is
       subtype S is 0 .. Max; -- only use of Max
       X : S := N; -- only use of S
     begin
       ...;
       X := Integer'(...);
       ...
     end;
should Max be viewed as a Contract_In global?
With respect to flow analysis, how is the above example
really different from this version, where constraint
checks are replaced with assertions?
     procedure P (N, Max : Natural) is
       pragma Assert (N &lt;= Max);
       X : Natural := N;
     begin
       ...;
       declare
          Temp : Integer := Integer'(...);
       begin
          pragma Assert (Temp &lt;= Max);
          X := Temp;
       end;
</t>
  </si>
  <si>
    <t xml:space="preserve">Is this wording ok?
    Each global_item in a single Global aspect shall denote a distinct entity.
I know what it means, but it sounds like it is talking about something like
     procedure P (X : Integer);
     procedure P (X : Float);
     pragma Inlne (P);
where the the name "P" in the pragma does not "denote a distinct entity" because it denotes two entities.
Maybe there is no problem here and I am just being pedantic.
Still, I'd prefer something like
    Global_items in the same Global aspect shall denote distinct
    entities.
And presumably the "distinct entity" test looks through object renamings.
</t>
  </si>
  <si>
    <t>Rule has been updated.</t>
  </si>
  <si>
    <t>TJJ</t>
  </si>
  <si>
    <t>Done</t>
  </si>
  <si>
    <t>Update definition of hidden state according to wording provided by SB, and remove now-redundant definitions.</t>
  </si>
  <si>
    <t xml:space="preserve">We've got:
   A Boolean expression given by pragma Assume can
   be assumed to be true for the remainder of subprogram.
I think I flagged this wording in an earlier message.
</t>
  </si>
  <si>
    <t>6 - Post-Milestone 4</t>
  </si>
  <si>
    <t xml:space="preserve">
   The name represented by a given global_item will resolve to denote
   a variable object or a state abstraction.
   In a context where the name could be interpreted either as a variable
   or as a state abstraction it shall resolve to denote a variable.
2nd sentence to be removed if, as suggested below, we abandon the
idea of overloadable state abstractions.
</t>
  </si>
  <si>
    <t>7 - Discussion</t>
  </si>
  <si>
    <t>Have removed static semantic rule 6 in section 7.1.2 (Abstract State) on parameterless functions.</t>
  </si>
  <si>
    <t xml:space="preserve">We've got:
   A Volatile Input state abstraction shall not be a global item (see
   Global Aspect) of mode in out or out. [Checked when analyzing
   subprogram declarations.]
If this is checked when analyzing subprogram declarations, then why is
listed in the "Verification Rules" section?
</t>
  </si>
  <si>
    <t xml:space="preserve">I have moved these rules into the Legality Rules section of the Global aspect
(this latter since they would be checked when analyzing the Global aspect).
</t>
  </si>
  <si>
    <t xml:space="preserve">We've got:
   For variables which are declared directly within the visible part of a
   package specification, the Volatile, Input, Output,
   and Integrity aspects may be specified directly as part of the
   variable’s declaration.
It seems odd to include Volatile in this list, since this is already
a language-defined aspect for a variable. I'd leave this Volatile out
of the list, although the rule that comes next is still needed:
   If a variable has the Volatile aspect, then it must also have exactly
   one of the Input or Output aspects.
</t>
  </si>
  <si>
    <t xml:space="preserve">We've got:
   Every input and output of a dependency_relation of a Depends
   aspect of a package specification is a state abstraction.
Is this really right? An input can't be a variable?
Can an output be a state abstraction of another package?
If the above rule is really right, then what is the point of the rule:
   A Depends aspect of a package has extended visibility; it is able to
   refer to variables declared in the visible part of the package.
?
Note that this second rule is redundant.
It already follows from ADA RM 13.1.1(11/3):
   The usage names in an aspect_definition [ are not resolved at the
   point of the associated declaration, but rather] are resolved at the
   end of the immediately enclosing declaration list.
Just a reminder - the square brackets in the above ADA RM quote indicate
redundant text included to improve readability.
</t>
  </si>
  <si>
    <t xml:space="preserve">All points addressed during consolidation of package-level flow information
into an Initialized aspect.
</t>
  </si>
  <si>
    <t xml:space="preserve">We've got:
   A state_name designated as Volatile shall only appear in a Depends aspect
   if the package reads or updates the Volatile variables represented by the
   state_name during its elaboration or the elaboration of its private
   descendants.
Isn't this true for all state abstractions, not just Volatile ones?
Why the special rule for Volatiles?
Is this rule needed at all? It seems redundant, even if it is relaxed
to apply to non-volatile state abstractions.
</t>
  </si>
  <si>
    <t xml:space="preserve">We've got:
   Library level packages are considered to be elaborated in some order
   determined by the compiler prior to a call to the main subprogram.
Would it be worthwhile at this point to note the difference here
between Spark 2014 and Spark 95 (which had no dependence on
the elaboration order chosen by the compiler)?
I don't feel strongly either way, but I raise the question.
</t>
  </si>
  <si>
    <t xml:space="preserve">We've got:
   For flow analysis purposes, the elaboration of a package embedded within
   a subprogram or block statement is modeled as a subprogram call 
immediately
   following the package declaration.
Is this user-visible in any way? If yes, then this wording is fine.
If no, then this seems like a description of an implementation detail
which does not belong in the language specification.
</t>
  </si>
  <si>
    <t xml:space="preserve">We've got:
   An Initializes aspect shall not allow function_result as an output.
and similar rules elsewhere. This is redundant.
The RM already restricts use of F'Result to within a
post-condition expression for F.  See ADA RM 6.1.1(30/3).
</t>
  </si>
  <si>
    <t xml:space="preserve">Addressed during consolidation of package-level flow information
into an Initialized aspect.
</t>
  </si>
  <si>
    <t xml:space="preserve">Another redundant "extended visibility" rule:
   The predicate of an Initial Condition Aspect appearing in a package
   Q has extended visibility. It may reference declarations from the
   visible part of Q.
I'll stop flagging these. They are all redundant.
</t>
  </si>
  <si>
    <t>All removed</t>
  </si>
  <si>
    <t xml:space="preserve">We've got:
   A state_name cannot appear directly in an Initial Condition Aspect but it
   may be indirectly referenced through a function call.
Get rid of this as discussed above. If somebody wants to declare a
parameterless function that reads from constituents of exactly one
state abstraction, they don't need a special rule to allow that.
</t>
  </si>
  <si>
    <t>Note added to text and will be updated when I revise the relevant section with Trevor.</t>
  </si>
  <si>
    <t xml:space="preserve">If state is read to initialize a constant during package body
elaboration, how is that reflected in the annotations?
How would this example be annotated with aspect specifications?
     package Pkg_1 is
         Global_Var : String (1 .. 10) := "1234567890";
     end Pkg_1;
     package Pkg_2 is
        subtype Index is Integer range 1 .. 10;
        function Foo (I : Index) return Character;
     end Pkg_2;
     with Pkg_1;
     package body Pkg_2 is
        Copied : constant String := Pkg_1.Global_Var;
        function Foo (I : Index) return Character is
          begin return Copied (I); end;
     end Pkg_2;
</t>
  </si>
  <si>
    <t xml:space="preserve">The ADA RM currently has the rule:
   A package_declaration or generic_package_declaration requires
   a completion [(a body)] if it contains any basic_declarative_item
   that requires a completion, but whose completion is not in
   its package_specification.
Thus, we probably need to add an explicit rule that a package for which
an Abstract_State aspect specification is given requires a body.
One might think this falls out because we have already said that
a state abstraction declaration requires a completion, but a
state abstraction is not declared via a basic_declarative_item and
so the above rule doesn't apply.
</t>
  </si>
  <si>
    <t>Rule added to section 7.1.2 (Abstract State aspect).</t>
  </si>
  <si>
    <t xml:space="preserve">We've got:
   If a constituent has the same name as an abstract_state_name it
   can only be a constituent of that abstract_state_name and it must be
   the only constituent of the abstract_state_name.
This goes away as part of abandoning overloadable state abstractions.
Ditto for
   If an abstract_state_name and its constituent have the same name this
   represents the simple mapping of an abstract state_name on to a
   concrete variable of the same name.
</t>
  </si>
  <si>
    <t xml:space="preserve">Do we really need to repeat all the rules like
   If a property_list includes the simple_property “Volatile”, then
   the same property_list ...
It seems like we should somehow be able to avoid this repetition.
</t>
  </si>
  <si>
    <t xml:space="preserve"> Need to add a SPARK 2014 vision statement - clearly highlighting that SPARK positioning as changed to include Test AND Proof capabilities.</t>
  </si>
  <si>
    <t xml:space="preserve">QO1 </t>
  </si>
  <si>
    <t xml:space="preserve"> SALE</t>
  </si>
  <si>
    <t>Q02</t>
  </si>
  <si>
    <t>Q03</t>
  </si>
  <si>
    <t>Q04</t>
  </si>
  <si>
    <t xml:space="preserve"> Chapter 1, Introduction</t>
  </si>
  <si>
    <t xml:space="preserve"> Chapter 1, Introduction, 1.2 SPARK 2014 Design Goals</t>
  </si>
  <si>
    <t>Chapter 1, Introduction</t>
  </si>
  <si>
    <t>Page 4-7:  Change the order of points 1.3-1.8 to the following
1.3 Combining Formal Verification and Testing
1.4 Optional Restrictions and Profiles
1.5 Constructive and Retrospective Verification Modes
1.6 Profiles and Analyses
1.7 Principal Language Restrictions
1.8 Static Checking</t>
  </si>
  <si>
    <t xml:space="preserve"> REQ-SM1  </t>
  </si>
  <si>
    <t xml:space="preserve"> REQ-SM2</t>
  </si>
  <si>
    <t xml:space="preserve"> REQ-SM3</t>
  </si>
  <si>
    <t xml:space="preserve"> REQ-SM4</t>
  </si>
  <si>
    <t xml:space="preserve"> REQ-SM5</t>
  </si>
  <si>
    <t xml:space="preserve"> REQ-SM6</t>
  </si>
  <si>
    <t xml:space="preserve"> REQ-SM7</t>
  </si>
  <si>
    <t xml:space="preserve"> REQ-SM8</t>
  </si>
  <si>
    <t xml:space="preserve"> REQ-SM9</t>
  </si>
  <si>
    <t xml:space="preserve"> REQ-SM10</t>
  </si>
  <si>
    <t xml:space="preserve"> REQ-SM11</t>
  </si>
  <si>
    <t xml:space="preserve"> REQ-SM12</t>
  </si>
  <si>
    <t xml:space="preserve"> REQ-SM13</t>
  </si>
  <si>
    <t xml:space="preserve"> REQ-SM14</t>
  </si>
  <si>
    <t xml:space="preserve"> REQ-SM15</t>
  </si>
  <si>
    <t xml:space="preserve"> REQ-SM20</t>
  </si>
  <si>
    <t xml:space="preserve"> REQ-SM21</t>
  </si>
  <si>
    <t xml:space="preserve"> REQ-SM22</t>
  </si>
  <si>
    <t xml:space="preserve"> REQ-SM23</t>
  </si>
  <si>
    <t xml:space="preserve"> REQ-SM24</t>
  </si>
  <si>
    <t xml:space="preserve"> REQ-SM25</t>
  </si>
  <si>
    <t xml:space="preserve"> REQ-SM26</t>
  </si>
  <si>
    <t xml:space="preserve"> REQ-SM27</t>
  </si>
  <si>
    <t xml:space="preserve"> REQ-SM28</t>
  </si>
  <si>
    <t xml:space="preserve"> REQ-SM30</t>
  </si>
  <si>
    <t xml:space="preserve"> REQ-SM31</t>
  </si>
  <si>
    <t xml:space="preserve"> REQ-SM32</t>
  </si>
  <si>
    <t xml:space="preserve"> REQ-SM34</t>
  </si>
  <si>
    <t xml:space="preserve"> REQ-SM35</t>
  </si>
  <si>
    <t xml:space="preserve"> REQ-SM36</t>
  </si>
  <si>
    <t xml:space="preserve"> REQ-SM37</t>
  </si>
  <si>
    <t xml:space="preserve"> REQ-SM38</t>
  </si>
  <si>
    <t xml:space="preserve"> REQ-SM39</t>
  </si>
  <si>
    <t xml:space="preserve"> REQ-SM40</t>
  </si>
  <si>
    <t xml:space="preserve"> REQ-SM41</t>
  </si>
  <si>
    <t xml:space="preserve"> REQ-SM42</t>
  </si>
  <si>
    <t xml:space="preserve"> REQ-SM44</t>
  </si>
  <si>
    <t xml:space="preserve"> REQ-SM45</t>
  </si>
  <si>
    <t xml:space="preserve"> REQ-CC46</t>
  </si>
  <si>
    <t xml:space="preserve"> REQ-CC47</t>
  </si>
  <si>
    <t xml:space="preserve"> REQ-CC48</t>
  </si>
  <si>
    <t xml:space="preserve"> REQ-CC49</t>
  </si>
  <si>
    <t xml:space="preserve"> REQ-CC50</t>
  </si>
  <si>
    <t xml:space="preserve"> REQ-CC51</t>
  </si>
  <si>
    <t xml:space="preserve"> REQ-CC52</t>
  </si>
  <si>
    <t xml:space="preserve"> REQ-CC53</t>
  </si>
  <si>
    <t xml:space="preserve"> REQ-CC54</t>
  </si>
  <si>
    <t xml:space="preserve"> REQ-CC55</t>
  </si>
  <si>
    <t xml:space="preserve"> REQ-CC56</t>
  </si>
  <si>
    <t xml:space="preserve"> REQ-CC57</t>
  </si>
  <si>
    <t xml:space="preserve"> REQ-CC58</t>
  </si>
  <si>
    <t xml:space="preserve"> REQ-CC59</t>
  </si>
  <si>
    <t xml:space="preserve"> REQ-CC61</t>
  </si>
  <si>
    <t xml:space="preserve"> REQ-CC62</t>
  </si>
  <si>
    <t xml:space="preserve"> REQ-CC64</t>
  </si>
  <si>
    <t xml:space="preserve"> REQ-CC66</t>
  </si>
  <si>
    <t xml:space="preserve"> REQ-CC67</t>
  </si>
  <si>
    <t xml:space="preserve"> REQ-CC68</t>
  </si>
  <si>
    <t xml:space="preserve"> REQ-CC69</t>
  </si>
  <si>
    <t xml:space="preserve"> REQ-CC70</t>
  </si>
  <si>
    <t>REQ-NW71</t>
  </si>
  <si>
    <t xml:space="preserve"> REQ-NW72</t>
  </si>
  <si>
    <t xml:space="preserve"> REQ-NW73</t>
  </si>
  <si>
    <t xml:space="preserve"> REQ-NW74</t>
  </si>
  <si>
    <t xml:space="preserve"> REQ-NW75</t>
  </si>
  <si>
    <t xml:space="preserve"> REQ-NW76</t>
  </si>
  <si>
    <t xml:space="preserve"> REQ-NW77</t>
  </si>
  <si>
    <t xml:space="preserve"> REQ-NW78</t>
  </si>
  <si>
    <t xml:space="preserve"> REQ-NW79</t>
  </si>
  <si>
    <t xml:space="preserve"> REQ-NW80</t>
  </si>
  <si>
    <t xml:space="preserve"> REQ-NW81</t>
  </si>
  <si>
    <t xml:space="preserve"> REQ-NW82</t>
  </si>
  <si>
    <t xml:space="preserve"> REQ-NW83</t>
  </si>
  <si>
    <t xml:space="preserve"> REQ-NW84</t>
  </si>
  <si>
    <t xml:space="preserve"> REQ-NW85</t>
  </si>
  <si>
    <t xml:space="preserve"> REQ-NW86</t>
  </si>
  <si>
    <t xml:space="preserve"> REQ-NW87</t>
  </si>
  <si>
    <t xml:space="preserve"> REQ-NW88</t>
  </si>
  <si>
    <t xml:space="preserve"> REQ-NW89</t>
  </si>
  <si>
    <t xml:space="preserve"> REQ-NW90</t>
  </si>
  <si>
    <t xml:space="preserve"> REQ-NW91</t>
  </si>
  <si>
    <t xml:space="preserve"> REQ-NW92</t>
  </si>
  <si>
    <t xml:space="preserve"> REQ-NW93</t>
  </si>
  <si>
    <t xml:space="preserve"> REQ-NW94</t>
  </si>
  <si>
    <t xml:space="preserve"> REQ-NW95</t>
  </si>
  <si>
    <t xml:space="preserve"> REQ-NW96</t>
  </si>
  <si>
    <t xml:space="preserve"> REQ-NW97</t>
  </si>
  <si>
    <t xml:space="preserve"> REQ-NW98</t>
  </si>
  <si>
    <t xml:space="preserve"> REQ-NW99</t>
  </si>
  <si>
    <t xml:space="preserve"> Mentioning ATM and avionics seems too domain specific - we don't want to deter customers in other sectors?</t>
  </si>
  <si>
    <t xml:space="preserve"> "Implementation" = "Compiler"?</t>
  </si>
  <si>
    <t xml:space="preserve"> "rejected" sounds as though it isn't portable between compilers - that's not what you mean, right?</t>
  </si>
  <si>
    <t xml:space="preserve"> Insert "automatic" before "formal verification" - the theory doesn't change, only what is practically possible.</t>
  </si>
  <si>
    <t xml:space="preserve"> "may" =&gt; "will"?</t>
  </si>
  <si>
    <t xml:space="preserve"> I'm not sure that "simplification" is the same thing as "restriction", so stick to the latter.</t>
  </si>
  <si>
    <t xml:space="preserve"> "of" =&gt; "from"</t>
  </si>
  <si>
    <t xml:space="preserve"> Should say "Tasking is not permitted" and then add a section of "Future Enhancements"; this will also be the place to put the rel2+ ToDos.</t>
  </si>
  <si>
    <t xml:space="preserve"> I'm not sure what comes after the "if" is true - there is more than this to the rationale for what is in the subset.</t>
  </si>
  <si>
    <t xml:space="preserve"> "must" ^be able to "compile successfully".</t>
  </si>
  <si>
    <t xml:space="preserve"> Overloading word "restriction".</t>
  </si>
  <si>
    <t xml:space="preserve"> Access types not mentioned in App B.</t>
  </si>
  <si>
    <t xml:space="preserve"> We need to provide a reference for where we define this process.</t>
  </si>
  <si>
    <t xml:space="preserve"> Does this section come to a conclusion about was is / isn't in SPARK 2014?</t>
  </si>
  <si>
    <t xml:space="preserve"> "complicate" =&gt; "are not amenable to".</t>
  </si>
  <si>
    <t xml:space="preserve"> The paragraph in []s looks like a comment?</t>
  </si>
  <si>
    <t xml:space="preserve"> Doesn't the example belong in Section 5.5.3?</t>
  </si>
  <si>
    <t xml:space="preserve"> What does it mean for a function declaration to "update a name"?</t>
  </si>
  <si>
    <t xml:space="preserve"> This is an example of a rel2+ ToDO that should be in a separate chapter/appendix.</t>
  </si>
  <si>
    <t xml:space="preserve"> I prefer version 2.</t>
  </si>
  <si>
    <t xml:space="preserve"> Include "Aspect" in all subsection names that are about aspects.</t>
  </si>
  <si>
    <t xml:space="preserve"> "a" or "exactly one of the given"?</t>
  </si>
  <si>
    <t xml:space="preserve"> Suggest "others" is one reserved font where appropriate. And there is confusion in here about whether others is in itself a contract guard.</t>
  </si>
  <si>
    <t xml:space="preserve"> Is it possible to get ReST to generate numeric section cross-refs?!</t>
  </si>
  <si>
    <t xml:space="preserve"> Have we captured the old rules about flow=auto mode.</t>
  </si>
  <si>
    <t xml:space="preserve"> Have we addressed the problem of default integrities that I raised in L713-009?</t>
  </si>
  <si>
    <t xml:space="preserve"> Are there really no verification rules for type invariants - or do they belong with the subprogram body?</t>
  </si>
  <si>
    <t xml:space="preserve"> Delete "currently". The aim to add it should go in the Futures appendix.</t>
  </si>
  <si>
    <t xml:space="preserve"> Should we be talking about GNAT here - maybe ok if it's introduced earlier.</t>
  </si>
  <si>
    <t xml:space="preserve"> There are no profiles!! This needs at least a ToDo.</t>
  </si>
  <si>
    <t xml:space="preserve"> This doesn't look like the complete list eg. Section 5.</t>
  </si>
  <si>
    <t xml:space="preserve"> "structured" =&gt; "mapped" or "restructured".</t>
  </si>
  <si>
    <t xml:space="preserve"> Is the type inference explained anywhere? - Otherwise how do you know there isn't a completeness problem?</t>
  </si>
  <si>
    <t xml:space="preserve"> a comma would be welcome before "is performed"</t>
  </si>
  <si>
    <t xml:space="preserve"> The purpose of this section is unclear and its name particularly vague. I'd like to review the rationale for this section before commenting further.</t>
  </si>
  <si>
    <t xml:space="preserve"> what is the point of this paragraph? if we retain it, I suggest getting rid of all the "(" &amp; ")" which confuse things even more.</t>
  </si>
  <si>
    <t xml:space="preserve"> "The GNAT Pro Ada 2012 implementation"???? replace with "the GNAT Pro compiler"</t>
  </si>
  <si>
    <t xml:space="preserve"> the whole section has little value and is a repeat of what was said in 1.3</t>
  </si>
  <si>
    <t xml:space="preserve"> we need to make it clearer that the "constructive mode" is still fully supported.</t>
  </si>
  <si>
    <t xml:space="preserve"> why can't an entire object have a "out" or "proof" effective mode? That doesn't seem obvious...</t>
  </si>
  <si>
    <t xml:space="preserve"> why isn't there a similar rule for 'out' and 'proof' ?</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</si>
  <si>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</si>
  <si>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</si>
  <si>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Add new bullet point   "As expressive as SPARK 83/95/05"?</t>
  </si>
  <si>
    <t xml:space="preserve">        Inconsistent with goals. Only a restiction in the inial tool, not the language?</t>
  </si>
  <si>
    <t xml:space="preserve">        So how do other compilers work? Ignore? Skip?</t>
  </si>
  <si>
    <t xml:space="preserve">        Add "also" before "facilitate".</t>
  </si>
  <si>
    <t xml:space="preserve">        Do not like "by makeing some assumptions," text. Reowrd.</t>
  </si>
  <si>
    <t xml:space="preserve">        Do we allow top-level handlers? Mosk SPARK programs have them!</t>
  </si>
  <si>
    <t xml:space="preserve">        Unchecked conversions useful? Retain?</t>
  </si>
  <si>
    <t xml:space="preserve">        For procedure Swap_Array_Elements, why do we need X /= Y?</t>
  </si>
  <si>
    <t xml:space="preserve">        For procedure Init in spec, why do we need X'Length?</t>
  </si>
  <si>
    <t xml:space="preserve">        For function Is_Empty, with Refined_Post, is this really refined?</t>
  </si>
  <si>
    <t xml:space="preserve">        Correct code format to be consistent.</t>
  </si>
  <si>
    <t xml:space="preserve">        For procedure Push, syntax "=&gt;+", used without introduction?</t>
  </si>
  <si>
    <t xml:space="preserve">        Correct code font to be consistent.</t>
  </si>
  <si>
    <t xml:space="preserve">        Change second instance of "Specification in SPARK 2014" to "Body in SPARK 2014".</t>
  </si>
  <si>
    <t xml:space="preserve">        Remove second sentence to be consistent   put the body of the SPARK 2014 version of the code at the end.</t>
  </si>
  <si>
    <t xml:space="preserve">        For package body Switch, what if state is not all volatile?</t>
  </si>
  <si>
    <t xml:space="preserve">        "SPARK tools"   is this the correct phrase?</t>
  </si>
  <si>
    <t>Page/para</t>
  </si>
  <si>
    <t xml:space="preserve"> 2-14</t>
  </si>
  <si>
    <t xml:space="preserve"> 1 (and 1.3 4/2)</t>
  </si>
  <si>
    <t xml:space="preserve"> 1.2 (and 1.5 6/3)</t>
  </si>
  <si>
    <t xml:space="preserve"> 4.3.4</t>
  </si>
  <si>
    <t xml:space="preserve"> 5.5.3</t>
  </si>
  <si>
    <t xml:space="preserve"> 6.1.1</t>
  </si>
  <si>
    <t xml:space="preserve"> 6.1.2</t>
  </si>
  <si>
    <t xml:space="preserve"> 6.1.3</t>
  </si>
  <si>
    <t xml:space="preserve"> 6.1.4 (and elsewhere)</t>
  </si>
  <si>
    <t xml:space="preserve"> 7.1.3</t>
  </si>
  <si>
    <t xml:space="preserve"> 7.3.2</t>
  </si>
  <si>
    <t xml:space="preserve"> App A</t>
  </si>
  <si>
    <t xml:space="preserve"> App B</t>
  </si>
  <si>
    <t xml:space="preserve"> C.1.1</t>
  </si>
  <si>
    <t xml:space="preserve"> </t>
  </si>
  <si>
    <t xml:space="preserve">        Appendix A</t>
  </si>
  <si>
    <t xml:space="preserve">        Appendix C.1.2</t>
  </si>
  <si>
    <t xml:space="preserve">        Appendix C.1.3</t>
  </si>
  <si>
    <t xml:space="preserve">        Appendix C.2.1</t>
  </si>
  <si>
    <t xml:space="preserve">        Appendix C.2.2</t>
  </si>
  <si>
    <t xml:space="preserve">        C.2.3</t>
  </si>
  <si>
    <t xml:space="preserve">        Appendix C.2.4</t>
  </si>
  <si>
    <t xml:space="preserve">        Appendix C.3.1</t>
  </si>
  <si>
    <t xml:space="preserve">        N/A</t>
  </si>
  <si>
    <t xml:space="preserve"> 3/2</t>
  </si>
  <si>
    <t xml:space="preserve"> 3/3</t>
  </si>
  <si>
    <t xml:space="preserve"> 3/4</t>
  </si>
  <si>
    <t xml:space="preserve"> 4/1</t>
  </si>
  <si>
    <t xml:space="preserve"> 4/7</t>
  </si>
  <si>
    <t xml:space="preserve"> 4/9</t>
  </si>
  <si>
    <t xml:space="preserve"> 5/2</t>
  </si>
  <si>
    <t xml:space="preserve"> 7/7</t>
  </si>
  <si>
    <t xml:space="preserve"> 17/1</t>
  </si>
  <si>
    <t xml:space="preserve"> 18/?</t>
  </si>
  <si>
    <t xml:space="preserve"> 21/?</t>
  </si>
  <si>
    <t xml:space="preserve"> 23/?</t>
  </si>
  <si>
    <t xml:space="preserve"> 24/1</t>
  </si>
  <si>
    <t xml:space="preserve"> 24/?</t>
  </si>
  <si>
    <t xml:space="preserve"> 25/final</t>
  </si>
  <si>
    <t xml:space="preserve"> 26/3&amp;4</t>
  </si>
  <si>
    <t xml:space="preserve"> 26/1</t>
  </si>
  <si>
    <t xml:space="preserve"> 38/?</t>
  </si>
  <si>
    <t xml:space="preserve"> 46/?</t>
  </si>
  <si>
    <t xml:space="preserve"> 60/?</t>
  </si>
  <si>
    <t xml:space="preserve"> 65/1</t>
  </si>
  <si>
    <t xml:space="preserve"> 77/?</t>
  </si>
  <si>
    <t xml:space="preserve"> 80/</t>
  </si>
  <si>
    <t xml:space="preserve"> 81/?</t>
  </si>
  <si>
    <t xml:space="preserve"> 83/?</t>
  </si>
  <si>
    <t xml:space="preserve"> 5-6</t>
  </si>
  <si>
    <t xml:space="preserve"> 5 4th paragraph from bottom</t>
  </si>
  <si>
    <t xml:space="preserve"> page 6, 2nd paragraph</t>
  </si>
  <si>
    <t xml:space="preserve"> 6, last para</t>
  </si>
  <si>
    <t xml:space="preserve"> page 25, static semantics</t>
  </si>
  <si>
    <t xml:space="preserve"> page 27, 5., last bullet</t>
  </si>
  <si>
    <t xml:space="preserve"> page 27, 1.,</t>
  </si>
  <si>
    <t xml:space="preserve"> page 27, 3.</t>
  </si>
  <si>
    <t xml:space="preserve"> page 28, 6.1.5</t>
  </si>
  <si>
    <t xml:space="preserve"> page 32</t>
  </si>
  <si>
    <t xml:space="preserve"> page 36 Verification rules</t>
  </si>
  <si>
    <t xml:space="preserve"> page 36, 6.3.3, 4.</t>
  </si>
  <si>
    <t xml:space="preserve"> page 36, 6.3.3 checked by proof, 1. &amp; 2.</t>
  </si>
  <si>
    <t xml:space="preserve"> page 38, 6.4</t>
  </si>
  <si>
    <t xml:space="preserve">      3/1</t>
  </si>
  <si>
    <t xml:space="preserve">      3/Bullet 3</t>
  </si>
  <si>
    <t xml:space="preserve">      3/Bullet 4</t>
  </si>
  <si>
    <t xml:space="preserve">      4/Add new bullet?</t>
  </si>
  <si>
    <t xml:space="preserve">      4/1 Bullet 6</t>
  </si>
  <si>
    <t xml:space="preserve">      6/3</t>
  </si>
  <si>
    <t xml:space="preserve">      6/2</t>
  </si>
  <si>
    <t xml:space="preserve">      7/4</t>
  </si>
  <si>
    <t xml:space="preserve">      69/?</t>
  </si>
  <si>
    <t xml:space="preserve">      73/1</t>
  </si>
  <si>
    <t xml:space="preserve">      79/6.3 Note</t>
  </si>
  <si>
    <t xml:space="preserve">      84/Specification in SPARK 2005</t>
  </si>
  <si>
    <t xml:space="preserve">      85/Specification in SPARK 2005</t>
  </si>
  <si>
    <t xml:space="preserve">      89/Private type with refined pre/post contracts in the body</t>
  </si>
  <si>
    <t xml:space="preserve">      90/Body in SPARK 2005</t>
  </si>
  <si>
    <t xml:space="preserve">      91/ Specification in SPARK 2014</t>
  </si>
  <si>
    <t xml:space="preserve">      92/Body in SPARK 2014</t>
  </si>
  <si>
    <t xml:space="preserve">      93/--#inherit Pairs_05.Additional_05</t>
  </si>
  <si>
    <t xml:space="preserve">      95/Specification in SPARK 2014</t>
  </si>
  <si>
    <t xml:space="preserve">      96 &amp; 97/Extension of tagged type in child package ADT</t>
  </si>
  <si>
    <t xml:space="preserve">      97/Second instance of Specification in SPARK 2014.</t>
  </si>
  <si>
    <t xml:space="preserve">      99/Body of public child A in SPARK 2005</t>
  </si>
  <si>
    <t xml:space="preserve">      99/1</t>
  </si>
  <si>
    <t xml:space="preserve">      109 &amp; 110/spec &amp; body of Private Children in SPARK 2005</t>
  </si>
  <si>
    <t xml:space="preserve">      111/Specification of Private Children on SPARK 2014</t>
  </si>
  <si>
    <t xml:space="preserve">      120/Switch body in SPARK 2014</t>
  </si>
  <si>
    <t xml:space="preserve">      128/Circular dependence and elaboration order</t>
  </si>
  <si>
    <t xml:space="preserve">      131/Assert (no loop) contract</t>
  </si>
  <si>
    <t xml:space="preserve">      N/A</t>
  </si>
  <si>
    <t xml:space="preserve">        General commnet, but thought of it here:  I hope we can clear up the horror that is public/private SPARK children in 2014
 Most projects of any size ban them as unworkably confusing!</t>
  </si>
  <si>
    <t xml:space="preserve">     Not that keen on your stack!               Clear (A);                Clear (B); push (B, x); pop(B, y);                Now you have A not equal to B</t>
  </si>
  <si>
    <t>For procedure Clear, S.Stack_Vector := Vector'(Index_Range =&gt; 0), why do we need this? pointless?</t>
  </si>
  <si>
    <t xml:space="preserve">        Re the bit about proof rules  Why does this matter? Does this add anything? Delete?</t>
  </si>
  <si>
    <t xml:space="preserve">        How do we deal with Non-GNAT users who don't have GNAT check?</t>
  </si>
  <si>
    <t xml:space="preserve"> No better alternative is currently available so not proposed to change this at the moment. [JIB]</t>
  </si>
  <si>
    <t xml:space="preserve"> The second sentence is unclear:  are the only mode allowed 'in', 'out','in out' as implied or  'proof' is also OK?</t>
  </si>
  <si>
    <t>No longer relevant as now only entire objects can be referenced in the relevant aspects. [JIB]</t>
  </si>
  <si>
    <t>This section has now been removed and the detail subsumed within the referencing sections. [JIB]</t>
  </si>
  <si>
    <t xml:space="preserve"> either is an indexed component:  so a(1) and a(1) are independent?</t>
  </si>
  <si>
    <t xml:space="preserve"> I think this needs an introduction and clarification: these are the optional restrictions.</t>
  </si>
  <si>
    <t>No action, RCC</t>
  </si>
  <si>
    <t>Related to the previous : We should be consistent about whether we provide examples (and/or refer to the mapping spec).</t>
  </si>
  <si>
    <t xml:space="preserve">  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contract is used if it exists, otherwise the implicit one is used.</t>
  </si>
  <si>
    <t xml:space="preserve"> AN-FS1</t>
  </si>
  <si>
    <t xml:space="preserve"> AN-JK4</t>
  </si>
  <si>
    <t xml:space="preserve"> AN-JK5</t>
  </si>
  <si>
    <t xml:space="preserve"> AN-FS6</t>
  </si>
  <si>
    <t xml:space="preserve"> AN-YM7</t>
  </si>
  <si>
    <t xml:space="preserve"> AN-JK8</t>
  </si>
  <si>
    <t xml:space="preserve"> AN-YM10</t>
  </si>
  <si>
    <t xml:space="preserve"> AN-FS11</t>
  </si>
  <si>
    <t xml:space="preserve"> AN-FS12</t>
  </si>
  <si>
    <t xml:space="preserve"> AN-FS13</t>
  </si>
  <si>
    <t xml:space="preserve"> AN-YM14</t>
  </si>
  <si>
    <t xml:space="preserve"> AN-YM15</t>
  </si>
  <si>
    <t xml:space="preserve"> AN-YM16</t>
  </si>
  <si>
    <t xml:space="preserve"> AN-YM17</t>
  </si>
  <si>
    <t xml:space="preserve"> AN-JK18</t>
  </si>
  <si>
    <t xml:space="preserve"> AN-FS19</t>
  </si>
  <si>
    <t xml:space="preserve"> AN-FS20</t>
  </si>
  <si>
    <t xml:space="preserve"> AN-FS21</t>
  </si>
  <si>
    <t xml:space="preserve"> AN-YM22</t>
  </si>
  <si>
    <t xml:space="preserve"> AN-JK23</t>
  </si>
  <si>
    <t>AN-JK4</t>
  </si>
  <si>
    <t xml:space="preserve"> general</t>
  </si>
  <si>
    <t xml:space="preserve"> 6.1.4</t>
  </si>
  <si>
    <t xml:space="preserve"> 6.1.5</t>
  </si>
  <si>
    <t xml:space="preserve"> 6.1.6</t>
  </si>
  <si>
    <t xml:space="preserve"> 6.1.7</t>
  </si>
  <si>
    <t xml:space="preserve"> 6.3.4</t>
  </si>
  <si>
    <t xml:space="preserve"> 6.4.3</t>
  </si>
  <si>
    <t xml:space="preserve"> 7.1.1</t>
  </si>
  <si>
    <t xml:space="preserve"> 7.1.2</t>
  </si>
  <si>
    <t xml:space="preserve"> 7.1.4 and 7.1.5</t>
  </si>
  <si>
    <t xml:space="preserve"> 7.2.2 | null abstract state</t>
  </si>
  <si>
    <t xml:space="preserve"> 7.2.4</t>
  </si>
  <si>
    <t xml:space="preserve"> 18 .. 19</t>
  </si>
  <si>
    <t xml:space="preserve"> 23/5</t>
  </si>
  <si>
    <t xml:space="preserve"> 38/4</t>
  </si>
  <si>
    <t xml:space="preserve"> 40/4</t>
  </si>
  <si>
    <t xml:space="preserve"> verification rules</t>
  </si>
  <si>
    <t xml:space="preserve"> 55/2</t>
  </si>
  <si>
    <t xml:space="preserve"> I am missing in this document a comprehensive list of  attributes and when they can be used.</t>
  </si>
  <si>
    <t xml:space="preserve">  Why is the initialization expression of a variable required to be in S14 for the variable to be in S14?</t>
  </si>
  <si>
    <t xml:space="preserve"> We may want a restriction which requires each while loop to have a Loop_Variant pragma.</t>
  </si>
  <si>
    <t xml:space="preserve">  FS: Remove for release 1 JK: leave out for the first release</t>
  </si>
  <si>
    <t xml:space="preserve"> Remove all the conditional stuff.</t>
  </si>
  <si>
    <t xml:space="preserve"> Remove comments about "good practice"</t>
  </si>
  <si>
    <t xml:space="preserve"> I am not sure what flow analysis is meant to check here.</t>
  </si>
  <si>
    <t xml:space="preserve"> There should be a restriction that volatile variables are not allowed in assertions, since that amount to a side-effect.</t>
  </si>
  <si>
    <t>No longer relevant as the conditional modes and param aspect have been removed. [JIB]</t>
  </si>
  <si>
    <t>This has been done. [JIB]</t>
  </si>
  <si>
    <t xml:space="preserve"> Comment removed. [JIB]</t>
  </si>
  <si>
    <t xml:space="preserve"> Comments added to make clear when the checks are carried out. [JIB]</t>
  </si>
  <si>
    <t xml:space="preserve"> Package-level Depends aspect gives this for packages; TJJ to check that the treatment of generics is sufficient.</t>
  </si>
  <si>
    <t xml:space="preserve"> EXT-JEB1</t>
  </si>
  <si>
    <t xml:space="preserve"> EXT-JEB2</t>
  </si>
  <si>
    <t xml:space="preserve"> EXT-JEB3</t>
  </si>
  <si>
    <t xml:space="preserve"> EXT-JEB4</t>
  </si>
  <si>
    <t xml:space="preserve"> EXT-JEB5</t>
  </si>
  <si>
    <t xml:space="preserve"> EXT-JEB6</t>
  </si>
  <si>
    <t xml:space="preserve"> EXT-JEB7</t>
  </si>
  <si>
    <t xml:space="preserve"> EXT-JEB9</t>
  </si>
  <si>
    <t xml:space="preserve"> EXT-JEB11</t>
  </si>
  <si>
    <t xml:space="preserve"> EXT-JEB13</t>
  </si>
  <si>
    <t xml:space="preserve"> EXT-JEB14</t>
  </si>
  <si>
    <t xml:space="preserve"> EXT-JEB16</t>
  </si>
  <si>
    <t xml:space="preserve"> EXT-JEB17</t>
  </si>
  <si>
    <t xml:space="preserve"> EXT-JEB19</t>
  </si>
  <si>
    <t xml:space="preserve"> EXT-JEB24</t>
  </si>
  <si>
    <t xml:space="preserve"> EXT-JEB25</t>
  </si>
  <si>
    <t xml:space="preserve"> EXT-JEB26</t>
  </si>
  <si>
    <t xml:space="preserve"> EXT-JEB28</t>
  </si>
  <si>
    <t xml:space="preserve"> EXT-JEB29</t>
  </si>
  <si>
    <t xml:space="preserve"> EXT-JEB42</t>
  </si>
  <si>
    <t xml:space="preserve"> EXT-JEB43</t>
  </si>
  <si>
    <t xml:space="preserve"> EXT-JEB47</t>
  </si>
  <si>
    <t xml:space="preserve"> EXT-JEB48</t>
  </si>
  <si>
    <t xml:space="preserve"> EXT-JEB49</t>
  </si>
  <si>
    <t xml:space="preserve"> EXT-JEB53</t>
  </si>
  <si>
    <t xml:space="preserve"> EXT-JEB54</t>
  </si>
  <si>
    <t xml:space="preserve"> EXT-JEB55</t>
  </si>
  <si>
    <t xml:space="preserve"> EXT-JEB57</t>
  </si>
  <si>
    <t xml:space="preserve"> EXT-JEB58</t>
  </si>
  <si>
    <t xml:space="preserve"> EXT-JEB59</t>
  </si>
  <si>
    <t xml:space="preserve"> EXT-JEB60</t>
  </si>
  <si>
    <t xml:space="preserve"> EXT-AH61</t>
  </si>
  <si>
    <t xml:space="preserve"> EXT-AH62</t>
  </si>
  <si>
    <t xml:space="preserve"> EXT-AH63</t>
  </si>
  <si>
    <t xml:space="preserve"> EXT-AH64</t>
  </si>
  <si>
    <t xml:space="preserve"> EXT-AH65</t>
  </si>
  <si>
    <t xml:space="preserve"> EXT-AH66</t>
  </si>
  <si>
    <t xml:space="preserve"> EXT-AH67</t>
  </si>
  <si>
    <t xml:space="preserve"> EXT-AH68</t>
  </si>
  <si>
    <t xml:space="preserve"> Generally</t>
  </si>
  <si>
    <t xml:space="preserve"> 7.2.2</t>
  </si>
  <si>
    <t xml:space="preserve"> 7.2.6</t>
  </si>
  <si>
    <t xml:space="preserve"> 14.1.2</t>
  </si>
  <si>
    <t xml:space="preserve"> Appendix A</t>
  </si>
  <si>
    <t xml:space="preserve"> Appendix B</t>
  </si>
  <si>
    <t xml:space="preserve"> C.2</t>
  </si>
  <si>
    <t xml:space="preserve"> C.4.6</t>
  </si>
  <si>
    <t xml:space="preserve"> 4.1.3</t>
  </si>
  <si>
    <t xml:space="preserve"> 4.1.4</t>
  </si>
  <si>
    <t xml:space="preserve"> 4.3.3</t>
  </si>
  <si>
    <t xml:space="preserve"> Annex A</t>
  </si>
  <si>
    <t xml:space="preserve"> General</t>
  </si>
  <si>
    <t xml:space="preserve"> page 6</t>
  </si>
  <si>
    <t xml:space="preserve"> List item 1.</t>
  </si>
  <si>
    <t xml:space="preserve"> page 11, para 1</t>
  </si>
  <si>
    <t xml:space="preserve"> page 13</t>
  </si>
  <si>
    <t xml:space="preserve"> Item 1 Legality Rules</t>
  </si>
  <si>
    <t xml:space="preserve"> First Para</t>
  </si>
  <si>
    <t xml:space="preserve"> Dynamic Semantics item 1.</t>
  </si>
  <si>
    <t xml:space="preserve"> page 27, Static Semantics item 5, final bullet</t>
  </si>
  <si>
    <t xml:space="preserve"> page 27, Static semantics item 6, subitem 1.</t>
  </si>
  <si>
    <t xml:space="preserve"> page 29, para 5(a)</t>
  </si>
  <si>
    <t xml:space="preserve"> page 30, final example</t>
  </si>
  <si>
    <t xml:space="preserve"> Legality Rules</t>
  </si>
  <si>
    <t xml:space="preserve"> page 33, Legality Rules</t>
  </si>
  <si>
    <t xml:space="preserve"> Legality Rules item 8</t>
  </si>
  <si>
    <t xml:space="preserve"> Verification Rules, item 1</t>
  </si>
  <si>
    <t xml:space="preserve"> page 58 Verification Rules item 1 bullet 2 sub-bullet 2</t>
  </si>
  <si>
    <t xml:space="preserve"> Todo</t>
  </si>
  <si>
    <t xml:space="preserve"> Page 95, Line 12 of first program.</t>
  </si>
  <si>
    <t xml:space="preserve"> Page 100 and probably more generally</t>
  </si>
  <si>
    <t xml:space="preserve"> Page 116</t>
  </si>
  <si>
    <t xml:space="preserve"> Page 124</t>
  </si>
  <si>
    <t xml:space="preserve"> Page 127</t>
  </si>
  <si>
    <t xml:space="preserve"> Page 137</t>
  </si>
  <si>
    <t xml:space="preserve"> There is no description of what is captured under the subheading "Checked by Proof" although this appears in the body of the document.</t>
  </si>
  <si>
    <t xml:space="preserve"> "that is not in SPARK 2014" suggest removing the word "in".</t>
  </si>
  <si>
    <t xml:space="preserve"> "does not add any declaration or type to Ada 2012" would read better using plural for "declarations" and "types".</t>
  </si>
  <si>
    <t xml:space="preserve"> How is "side-effect free" formally defined.</t>
  </si>
  <si>
    <t xml:space="preserve"> For consistency capitalise "aspect" in "Param aspect" or remove capitalisation of "aspect" in "Global Aspect and Dependency Aspect".</t>
  </si>
  <si>
    <t xml:space="preserve"> "specify a mutually independent cases" should be "specify mutually independent cases".</t>
  </si>
  <si>
    <t xml:space="preserve"> should "aspect_specification" be in the program font?</t>
  </si>
  <si>
    <t xml:space="preserve"> The mode selector values of "In" and "Out" do not match the options in the Syntax (these should be "Input"or "Output".</t>
  </si>
  <si>
    <t xml:space="preserve"> What about the "Proof" mode selector, the comment states that all types of global_specification are covered.</t>
  </si>
  <si>
    <t xml:space="preserve"> Should a mode_selector of "Proof" be prohibited here.</t>
  </si>
  <si>
    <t xml:space="preserve"> It is not clear to me what check is being performed here.</t>
  </si>
  <si>
    <t xml:space="preserve"> How can this clause hold in general, is it not made redundant by the next clause.</t>
  </si>
  <si>
    <t xml:space="preserve"> It would be very useful to list the packages supported by SPARK 2014.</t>
  </si>
  <si>
    <t xml:space="preserve"> Why do you write "Specifications in SPARK" but "Body in SPARK". I would have thought that the "Specifications" should be singular.</t>
  </si>
  <si>
    <t xml:space="preserve"> The choice of Outputs as the state name (similarly Input) in this section makes the annotations really hard to read in SPARK 2014.</t>
  </si>
  <si>
    <t xml:space="preserve"> Are the double set of brackets necessary in the second code fragment (line 2).</t>
  </si>
  <si>
    <t xml:space="preserve"> Done, RCC</t>
  </si>
  <si>
    <t xml:space="preserve"> Detail on independence no longer needed. [JIB]</t>
  </si>
  <si>
    <t xml:space="preserve"> Detail on effective mode has now been removed. [JIB]</t>
  </si>
  <si>
    <t xml:space="preserve"> This paragraph has now been removed, as has the detail on effective modes. [JIB]</t>
  </si>
  <si>
    <t xml:space="preserve"> Added to example. [JIB]</t>
  </si>
  <si>
    <t xml:space="preserve"> The detail on Param aspects has now been removed. [JIB]</t>
  </si>
  <si>
    <t xml:space="preserve"> This has been corrected during the removal of detail on conditional dependencies. [JIB]</t>
  </si>
  <si>
    <t xml:space="preserve"> Has been corrected. [JIB]</t>
  </si>
  <si>
    <t xml:space="preserve"> INSTRUCT-RPM1</t>
  </si>
  <si>
    <t xml:space="preserve"> INSTRUCT-RPM3</t>
  </si>
  <si>
    <t xml:space="preserve"> INSTRUCT-RPM4</t>
  </si>
  <si>
    <t xml:space="preserve"> INSTRUCT-RPM6</t>
  </si>
  <si>
    <t xml:space="preserve"> INSTRUCT-RPM7</t>
  </si>
  <si>
    <t xml:space="preserve"> INSTRUCT-RPM8</t>
  </si>
  <si>
    <t xml:space="preserve"> INSTRUCT-RPM15</t>
  </si>
  <si>
    <t xml:space="preserve"> INSTRUCT-RPM18</t>
  </si>
  <si>
    <t xml:space="preserve"> INSTRUCT-RPM21</t>
  </si>
  <si>
    <t xml:space="preserve"> INSTRUCT-RPM23</t>
  </si>
  <si>
    <t xml:space="preserve"> INSTRUCT-RPM26</t>
  </si>
  <si>
    <t xml:space="preserve"> Introduction</t>
  </si>
  <si>
    <t xml:space="preserve"> 6.4.2</t>
  </si>
  <si>
    <t xml:space="preserve"> p4, 1st bullet (and discussed further in 1.8)</t>
  </si>
  <si>
    <t xml:space="preserve"> p14</t>
  </si>
  <si>
    <t xml:space="preserve"> p15</t>
  </si>
  <si>
    <t xml:space="preserve"> p19, para 1</t>
  </si>
  <si>
    <t xml:space="preserve"> p19, middle</t>
  </si>
  <si>
    <t xml:space="preserve"> p21, just before 'Examples'</t>
  </si>
  <si>
    <t xml:space="preserve"> p29</t>
  </si>
  <si>
    <t xml:space="preserve"> p33, item 8</t>
  </si>
  <si>
    <t xml:space="preserve"> p35, final example (and preceding text too I guess)</t>
  </si>
  <si>
    <t xml:space="preserve"> p39, 1st para</t>
  </si>
  <si>
    <t xml:space="preserve"> The word 'null' appears quite often in SPARK 2014 aspects. I guess it is not a 'literal' when it is used in that context?</t>
  </si>
  <si>
    <t xml:space="preserve"> This doesn't make sense. Looks like some sort of editing error.</t>
  </si>
  <si>
    <t xml:space="preserve"> Conditional dependencies have now been removed. [JIB]</t>
  </si>
  <si>
    <t xml:space="preserve"> This has been updated so that only In_Out is used now. [JIB]</t>
  </si>
  <si>
    <t xml:space="preserve"> Now corrected. [JIB]</t>
  </si>
  <si>
    <t xml:space="preserve"> The syntax allows for this and an example is given of this case. [JIB]</t>
  </si>
  <si>
    <t xml:space="preserve"> LL-STT1</t>
  </si>
  <si>
    <t xml:space="preserve"> LL-STT2</t>
  </si>
  <si>
    <t xml:space="preserve"> LL-STT3</t>
  </si>
  <si>
    <t xml:space="preserve"> LL-STT4</t>
  </si>
  <si>
    <t xml:space="preserve"> LL-STT5 </t>
  </si>
  <si>
    <t xml:space="preserve"> LL-STT7 </t>
  </si>
  <si>
    <t xml:space="preserve"> LL-STT9</t>
  </si>
  <si>
    <t xml:space="preserve"> LL-STT10</t>
  </si>
  <si>
    <t xml:space="preserve"> LL-STT12</t>
  </si>
  <si>
    <t xml:space="preserve"> LL-STT13</t>
  </si>
  <si>
    <t xml:space="preserve"> LL-STT14</t>
  </si>
  <si>
    <t xml:space="preserve"> LL-STT15</t>
  </si>
  <si>
    <t xml:space="preserve"> LL-STT17</t>
  </si>
  <si>
    <t xml:space="preserve"> LL-STT18</t>
  </si>
  <si>
    <t xml:space="preserve"> LL-STT19</t>
  </si>
  <si>
    <t xml:space="preserve"> LL-STT20</t>
  </si>
  <si>
    <t xml:space="preserve"> LL-STT22</t>
  </si>
  <si>
    <t xml:space="preserve"> LL-STT23</t>
  </si>
  <si>
    <t xml:space="preserve"> LL-STT24</t>
  </si>
  <si>
    <t xml:space="preserve"> LL-STT25</t>
  </si>
  <si>
    <t xml:space="preserve"> LL-STT26</t>
  </si>
  <si>
    <t xml:space="preserve"> LL-STT27</t>
  </si>
  <si>
    <t xml:space="preserve"> LL-STT28</t>
  </si>
  <si>
    <t xml:space="preserve"> LL-STT29</t>
  </si>
  <si>
    <t xml:space="preserve"> C.1.1  </t>
  </si>
  <si>
    <t xml:space="preserve"> C.1.3   </t>
  </si>
  <si>
    <t xml:space="preserve"> C.2.1    </t>
  </si>
  <si>
    <t xml:space="preserve"> C.2.1   </t>
  </si>
  <si>
    <t xml:space="preserve"> C.2.1  </t>
  </si>
  <si>
    <t xml:space="preserve"> C.2.1 </t>
  </si>
  <si>
    <t xml:space="preserve"> C.2.2 </t>
  </si>
  <si>
    <t xml:space="preserve"> C.2.3 </t>
  </si>
  <si>
    <t xml:space="preserve"> A (6.2 Strict Modes) </t>
  </si>
  <si>
    <t xml:space="preserve"> A (7.2.2 Refined State Aspect) </t>
  </si>
  <si>
    <t xml:space="preserve"> B </t>
  </si>
  <si>
    <t xml:space="preserve">  </t>
  </si>
  <si>
    <t xml:space="preserve">    </t>
  </si>
  <si>
    <t xml:space="preserve">      </t>
  </si>
  <si>
    <t>(pp 91-92)</t>
  </si>
  <si>
    <t xml:space="preserve">         </t>
  </si>
  <si>
    <t xml:space="preserve">p. 100      </t>
  </si>
  <si>
    <t xml:space="preserve">p. 110       </t>
  </si>
  <si>
    <t xml:space="preserve">p. 115-116    </t>
  </si>
  <si>
    <t xml:space="preserve">p. 78 </t>
  </si>
  <si>
    <t>p. 80</t>
  </si>
  <si>
    <t>p. 81</t>
  </si>
  <si>
    <t>p. 73</t>
  </si>
  <si>
    <t xml:space="preserve">p. 73 </t>
  </si>
  <si>
    <t xml:space="preserve">p. 73  </t>
  </si>
  <si>
    <t xml:space="preserve"> p. 65      </t>
  </si>
  <si>
    <t>We need a term for the "SPARK-friendly" subset of features, which are not all in S14, but which allow for some amount of analysis.</t>
  </si>
  <si>
    <t>"Flow analysis" vs. "Data flow analysis" vs. "Info flow analysis."  Should we make a distinction?</t>
  </si>
  <si>
    <t>"I in Positive range X'First .. X'Last" =&gt; "I in X'Range"?</t>
  </si>
  <si>
    <t>"J in Positive range X'First .. I" =&gt; J in X'First .. I"?</t>
  </si>
  <si>
    <t>In Refined_Post for Clear, why do we need to say S.StackPointer = 0, since that is implied by Is_Empty(S)?</t>
  </si>
  <si>
    <t>The following looks funny "with Abstract_State =&gt; (S, Pointer), -- concrete state".  What is the explanation for this comment?</t>
  </si>
  <si>
    <t>The terms "import" and "export" are used here.  Don't we mean "input" and "output"?</t>
  </si>
  <si>
    <t>Rather than "Null_State_Refinement_Prohibited" use "No_Null_State_Refinement" to be consistent with other restriction identifiers.</t>
  </si>
  <si>
    <t>"As aspects specifications" ==&gt; "As aspect specifications"; "expression associated to the" ==&gt; "expression associated with the".</t>
  </si>
  <si>
    <t>Why no unchecked type conversions?  Can't these just be treated like "volatile"?</t>
  </si>
  <si>
    <t xml:space="preserve"> LL-GD30</t>
  </si>
  <si>
    <t xml:space="preserve"> LL-GD31</t>
  </si>
  <si>
    <t xml:space="preserve"> LL-GD32</t>
  </si>
  <si>
    <t xml:space="preserve"> LL-GD33</t>
  </si>
  <si>
    <t xml:space="preserve"> LL-GD34</t>
  </si>
  <si>
    <t xml:space="preserve"> LL-GD35</t>
  </si>
  <si>
    <t xml:space="preserve"> LL-GD38</t>
  </si>
  <si>
    <t xml:space="preserve"> LL-GD39</t>
  </si>
  <si>
    <t xml:space="preserve"> LL-GD40</t>
  </si>
  <si>
    <t xml:space="preserve"> LL-GD41</t>
  </si>
  <si>
    <t xml:space="preserve"> LL-GD45</t>
  </si>
  <si>
    <t xml:space="preserve"> LL-GD46</t>
  </si>
  <si>
    <t xml:space="preserve"> LL-GD47</t>
  </si>
  <si>
    <t xml:space="preserve"> LL-GD49</t>
  </si>
  <si>
    <t xml:space="preserve"> LL-GD51</t>
  </si>
  <si>
    <t xml:space="preserve"> LL-GD52 </t>
  </si>
  <si>
    <t xml:space="preserve"> LL-GD53</t>
  </si>
  <si>
    <t xml:space="preserve"> LL-GD54</t>
  </si>
  <si>
    <t xml:space="preserve"> LL-GD55</t>
  </si>
  <si>
    <t xml:space="preserve"> LL-GD57</t>
  </si>
  <si>
    <t xml:space="preserve"> LL-GD58</t>
  </si>
  <si>
    <t xml:space="preserve"> LL-GD60</t>
  </si>
  <si>
    <t xml:space="preserve"> LL-GD61</t>
  </si>
  <si>
    <t xml:space="preserve"> LL-GD63 </t>
  </si>
  <si>
    <t xml:space="preserve"> LL-GD64</t>
  </si>
  <si>
    <t xml:space="preserve"> LL-GD66 </t>
  </si>
  <si>
    <t xml:space="preserve"> LL-GD69</t>
  </si>
  <si>
    <t xml:space="preserve"> LL-GD71 </t>
  </si>
  <si>
    <t xml:space="preserve"> LL-GD72 </t>
  </si>
  <si>
    <t xml:space="preserve"> LL-GD77 </t>
  </si>
  <si>
    <t xml:space="preserve"> LL-GD78 </t>
  </si>
  <si>
    <t xml:space="preserve"> LL-GD79 </t>
  </si>
  <si>
    <t xml:space="preserve"> LL-RCC81 </t>
  </si>
  <si>
    <t xml:space="preserve"> 1.7 (1)</t>
  </si>
  <si>
    <t xml:space="preserve"> 1.9 (1)</t>
  </si>
  <si>
    <t xml:space="preserve"> 3.2 (1)</t>
  </si>
  <si>
    <t xml:space="preserve"> 3.2 (2)</t>
  </si>
  <si>
    <t xml:space="preserve"> 4.1.3 (1)</t>
  </si>
  <si>
    <t xml:space="preserve"> 4.3.4 (3)</t>
  </si>
  <si>
    <t xml:space="preserve"> 4.3.4 (4)</t>
  </si>
  <si>
    <t xml:space="preserve"> 4.3.4 (6)</t>
  </si>
  <si>
    <t xml:space="preserve"> 4.4 (1) </t>
  </si>
  <si>
    <t xml:space="preserve"> 5.5.3 </t>
  </si>
  <si>
    <t xml:space="preserve"> 5.9 (2-3) </t>
  </si>
  <si>
    <t xml:space="preserve"> 3/1</t>
  </si>
  <si>
    <t xml:space="preserve"> 3/5</t>
  </si>
  <si>
    <t xml:space="preserve"> 3/9</t>
  </si>
  <si>
    <t xml:space="preserve"> 4/10</t>
  </si>
  <si>
    <t xml:space="preserve"> 4/11</t>
  </si>
  <si>
    <t xml:space="preserve"> 4/14</t>
  </si>
  <si>
    <t xml:space="preserve"> 4/21</t>
  </si>
  <si>
    <t xml:space="preserve"> 6/?</t>
  </si>
  <si>
    <t xml:space="preserve"> 7/?</t>
  </si>
  <si>
    <t xml:space="preserve"> 10/2</t>
  </si>
  <si>
    <t xml:space="preserve"> 11/3</t>
  </si>
  <si>
    <t xml:space="preserve"> 11/4</t>
  </si>
  <si>
    <t xml:space="preserve"> 11/6</t>
  </si>
  <si>
    <t xml:space="preserve"> 12/1</t>
  </si>
  <si>
    <t xml:space="preserve"> 12/3</t>
  </si>
  <si>
    <t xml:space="preserve"> 13/1</t>
  </si>
  <si>
    <t xml:space="preserve"> 13/5</t>
  </si>
  <si>
    <t xml:space="preserve"> 13/2</t>
  </si>
  <si>
    <t xml:space="preserve"> 14/8</t>
  </si>
  <si>
    <t xml:space="preserve"> 14/9</t>
  </si>
  <si>
    <t xml:space="preserve"> 15/?</t>
  </si>
  <si>
    <t xml:space="preserve"> 16/1 </t>
  </si>
  <si>
    <t xml:space="preserve"> 19/3 </t>
  </si>
  <si>
    <t xml:space="preserve"> 20/?</t>
  </si>
  <si>
    <t xml:space="preserve"> 21/1 </t>
  </si>
  <si>
    <t xml:space="preserve"> 21/7-8 </t>
  </si>
  <si>
    <t>The use of the word "both" seems awkward.  I think it reads better without it. (Alternative is to keep "both", and replace "but" with "and".)</t>
  </si>
  <si>
    <t xml:space="preserve"> Add a comma: "predecessor{,} SPARK 2005"</t>
  </si>
  <si>
    <t xml:space="preserve"> Add a comma: "In this context{,} "implementors" means ..."</t>
  </si>
  <si>
    <t xml:space="preserve"> Please replace "LRM" with "RM", and in the first instance say "Ada 2012 Reference Manual".</t>
  </si>
  <si>
    <t xml:space="preserve"> Add a space: "SPARK{ }2005 to SPARK 2014"</t>
  </si>
  <si>
    <t xml:space="preserve"> Eliminate hyphens, add comma: "pre[-]conditions, post[-]conditions, type[-]{ }invariants{,} and so on."</t>
  </si>
  <si>
    <t xml:space="preserve"> Hyphen not needed: "non[-]functional properties"</t>
  </si>
  <si>
    <t xml:space="preserve"> Replace hyphen with a space: "side[-]{ }effects"</t>
  </si>
  <si>
    <t xml:space="preserve"> In the first sentence, I think the single "-" should be a double hyphen (to make it a full-fledged dash).</t>
  </si>
  <si>
    <t xml:space="preserve"> Change "LRM" to "RM": "Ada 2012 {RM}[LRM]"</t>
  </si>
  <si>
    <t xml:space="preserve"> Delete the period at the end of the list of reserved words.</t>
  </si>
  <si>
    <t xml:space="preserve"> Subtype predicates only apply to subtypes, so it seems that only subtypes should be mentioned here (and change "(sub)type" to "subtype". </t>
  </si>
  <si>
    <t xml:space="preserve"> Same comment as for private types in 3.2: Deferred constants are a Chapter 7 entity, so this rule should also (or instead) be given there.</t>
  </si>
  <si>
    <t xml:space="preserve"> Since 3.2 says that aliased isn't allowed in object declarations, this section should say that aliased isn't allowed in an array declaration.</t>
  </si>
  <si>
    <t xml:space="preserve"> Since 3.2 says that aliased isn't allowed in object declarations, this section should say that aliased isn't allowed in component declarations.</t>
  </si>
  <si>
    <t xml:space="preserve"> Reword sentence as:           "The term assertion expression denotes an expression..."</t>
  </si>
  <si>
    <t xml:space="preserve"> Add "subtype": "... a type invariant or {subtype} predicate, ..."</t>
  </si>
  <si>
    <t xml:space="preserve"> Where is "side-effect free" defined?  (Maybe add a reference?) </t>
  </si>
  <si>
    <t xml:space="preserve"> What are the rules for preventing aliasing in the presence of object renamings?</t>
  </si>
  <si>
    <t xml:space="preserve"> FE-YM1</t>
  </si>
  <si>
    <t xml:space="preserve"> FE-YM2</t>
  </si>
  <si>
    <t xml:space="preserve"> FE-YM3</t>
  </si>
  <si>
    <t xml:space="preserve"> FE-YM4</t>
  </si>
  <si>
    <t xml:space="preserve"> FE-YM5</t>
  </si>
  <si>
    <t xml:space="preserve"> FE-YM6</t>
  </si>
  <si>
    <t xml:space="preserve"> FE-YM7</t>
  </si>
  <si>
    <t xml:space="preserve"> FE-YM8</t>
  </si>
  <si>
    <t xml:space="preserve"> FE-YM9</t>
  </si>
  <si>
    <t xml:space="preserve"> FE-YM10</t>
  </si>
  <si>
    <t xml:space="preserve"> FE-YM11</t>
  </si>
  <si>
    <t xml:space="preserve"> FE-JIB12</t>
  </si>
  <si>
    <t xml:space="preserve"> FE-JIB13</t>
  </si>
  <si>
    <t xml:space="preserve"> FE-JIB14</t>
  </si>
  <si>
    <t xml:space="preserve"> FE-JIB15</t>
  </si>
  <si>
    <t xml:space="preserve"> FE-JIB16</t>
  </si>
  <si>
    <t xml:space="preserve"> FE-JIB17</t>
  </si>
  <si>
    <t xml:space="preserve"> FE-JIB18 </t>
  </si>
  <si>
    <t xml:space="preserve"> FE-JIB19</t>
  </si>
  <si>
    <t xml:space="preserve"> FE-JIB20</t>
  </si>
  <si>
    <t xml:space="preserve"> FE-JIB21</t>
  </si>
  <si>
    <t xml:space="preserve"> FE-JIB22</t>
  </si>
  <si>
    <t xml:space="preserve"> FE-JIB23</t>
  </si>
  <si>
    <t xml:space="preserve"> FE-JIB24</t>
  </si>
  <si>
    <t xml:space="preserve"> FE-JIB25</t>
  </si>
  <si>
    <t xml:space="preserve"> 6.3.3</t>
  </si>
  <si>
    <t xml:space="preserve"> 7.1.4</t>
  </si>
  <si>
    <t xml:space="preserve"> 7.2.8</t>
  </si>
  <si>
    <t xml:space="preserve"> 7.2.9</t>
  </si>
  <si>
    <t xml:space="preserve"> A</t>
  </si>
  <si>
    <t xml:space="preserve"> 26 .. 28</t>
  </si>
  <si>
    <t xml:space="preserve"> 33 .. 34</t>
  </si>
  <si>
    <t xml:space="preserve"> 36/1</t>
  </si>
  <si>
    <t xml:space="preserve"> N/A</t>
  </si>
  <si>
    <t xml:space="preserve"> pp 14-15</t>
  </si>
  <si>
    <t xml:space="preserve"> 32/Syntax </t>
  </si>
  <si>
    <t xml:space="preserve"> 33/item 8</t>
  </si>
  <si>
    <t xml:space="preserve"> 33/ N/A</t>
  </si>
  <si>
    <t xml:space="preserve"> 45/ N/A</t>
  </si>
  <si>
    <t xml:space="preserve"> 47/Legality Rules</t>
  </si>
  <si>
    <t xml:space="preserve"> 58/Legality Rules</t>
  </si>
  <si>
    <t xml:space="preserve"> 59/Legality Rules</t>
  </si>
  <si>
    <t xml:space="preserve"> 78/6.2</t>
  </si>
  <si>
    <t xml:space="preserve"> 79/6.4.2</t>
  </si>
  <si>
    <t xml:space="preserve"> What is the name for the dependency aspect? Earlier in the LRM it is  said "Dependency", here it says "Depends".</t>
  </si>
  <si>
    <t xml:space="preserve"> The static semantics for dependency aspects are not clear enough for  implementation. I suggest rewording more in line with Ada RM.</t>
  </si>
  <si>
    <t xml:space="preserve"> Why allow global aspects on a stub? AFAIK, a stub cannot have  Pre/Post aspects, only the body can.</t>
  </si>
  <si>
    <t xml:space="preserve"> Possibly a cut and paste error as the first two sentences don t make sense. </t>
  </si>
  <si>
    <t xml:space="preserve"> There appears to be some duplication/overlap between rules here: items 4 and 9, items 6 and 10, items 7 and 11.</t>
  </si>
  <si>
    <t xml:space="preserve"> Static Semantics items 1-3: are these really legality rules?</t>
  </si>
  <si>
    <t xml:space="preserve"> Should this list not be more extensive, providing counterparts of some of the legality rules given in section 6.1.7?</t>
  </si>
  <si>
    <t xml:space="preserve"> This detail has been vastly simplified and moved into the relevant sections that use it. [JIB]</t>
  </si>
  <si>
    <t xml:space="preserve"> First two points are addressed since the relevant rules have been removed.        Final point on comments has been actioned. [JIB]</t>
  </si>
  <si>
    <t xml:space="preserve"> The detail on param aspects has now been removed. [JIB]</t>
  </si>
  <si>
    <t xml:space="preserve">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t>
  </si>
  <si>
    <t xml:space="preserve"> All references to this updated to be Depends aspect. [JIB]</t>
  </si>
  <si>
    <t xml:space="preserve"> The corresponding rules are no longer relevant so have been removed. [JIB]</t>
  </si>
  <si>
    <t xml:space="preserve"> These have now been reworded. [JIB]</t>
  </si>
  <si>
    <t xml:space="preserve"> This has been corrected. [JIB]</t>
  </si>
  <si>
    <t xml:space="preserve"> No longer relevant as the corresponding rules have been removed. [JIB]</t>
  </si>
  <si>
    <t xml:space="preserve"> This has been fixed. [JIB]</t>
  </si>
  <si>
    <t xml:space="preserve"> No longer relevant due to updates that have been made. [JIB]</t>
  </si>
  <si>
    <t xml:space="preserve"> Text has now been updated to explicitly include those rules from subprogram Depends that are        relevant to package Depends. [JIB]</t>
  </si>
  <si>
    <t xml:space="preserve"> CC-CDR1</t>
  </si>
  <si>
    <t xml:space="preserve"> review meeting-CDR2</t>
  </si>
  <si>
    <t xml:space="preserve"> SM et al-CDR3</t>
  </si>
  <si>
    <t xml:space="preserve"> QO-CDR4</t>
  </si>
  <si>
    <t xml:space="preserve"> QO-CDR5</t>
  </si>
  <si>
    <t xml:space="preserve"> Language lawyers-CDR6</t>
  </si>
  <si>
    <t xml:space="preserve"> 	NW-CDR7</t>
  </si>
  <si>
    <t xml:space="preserve"> 	NW-CDR8</t>
  </si>
  <si>
    <t xml:space="preserve"> 	NW-CDR9</t>
  </si>
  <si>
    <t xml:space="preserve"> several-CDR10</t>
  </si>
  <si>
    <t xml:space="preserve"> review meeting-CDR11</t>
  </si>
  <si>
    <t xml:space="preserve"> 	NW-CDR12</t>
  </si>
  <si>
    <t xml:space="preserve"> Front-end + JEB-CDR13</t>
  </si>
  <si>
    <t xml:space="preserve"> STT-CDR14</t>
  </si>
  <si>
    <t xml:space="preserve"> FS-CDR15</t>
  </si>
  <si>
    <t xml:space="preserve"> CC-CDR16</t>
  </si>
  <si>
    <t xml:space="preserve"> RC- CDR17</t>
  </si>
  <si>
    <t xml:space="preserve"> CC-CDR18</t>
  </si>
  <si>
    <t xml:space="preserve"> STT &amp; JEB-CDR19</t>
  </si>
  <si>
    <t xml:space="preserve"> FS &amp; STT-CDR20</t>
  </si>
  <si>
    <t xml:space="preserve"> YM-CDR21</t>
  </si>
  <si>
    <t xml:space="preserve"> n/a</t>
  </si>
  <si>
    <t xml:space="preserve">	1</t>
  </si>
  <si>
    <t xml:space="preserve">	1.2</t>
  </si>
  <si>
    <t xml:space="preserve">	Appendix C.2.1</t>
  </si>
  <si>
    <t xml:space="preserve"> 5,6,7</t>
  </si>
  <si>
    <t xml:space="preserve"> page 6. 1.8???</t>
  </si>
  <si>
    <t xml:space="preserve">	3/1</t>
  </si>
  <si>
    <t xml:space="preserve">	3/Bullet 3</t>
  </si>
  <si>
    <t xml:space="preserve">	3/Bullet 4</t>
  </si>
  <si>
    <t xml:space="preserve">	99/Body of public child A in SPARK 2005</t>
  </si>
  <si>
    <t xml:space="preserve"> The use of profiles needs to be highlighted in the introduction.</t>
  </si>
  <si>
    <t xml:space="preserve"> Covers QO's comments 1-3</t>
  </si>
  <si>
    <t xml:space="preserve"> need a better definition of "side-effect free".</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</si>
  <si>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</si>
  <si>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</si>
  <si>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Currently we distinguish between verification rules checked by proof and those checked by flow analyis. Is this necessary in an LRM?</t>
  </si>
  <si>
    <t xml:space="preserve"> Classification used so far not adequate. We also need to add Subset rules.</t>
  </si>
  <si>
    <t xml:space="preserve"> legality rules concerning param aspects &amp; conditional dependencies are hard to understand</t>
  </si>
  <si>
    <t>A (6.2 Strict Modes) STT p. 78 The terms "import" and "export" are used here.  Don't we mean "input" and "output"?</t>
  </si>
  <si>
    <t xml:space="preserve"> Static semantics of dynamic &amp; predicate subtypes unclear.</t>
  </si>
  <si>
    <t xml:space="preserve"> We need verification rules for aliasing in the context of object renaming.</t>
  </si>
  <si>
    <t xml:space="preserve"> check legality of renamings in global and depends apsects</t>
  </si>
  <si>
    <t xml:space="preserve"> absence of tasking seems like a major regression/omission.</t>
  </si>
  <si>
    <t xml:space="preserve"> is unchecked conversion inlcuded in S2014?</t>
  </si>
  <si>
    <t>Action</t>
  </si>
  <si>
    <t xml:space="preserve"> Already covered by TN LB15-032</t>
  </si>
  <si>
    <t xml:space="preserve"> standardise on input/ouput for subprograms</t>
  </si>
  <si>
    <t xml:space="preserve"> check and add if necessary</t>
  </si>
  <si>
    <t xml:space="preserve"> No action.</t>
  </si>
  <si>
    <t xml:space="preserve"> It should be. Check and include.</t>
  </si>
  <si>
    <t xml:space="preserve">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"operational requirements")</t>
  </si>
  <si>
    <t xml:space="preserve"> Both have been removed from the LRM. [JIB]</t>
  </si>
  <si>
    <t xml:space="preserve"> Text updated to make this clearer. [JIB]</t>
  </si>
  <si>
    <t xml:space="preserve"> No better alternative is currently available, so not proposed to change this at the moment. [JIB]</t>
  </si>
  <si>
    <t xml:space="preserve"> Capture high-level information about how SPARK
2014 is intended to be used - probably in chapter
1. This needs to include "boundary issues" and assumptions about non-SPARK 2014 subprograms that are called from SPARK 2014. Boundaries exist between (1) spec in SPARK and body not in SPARK and (2) declarations not in SPARK cannot be used within a SPARK body. Open TN to record this discussion.</t>
  </si>
  <si>
    <t xml:space="preserve"> Add this description - probably to section 1.9.
(NB. legality rules are different to verification rules because they cannot be ignored, whereas verification rules could be)</t>
  </si>
  <si>
    <t xml:space="preserve"> Add section to introduction to explain how profiles
can be used in different contexts by the developers.</t>
  </si>
  <si>
    <t xml:space="preserve"> Add definition to Introduction (probably in same
section as boundary issues).</t>
  </si>
  <si>
    <t xml:space="preserve"> Leave as-is in this issue. The name is a macro so
it can easily be changed later for branding purposes.</t>
  </si>
  <si>
    <t xml:space="preserve"> LRM should not be GNAT-specific; references to
GNAT should be removed.</t>
  </si>
  <si>
    <t xml:space="preserve"> In section 1.4 remove word "currently" from
Tasking bullet. Move comments/ToDos about rel2+ version of language to an appendix of future enhancements.</t>
  </si>
  <si>
    <t xml:space="preserve"> This distinction should be removed from the
document but we should record elsewhere the ideas we have captured about what is implemented where.</t>
  </si>
  <si>
    <t xml:space="preserve"> Keep the grammar. Keep the legality rules and
resolve specific issues where they are unclear. Find some way to distinguish rules we are implementing in release 1 from those we aren't.</t>
  </si>
  <si>
    <t xml:space="preserve"> Explain static semantics of dynamic &amp; predicate
subtypes - FS to provide examples where clarification needed.</t>
  </si>
  <si>
    <t xml:space="preserve"> RC to send RavenSPARK manual to STT. STT to
consider if a simple form of tasking can by included in time for release 1.</t>
  </si>
  <si>
    <t xml:space="preserve"> Add an appendix explaining what GNAT Pro is and who markets it, how it fits into the SPARK framework and the relationship
between Altran-Praxis and AdaCore, and what each company brings to the partnership.</t>
  </si>
  <si>
    <t xml:space="preserve"> Section 1.5 says something about Verification Rules, but I think we need a section of the introduction dedicated to structure
and a definition of which rules appear in each subsection (Dynamic Semantics, Static Semantics, Verification Rules, ...). </t>
  </si>
  <si>
    <t>Related to the previous : Within a section - and particularly in 5,6,7 - I think we should be consistent about which subsections
appear. eg. if there are no Dynamic Semantics then just say this. Otherwise you don't know if something has been accidentally omitted.</t>
  </si>
  <si>
    <t>Reword: "The implementation of the body of the subprogram must satisfy the post condition provided the precondition is True
and the subprogram completes normally."</t>
  </si>
  <si>
    <t xml:space="preserve"> Is it really necessary to speak twice of WCET where we don't even plan to provide this static analysis capability ourselves?
Once as part of the need for Profiles seems enough</t>
  </si>
  <si>
    <t>last bullet point, last sentence: that seems too strong a restriction for hybrid usage. I would prefer: the latter declarations
are not used by pure SPARK 2014 code. I also think we need to define here what is the finest-grain of hybridation we are ready to deal
with. In particular, a subprogram can only have 3 states:    - spec in S14, body not - spec and body outside of S14 - spec and body in S14
we don't care about the case where the body would have chunks in s14 and other outside.</t>
  </si>
  <si>
    <t xml:space="preserve"> I don't understand the last sentence of the 2nd paragraph. in particular, the notion of something that might be fully or partially
in s14 "as instructed by the user" ?????</t>
  </si>
  <si>
    <t xml:space="preserve"> This parapgraph is highly objectional from my review cap. Not only its purpose is unclear but it is also blatantly false.
WE WANT to be able to make proofs on chunks of what is called "invalid SPARK 2014 programs".</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</si>
  <si>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</si>
  <si>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I don't understand why there is so much emphasis on initial and final values of parameters or global variables. I understand
and agree with what  is written but I'm concerned that it doesn't correspond to how pre and post are described and that could
cause confusion. I would go for a simpler  introductory sentence: "contract cases provide for a structured way of defining a
subprogram contract using mutually exclusive subcontract cases" I would also suggest adding a "real" example  early. There is
what looks like an example but which is not so: it is a kind of equivalence which might be interesting but doesn't help much
understanding the concept.</t>
  </si>
  <si>
    <t xml:space="preserve"> Do we really need a "contract_cases" in the assertion policy? it seems error-prone since people could dis(/en)able
postconditions without dis(/en)abling contract_cases which seems to make little sense to me. I suggest that contract_cases
be guarded by the same assertion mark as postconditions. </t>
  </si>
  <si>
    <t xml:space="preserve"> why is the numbering of paragraphs reset to 1? this paragraph should happen before since it is used by the previous ones... 
generally speaking the whole thing is difficult to understand until you get to the examples on page 29/30</t>
  </si>
  <si>
    <t xml:space="preserve"> I have some doubts about the "=&gt;+" notation. It doesn't seem necessary and doesn't help particularly the reader...this
is the first instance of a particularly weird notation so far...</t>
  </si>
  <si>
    <t xml:space="preserve"> why is it relevant to the language definition that some verification rules are checked by flow analysis or proofs? I strongly
suggest we remove this purely implementation oriented detail.</t>
  </si>
  <si>
    <t xml:space="preserve"> the 2 sentences say exactly the same thing for the case of one component and the case od several. This is confusing. We
should merge the 2 sentences. furthermore, "is considered" doesn't really mean "checked by proof", does it? We need to choose
between describing the properties or describing the checks done but here we are in the middle...</t>
  </si>
  <si>
    <t xml:space="preserve"> the introductory paragraph is a bit abrupt. Why are we starting with something only relevant to OO? Furthermore, since we
talk about dispatching, is it really the case that only the one to which it resolves statically need to be s14 as implied? It
seems that all potential overriding need to be as well.</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</si>
  <si>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</si>
  <si>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ontract is used if it exists, otherwise the implicit one is used.</t>
  </si>
  <si>
    <t xml:space="preserve"> I don't see what we could do about the access and aliased formal parameter specs, null exclusion parameters or
access results. (the list of "todo".) I'd rather say these are not in SPARK 2014.</t>
  </si>
  <si>
    <t xml:space="preserve">  The "expansion" given for the contract cases aspect is not quite  the same, as the "exactly_one_of" has to be true
in *all* contexts, not only the calling contexts.</t>
  </si>
  <si>
    <t xml:space="preserve"> The todo mentioning a possible executable semantics for the conditional modes is probably much too ambitious.
I'd just remove it for now. Same for the similar toto on param aspect.</t>
  </si>
  <si>
    <t xml:space="preserve"> Flow analysis cannot cope with "global in out a(j)". Nor can  it cope with conditional stuff. Can we defer this until
after rel1? We really must take it out of the grammar and the examples!</t>
  </si>
  <si>
    <t xml:space="preserve"> The 2nd verification rule for Global aspect says that  "If a subprogram does not have a global_aspect then an implicit one
is synthesised from implementation of the body (if it exists)." This does not belong to the language description I think.</t>
  </si>
  <si>
    <t xml:space="preserve"> The first verification rule for Dependency aspect mixes synthesis of aspects (I don't see this belonging to the langage
definition) and checking of aspects between refined_dependency_aspect on body and dependency_aspect on the spec
(which does not belong to this section on dependency_aspect on body).</t>
  </si>
  <si>
    <t xml:space="preserve"> It is said that refined_global_aspect may be synthesized. That looks odd to me, as I'd rather use the global_aspect given
by the user if any. This issue of synthesis should be described once only, possibly in the introduction of the LRM, or at the
start of the chapter, and then verification rules should not distinguish between synthesized and manually written contracts.</t>
  </si>
  <si>
    <t xml:space="preserve"> It is said that P may require a refined_dependency_aspect because of state_refinement, but this is the first time this
constraint appears, so one may not understand what is meant here, unless one already knows SPARK.</t>
  </si>
  <si>
    <t xml:space="preserve"> I note that in a generic or package in a body information can flow into the initialisation from either the generic parameters
or the state of the enclosing subprogram. We must be able to capture this in analysis.</t>
  </si>
  <si>
    <t xml:space="preserve"> I do not understand how we can flow-analyse something like a cache without being either unhelpful (lots of coupling) or
unsound (you miss potential coupling).</t>
  </si>
  <si>
    <t xml:space="preserve">  Why does excluding tasks and synchronization exclude Ada.Calendar? It just so happens that this package is defined in
chapt. 9 of the LRM, but that's about it. Nothing in that package would make it be outside of S14. It's true however that
this package requires some special attention, there should be a volatile global "in" state. This could be done by annotating
the underlying "pragma import" C functions which probably read that state.</t>
  </si>
  <si>
    <t xml:space="preserve"> The list of reasons for using restrictions might be easier to read if presented as a list. The penultimate and final items have
connectives but these are different ("and" and "or" respectively). It might read better if the "and" is removed.</t>
  </si>
  <si>
    <t xml:space="preserve"> This section does not indicate whether the contents of LRM sections 4.1.5 User-Defined References (generalised_reference)
or section 4.1.6 User-defined indexing (generalised_indexing) are included in SPARK 2014. Suggest including sections with
these numbers to explicitly exclude or include these features.</t>
  </si>
  <si>
    <t xml:space="preserve"> Where the SPARK Syntax differs from Ada2012 it might be clearer to present the SPARK 2014 Syntax explicitly (what would be
great would be to show it as a red-line of the Ada2012 Syntax so that removed items are struck through). This would often be easier
to interpret than the textual description of the restriction (although any motivation for the restriction would be of benefit.</t>
  </si>
  <si>
    <t xml:space="preserve"> This section is poorly structured - it appears to be a SPARK2014 extention but there is no Syntax subheading and the text would
be easier to read if broken down into Legality rules, Semantics etc.</t>
  </si>
  <si>
    <t xml:space="preserve"> The loop syntax is restricted by the elimination of iterator_specification this is not clear at the point where the Ada Syntax is
presented. Might be helpful to present the restriction to the syntax here rather than eliminating the subsection that
describes iterator_specification. (5.5.2).</t>
  </si>
  <si>
    <t xml:space="preserve"> The final definition of independence seems incomplete - does this mean that Y and Y(J) are independent or Y(I) and Y(I) are
independent and that Y(I) and Y(J) are independent when indexes I and J evaluate to the same value.</t>
  </si>
  <si>
    <t xml:space="preserve"> You need to be careful about modes and effective modes. Here I think you are refering to effective modes but then Proof is
only a mode_Selector value not an effective mode.</t>
  </si>
  <si>
    <t xml:space="preserve"> You need to be careful with the wording here. From the Syntax import_lists only  occur within a conditional_dependency but
I expect the constraints apply more widely to any imports in any dependency_list.</t>
  </si>
  <si>
    <t xml:space="preserve"> This needs rephrasing, I don't know what "shall appear at least of a dependency_relation" is supposed to mean. Also second
sentence is incomplete.</t>
  </si>
  <si>
    <t xml:space="preserve"> it seems to me that according to these rules ther refined state aspect can have  state with just the Input simple_property.
This is not consistent with the abstract state aspect, which also requires volatile.</t>
  </si>
  <si>
    <t xml:space="preserve"> Some of the features of Ada which are now permitted were restricted from SPARK95 because the code was potentially
harder to read - ie. a reviewer or coder might misinterpret even though the compiler will always interpret the code unambiguously.
One such example is default subprogram parameters. I would like to be clear whether the restrictions listed are mandetory for the
code to be considered SPARK 2014. I think it will be important to provide off-the-shelf profiles that use an appropriate set of restrictions
for various contexts. It would probably be useful to claim that certain profiles will make the code easier to review - would be good for a
safety argument.</t>
  </si>
  <si>
    <t xml:space="preserve"> Not sure what the purpose of this section is. There are Extended Legality Rules through the document. This is not a summary
of all the extended legality rules - if that is intended then there are several missing.</t>
  </si>
  <si>
    <t xml:space="preserve"> To be a pure translation from SPARK2005 to SPARK2014 should you not use --# derives S from *,X; to match the use of =&gt;+ in
the Dependancy aspect. (another instance on page 96)</t>
  </si>
  <si>
    <t xml:space="preserve"> In SPARK 2014 if a function is declared and defined just for use within a proof context how do we demonstrate coverage in a
system where there are high code coverage requirements - especially if the final system is being executed with dynamic proof
checks switched off.</t>
  </si>
  <si>
    <t xml:space="preserve"> It is a shame that RavenSPARK is not to be supported initially - do we have a time frame for it's introduction. This is probably
important to legacy customers and future users.</t>
  </si>
  <si>
    <t xml:space="preserve"> The phrase "Some constructs which ..." is not followed up with a clear list of which exceptions are or are not determined by
static analysis. Is this an area which we need to clarify once we know what we can and can not check?</t>
  </si>
  <si>
    <t xml:space="preserve"> The second paragraph states "... may also be useful in SPARK 2014". Do you mean that it isn't currently included in SPARK 2014
but could be? Or that it is a useful attribute that SPARK 2014 developers can use to check validity of data? Consider rewording to
make this clear.</t>
  </si>
  <si>
    <t xml:space="preserve"> It would be nice to make it clear at the beginning here that the Update attribute is an extension of Ada 2012 for SPARK 2014
that can only be used within SPARK aspects (assuming my understanding matches the intention). This comment also applies
generally (e.g. section 5.5.3 also introduces constructs rather than restricting them). Thinking about this a little more, if SPARK
2014 adds attributes with dynamic semantics then other compiler vendors would have to sign up to meet SPARK 2014 LRM
as well as Ada 2012 LRM. In other words, SPARK 2014 programs can not be compiled with Ada 2012 compilers.</t>
  </si>
  <si>
    <t xml:space="preserve"> This is titled Restrictions and Profiles but it doesn't define any profiles. A "profile" is a specific set of restrictions that a user chooses
so shouldn't this doc say that the definition of profiles is out of scope, but the definition of restrictions is.</t>
  </si>
  <si>
    <t xml:space="preserve"> For language constructs added for SPARK 2014 there is normally a section titled "Verification Rules" but we don't have these
for any standard Ada 2012 constructs. Should we add these? It would be nice to be able to trace all VCs back to a verification rule in this doc.</t>
  </si>
  <si>
    <t xml:space="preserve"> In order to ensure completeness, it would be better to always list Syntax, Legality Rules, Static Semantics, Verification Rules and
Dynamic Semantics and explicitly state that they don't apply.</t>
  </si>
  <si>
    <t xml:space="preserve"> Looking at section 6.1.6 "Param Aspects" my initial thought was: "do we really need this?" Is there anywhere where we've
documented why we feel our customers really want this kind of thing? I don't see this functionality being required to support
the design goals so I'd expect there to be a clear rationale for it. This is a general comment because I feel there are a number
of other areas where we may be planning to do more than we need.</t>
  </si>
  <si>
    <t xml:space="preserve"> The document doesn't describe how a user asserts whether or not code is intended to be within SPARK 2014 or not. On a
related note, I was surprised the --#hide annotation isn't in the mapping section.</t>
  </si>
  <si>
    <t xml:space="preserve"> I'm a bit confused about how the SPARK 2014 language will provide for the mixing of verification evidence from code that is
within the 2014 subset and code that is outside of it. I can imagine a process where you do this, and have a mixture of 2014
and non-2014 code, and a mixture of formal verification and testing, but how does this influence the 2014 language itself?
Does it boil down to modularity and the ability to mix 2014 and non-2014 features at a fine level? I suppose the potential
confusion is that your whole "SPARK 2014" program may be a mixture of SPARK 2014 and non-SPARK 2014 code, but do you
still call the whole thing a SPARK 2014 program?</t>
  </si>
  <si>
    <t xml:space="preserve"> From a teaching perspective, it seems that it would be easier to say that multiple ranges in an array update expression are
not permitted to overlap, rather than having to explain that they may overlap and that they are performed in the order given.
Is the rule like this because it's too hard to determine whether they overlap, or because we want to allow users more flexibility?</t>
  </si>
  <si>
    <t xml:space="preserve"> So a pragma Loop_Invariant is equivalent to a pragma Assert, apart from some extra restrictions on the placement of a
pragma Loop_Invariant. That implies that you could just use pragma Assert instead of pragma Loop_Invariant. Is that true?</t>
  </si>
  <si>
    <t xml:space="preserve"> It says that proving the Loop_Variant implies the termination of the loop. I didn't spot anything that says the loop variant has
to be related to any loop exit condition. That could be deliberate, on the grounds that even if the variant is nothing to do with
any loop exit condition then it will eventually cause the loop to terminate with an exception when something overflows (and
hopefully we have shown that this can't happen, therefore the variant must be related to an exit condition) but I thought I would
mention it.</t>
  </si>
  <si>
    <t xml:space="preserve"> "A boolean expression given by pragma Assume can be assumed to be true for the remainder of the subprogram." Is that true?
Is it invariant for the rest of the subprogram? Couldn't something get changed later on which meant it was no longer true?</t>
  </si>
  <si>
    <t xml:space="preserve"> If you say "Output =&gt; (A, B, C, I (if I = 42 then D))" I assume that "I = 42" refers to the initial value of I? I didn¡¯t spot that in the
rules when I skimmed them.</t>
  </si>
  <si>
    <t xml:space="preserve"> If I understand correctly, you can specify a global as In_Out or you can specify it as both Input and Output and it means the
same thing. From an ease of teaching viewpoint I don't see the point of In_Out.</t>
  </si>
  <si>
    <t xml:space="preserve"> It says that dependency aspects are only needed for functions to describe conditional dependencies. What about null
dependencies? This is something that caused problems in S95 when we implemented automatic flow analysis as there
were cases where it would have been much better if we could have said that a function derives its return value from some
of its imports and derives null from other imports. I can expand on that if required.</t>
  </si>
  <si>
    <t xml:space="preserve"> From a teaching perspective, having to know if a type is by-copy makes this more complex. It would be simpler not to
have this relaxation of the rule for by-copy types but I can see there is a trade-off between simplicity and having less restrictions.</t>
  </si>
  <si>
    <t xml:space="preserve"> Why is tasking not in the SPARK 2014 subset?  What happened to RavenSPARK?  It says "not currently permitted."  Is that a
technical term?  Do we intend to lift that restriction before release of S14?</t>
  </si>
  <si>
    <t xml:space="preserve">"Flow analysis rules" vs. "Verification rules."  SB says everything follows from rule relating to run-time checks, but what about
things in Ada which are *not* checked, such as use of uninitialized data, race conditions, various nasty erroneous conditions
relating to renaming, etc.?  YM mentions the type invariants, but that seems just indicative of a set of things where the run-time
checks are incomplete relative to what we want to do for proofs. </t>
  </si>
  <si>
    <t xml:space="preserve"> A "profile" is defined already in the Ada RM, and it includes a set of restrictions, plus various policy specifications, and perhaps a
few other things specifiable via pragmas.</t>
  </si>
  <si>
    <t xml:space="preserve"> Intro paragraph should mention the fact that "derives" has become "depends" in S14, and perhaps title should become
"Global and Derives/Depends" </t>
  </si>
  <si>
    <t>If the SPARK 2005 and 2014 are identical, then why don't the introductory lines say "Specifications in SPARK 2005
(2014 is identical):" or some such thing?  Ditto for Body (also applies in C.2.2).</t>
  </si>
  <si>
    <t>It seems unnecessary to initialize all values of stack in Clear.  I would think that an invariant of
(for all I in 1..S.Stack_Pointer =&gt; S.Stack_Vector(I) = 0) would be sufficient, with Clear only setting S.Stack_Pointer to zero.</t>
  </si>
  <si>
    <t>In Pop postcondition don't we need to say that there is no change to S.Stack_Vector(1..S.Stack_Pointer)?  Or is that
somehow assumed due to a default "frame" rule? (Also comes up in C.2.2, p. 109.)</t>
  </si>
  <si>
    <t>pp. 92-99 seems like a like of examples that are only indicating that "inherit" is no longer required for children.  Or else I am
missing something...</t>
  </si>
  <si>
    <t>We have a procedure with "Global =&gt; State"; should that be "Global =&gt; (Input =&gt; State)" or is "Input" presumed if not stated? 
Ditto for "Global =&gt; (Source_A_14.State, ...)"?</t>
  </si>
  <si>
    <t xml:space="preserve">It seems unnecessarily confusing to use "Inputs" and "Outputs" as the names of the global state variables, given the use of
"Input" and "Output" as words with special significance, producing quite confusing constructs like "((Inputs with Volatile, Input))." 
How about "Input_State" and "Output_State" instead?  Also, how does "Input" related to "Volatile" in this example.  Is "Input"
qualifying "Volatile" (and only permitted in its presence), or qualifying Inputs?  Perhaps "((Input_State with Volatile(Input)))"? </t>
  </si>
  <si>
    <t>"Extended Legality Rules" sounds like we are relaxing certain legality rules, thereby making *more* things legal.  I would
suggest we call this appendix "Additional Legality Rules" or "SPARK-specific Legality Rules."</t>
  </si>
  <si>
    <t>Why aren't forward references allowed?  It seems a serious usability issue to disallow them, especially in code that has already
taken advantage of this when written.  Also, any type-related aspect specifications, such as Type_Invariant, will necessarily
involve forward references.</t>
  </si>
  <si>
    <t>It says "Read and Write" operations are not in SPARK 2014.  Do you mean all stream-related attribute subprograms, or just
'Read and 'Write?  And why aren't they permitted?  Is this because they can produce junk?  How are they worse than a volatile integer?</t>
  </si>
  <si>
    <t>Do we plan to release S14 without support for tasking?  Isn't that a step backward?  Should tasking be listed as a "TBD" rather
than as not supported?</t>
  </si>
  <si>
    <t xml:space="preserve"> This paragraph mentions "erroneous or unspecified behavior", but what about implementation-defined or partially specified
behavior (such as order of evaluation or bounded errors)?</t>
  </si>
  <si>
    <t xml:space="preserve"> It says "Package body entirely not in SPARK 2014", but I think it would read better as "Package body not entirely in SPARK 2014". 
Surely *some* parts of the body are likely to be in SPARK 2014 (such as the beginning and ending syntax of the package body).</t>
  </si>
  <si>
    <t xml:space="preserve"> Do we want to use British spelling or American spelling in this document?  The Ada RM uses American spelling.  The word in
question in this paragraph is "favoured" (American spelling is "favored").</t>
  </si>
  <si>
    <t xml:space="preserve"> Normally rules pertaining to private types would be given in Chapter 7, but OK I guess to mention it here.  The restriction should
probably also be given in Chapter 7. </t>
  </si>
  <si>
    <t xml:space="preserve"> It says "if this property can be determined by static analysis", which seems imprecise.  It would be better to define what specific
properties must be satisfied.  Otherwise this seems subject to how good the static analysis is, which could potentially change over
time.  Or is this some sort of general statement that's intended to apply to more than this section, in which case it should be moved
elsewhere (perhaps into Chapter 1)?  Also, the rule in the next paragraph should probably be stated more precisely. </t>
  </si>
  <si>
    <t xml:space="preserve"> This paragraph needs more precision. In particular, it would be good to define "side-effect free" (maybe this is defined elsewhere?).
Also, it should define what it means for an aggregate to have uninitialized components (has box associations for components without
default init). </t>
  </si>
  <si>
    <t xml:space="preserve"> Is there a good reason to leave the order of evaluation unspecified rather than just saying it's left to right?  I thought that SPARK
preferred to avoid things that are "unspecified", so why not define a canonical ordering? Also, this would be consistent with the
array form of 'Update, which requires left-to-right evaluation (although I realize that the rationale for the array case is different, since
it allows overwriting).  Maybe this is just a matter of being consistent with Ada, since the attribute will be allowed in non-SPARK
programs, and in SPARK 2014 the expressions have to be side-effect free, so the order of evaluation doesn't really matter. </t>
  </si>
  <si>
    <t xml:space="preserve"> The first sentence says: "Each array_component_association of the attribute_reference shall have one  or more
array_component_associations, each of which shall have an expression." but that doesn't make sense.  It seems that it should
probably read simply: "Each array_component_association of the attribute_reference shall have an expression." Also, strictly
speaking, the expression of an attribute_reference (actually of the attribute_designator) is required to be static, so it wouldn't be
allowed to be an aggregate in strict Ada.  Do we need to say anything about extending it here?  (I guess the other way to go would
be to define 'Update to be a function, but that wouldn't work unless we were willing to require double parentheses, which we obviously
don't want.)</t>
  </si>
  <si>
    <t xml:space="preserve"> It seems odd to define nonterminals invariant_statement and loop_variant_statement for these pragmas (and why does one
have a prefix "loop_" and not the other?).  It would be more consistent with the Ada RM to define them as for other pragmas. 
If the nonterminals are retained, then presumably the syntax of statement needs to be extended to include them. </t>
  </si>
  <si>
    <t xml:space="preserve"> I suppose this is picky, but I don't like the wording about comparing values, which can be read as a choice between evaluating until
unequal values are found or unconditionally evaluating all expressions.  How about this rewording:  "...: comparisons are performed
in textual order [either] until    {either a pair} of unequal values {is} [are] found{,} or {else}   until values for all {pairs of} expressions
have been compared    {and found to be equal}."</t>
  </si>
  <si>
    <t xml:space="preserve"> For the second to last paragraph on this page, it might be good to give a note to explain what the rule means (explain the case where
the entity can be declared within the prefix itself).</t>
  </si>
  <si>
    <t xml:space="preserve"> Maybe add a reference to the Ada RM for the term "potentially unevaluated".  (One might mistakenly think that the rule might apply in
a case where it appears after a loop exit or early return.)</t>
  </si>
  <si>
    <t xml:space="preserve"> Same comment as for invariant_statement and loop_invariant_statement: Why define statement nonterminals for these pragmas,
which is not the way the RM defines pragmas? </t>
  </si>
  <si>
    <t xml:space="preserve"> The description of mode refinement in not clear enough for implementation. I suggest that this section is reformatted, with a clear
intent, some examples, an intuition behind the names "moded_item eligible" and "independent". It could be clearer also if this section
was preceded by the description of Global and Param aspects. I am also in favor of the merge of Global and Param aspects suggested
by Steve.</t>
  </si>
  <si>
    <t xml:space="preserve"> The description of global aspect seems to suppose a constructive approach, when it says "A name that denotes a global variable
appearing in a precondition or    postcondition aspect of a subprogram must also appear in the      global_aspect of the same
subprogram."  Also, the legality rules mentions the special case of X'First, X'Last, etc.  for arrays, without doing the same for
discriminants.  Also, the comments in examples should be phrased in user terms, so "global  variable V may be read by the
subprogram" instead of "V is a mode in global  item" which simply duplicates the example code.</t>
  </si>
  <si>
    <t xml:space="preserve"> The description of param aspect is inconsistent with the description of the global aspect. For example it does not say anything
about X'First,  X'Last, etc. for an array X. I strongly suggest we follow Steve's idea of  combining the descriptions of param and global aspects.</t>
  </si>
  <si>
    <t xml:space="preserve"> The description of dependency aspect introduces BNF non-terminals before the BNF grammar is given, which is slightly confusing. 
I am not clear about the definition of imports and exports (especially true  in the retrospective approach). Should a global aspect
be given every time a  dependency aspect is given? Or should global variables be deduced from  the dependency aspect?</t>
  </si>
  <si>
    <t xml:space="preserve"> The legality rules for dependency aspect are not clear. Rule 8 is completely confused, probably as a result of a merge. Rule 9 is
not clear:  what if A(I) is an export, and A(J).F also? It may appear that A(J).F is  a subcomponent of A(I) if I=J at run time.</t>
  </si>
  <si>
    <t xml:space="preserve"> This is the first occurrence of refined_global_aspect without previous  definition. This is also the first occurrence of restriction
Strict_Modes,  also without a previous definition. Wording is currently too complex to  be implemented. It mentions "executable
path" without prior definition.</t>
  </si>
  <si>
    <t xml:space="preserve"> It is said that  "If the subprogram has a refined_global_aspect (see Refined Global Aspect),   this has to be checked for consitency
with the global_aspect and influences   the rules for checking the implementation of its body as described below."  but, if a subprogram
has a refined_global_aspect, it cannot have a  global_aspect. Only its declaration can have one, and I see no need to  discuss that in
6.3.4 on subprogram bodies.</t>
  </si>
  <si>
    <t xml:space="preserve"> It is said that in the 2nd legality rule: "A subprogram, shall not declare, immediately within its body, an entity of   the same name as
a moded_item or the name of the object of which the   moded_item is a subcomponent, [...]"  What is the rationale for this rule?
This looks like a coding standard rule  from SPARK 2005 to me, not something that we should enforce in SPARK 2014.</t>
  </si>
  <si>
    <t xml:space="preserve"> There are references throughout the document to being "in SPARK 2014" and "out of SPARK 2014". Since not being in SPARK
2014 is not an obstacle to compilation but in certain circumstances we may wish to enforce that only SPARK 2014 constructs are
used, then it is not clear from the LRM as it currently stands what should be done when implementing legality rules if a given syntactic
entity is found not to be in SPARK 2014.</t>
  </si>
  <si>
    <t xml:space="preserve"> The definition in the LRM of what is in and what is out of SPARK 2014 is incomplete in that it does not cover all syntactic entities.
For example, when is a subprogram body in SPARK 2014? Or section 6.1.1 says that the post-condition of a subprogram declaration
must be in SPARK 2014 if the subprogram declaration itself is to be in SPARK 2014; however, I can t find anywhere a definition of what
it means for a post-condition to be in SPARK 2014.</t>
  </si>
  <si>
    <t xml:space="preserve"> Throughout the document, there is narrative text that is intended purely to provide context and there is text that appears to be narrative 
since it does not appear under a specific heading such as Legality Rules   but is obviously intended to be implemented. It would be good
if every rule to be implemented could appear under a heading that makes clear it is to be implemented. For example, in section 11 on
 exceptions, the first and third paragraphs provide contextual information, while the second paragraph gives the rule to be implemented.
The same applies to the text throughout the document that defines syntactic entities as being in or out of SPARK 2014.</t>
  </si>
  <si>
    <t xml:space="preserve"> This section defines a general principle and then gives one specific example. It is not clear if this specific example is to be implemented
due to it being stated here, or if it is just an example. That is, is there only one such element in this set of illegal items, or are they
distributed across the rest of the document.</t>
  </si>
  <si>
    <t xml:space="preserve"> This section needs to be written as a series of numbered requirements rather than as a narrative, with headings such as Legality Rules,
etc, so we know what exactly needs to be implemented and to allow easy apportionment to the tool architecture.</t>
  </si>
  <si>
    <t xml:space="preserve"> If a conditional dependency is used, then a given export may be derived from null. However, as far as I can see an export cannot be
derived from null when a non-conditional dependency is given. </t>
  </si>
  <si>
    <t xml:space="preserve"> Item 2: I assume this means the legality rules defined in the Ada RM (since there are some rules defined under Global Aspects in this 
document   section 6.1.5, p.29   that constrain preconditions).</t>
  </si>
  <si>
    <t xml:space="preserve"> Item 2: I assume this means the legality rules defined in the Ada RM (since there are some rules defined under Global Aspects in this
document   section 6.1.5, p.29   that constrain postconditions).</t>
  </si>
  <si>
    <t xml:space="preserve"> Strict_Modes is to be handled by flow analysis. Is checking by the flow analyser compatible with being specified as a pragma Restriction,
when a Restriction violation leads to a compile-time error?</t>
  </si>
  <si>
    <t xml:space="preserve"> Global_Aspects_Required, Global_Aspects_On_Procedure_Decalarations, Array_Elements_Assumed_To_Overlap,
Abstract_State_Aspects_Required and Initializes_Aspects_Required appear to be instructions to the flow analyser rather than
restrictions as such (since if the thing they require is absent then an assumption is made regarding what it should be, rather than
an error being flagged). Is it OK that they are handled as pragma Restrictions, when a Restriction violation leads to a compile-time
error? </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</si>
  <si>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</si>
  <si>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 xml:space="preserve"> Consider a mechanism (aspect?) by which developer can indicate that an entity is/is not supposed to be within SPARK 2014
(so that error messages can be generated appropriately).</t>
  </si>
  <si>
    <t xml:space="preserve"> Section 1.5 says something about Verification Rules, but I think we need a section of the introduction dedicated to structure and a
definition of which rules appear in each subsection (Dynamic Semantics, Static Semantics, Verification Rules, ...). </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</si>
  <si>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</si>
  <si>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 xml:space="preserve">	General commnet, but thought of it here: I hope we can clear up the horror that is public/private SPARK children in 2014?
Most projects of any size ban them as unworkably confusing!</t>
  </si>
  <si>
    <t xml:space="preserve"> I have some doubts about the "=&gt;+" notation. It doesn't seem necessary and doesn't help particularly the reader... this is the first
instance of a particularly weird notation so far...</t>
  </si>
  <si>
    <t xml:space="preserve"> LRM is not yet stable enough to start implementation - in particular the wording of legality rules still has inconsistencies
(see YM's comments for detail)</t>
  </si>
  <si>
    <t xml:space="preserve">We've got
    An Initial Condition Aspect is like a postcondition. It should be
    evaluated following the elaboration of Q and its
    private descendants. If it does not evaluate to True,
    then an exception should be raised.
Let's ignore the wording issues ("an exception"? "should be"?) andlook at the more fundamental question of whether this is what we want.
The obvious implementation is to generate an Assert pragma at the end of the elaboration code for the package body, but then we notice the
words "and its private descendants".
One solution is to require specialized binder support for this. That seems a bit over-the-top for my tastes, and would require mention
in section 1.5.
Another approach would be to somehow require that a private descendant's
body must be elaborated before that of the parent unit, but that seems
very unpleasant (the descendant might, very reasonably, want to call
subprograms of the parent during elaboration).
Dunno what to do here.
</t>
  </si>
  <si>
    <t xml:space="preserve">We've got:
   For each export that appears in a Depends aspect or Initializes  aspect of a package declaration the following must be satisfied:
     • Each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state_name
must appear in the Depends aspect or Initializes aspect of an embedded package or private child package.
I think that, at least, we can somehow avoid most of the repetition of the first two bulleted items.
</t>
  </si>
  <si>
    <t xml:space="preserve">We've got
    A Refined Global Aspect may only appear on the body or body stub of a subprogram P in a package whose visible_part contains
the declaration of P.
    A Refined Global Aspect on the body or body stub of a subprogram P may only mention constituents of a state_name given in the
Global Aspect in the declaration of P, a global item, which is not a state_name of the enclosing package, named in the the Global
Aspect  of P or a constituent of a null abstract_state_name.
I think this needs rewording. Next year.
I think we may want a general rule saying that within the body of a package (and after the Refined_State aspect has been specified)
it is illegal to name a state abstraction of the package.
Then we can avoid having to repeat this rule at all the different places where it might apply.
</t>
  </si>
  <si>
    <t xml:space="preserve">I can't parse this:
   A subprogram P declared in the visible part of a package, called within the body or private descendants of the package and P
requires a Refined_Depends aspect because of state_refinement, the following will be used as the dependency relation of P:
The phrasing of the list that comes after this is also hard to follow. For example, it doesn't appear to cover the case of a function
which has an explicit Depends aspect spec and lacks a Refined_Depends aspect spec.
I'm not sure about the interactions between private descendants and Refined_Depends aspects. A private descendant normally
does not get to look into the body of the parent unit. On the other hand, these are flow analysis rules, so we get to do what we want.
What do we want here? When we are checking a call from within a private descendant of the callee's package, do we check against
the Depends or Refined_Depends aspect?
</t>
  </si>
  <si>
    <t xml:space="preserve">The next item is almost as impenetrable:
   A call to a subprogram P from a client of the package containing the declaration of P or for a call to a subprogram which does not
require a Refined_Depends aspect, the following will  be used as the dependency relation :
Ada defines the visibility of an aspect specification.
Ada RM 8.3(23.1/3):
   An attribute_definition_clause or an aspect_specification is visible everywhere within its scope.
Perhaps this whole section could be reworded along the lines of if a refined_depends aspect spec is visible, then use it;
otherwise if a depends aspect spec is visible, then use it;  otherwise, do the appropriate procedure/function default thing.
</t>
  </si>
  <si>
    <t>This suggests a very obscure point. For many aspect specs (including these), we plan to define equivalent pragmas so that Ada05 users can
still use this stuff. We want to be sure, I think, that the rules that depend on aspect specification visibility are unaffected if an
aspect-specifying pragma is used instead.</t>
  </si>
  <si>
    <t>I now realize that the special visibility rules for specifications of aspects of packages (as opposed to aspects of subprograms) are not
redundant, and that the text I said we should delete is necessary. We do want explicit wording to say that an aspect spec for a
package spec (e.g., Initializes) can see decls in the visible part of the package, and that an aspect spec for a package body (e.g.,
Refined_State) can see decls in the package spec and body; contrary to what I said earlier, this visibility is not already a consequence
of existing RM wording.</t>
  </si>
  <si>
    <t xml:space="preserve">In the abstraction refinement section, we have rules such as
"If a constituent has the same name as an abstract_state_name it can only be a constituent of that abstract_state_name and
it must be the only constituent of the abstract_state_name."
I think the scenario that was originally envisaged here is now illegal because state abstractions are not overloadable.
We don't allow
    declare
       package Pkg with Abstract_State =&gt; X; is
          ...
       end Pkg;
       package body Pkg is
          X : Float; ...
       end Pkg;
for the same reasons we would reject
    declare
       package Pkg is
          X : constant := 10;
          ...
       end Pkg;
       package body Pkg is
          X : Float;
          ...
       end Pkg;
I'm guessing that we therefore want to remove all the special rules about "single constituent, same name" refinements.
</t>
  </si>
  <si>
    <t xml:space="preserve">We've got
    A global_item of a subprogram shall be a stand alone variable object [that is, it is not part of a larger object] or it shall be a state abstraction.
   a) Does this rule look through object renamings? In other words, can a global_item denote a rename of some acceptable object?
   b) I think we discussed the term "stand-alone" before. A stand-alone object is one declared by an object_declaration. That does
        not include parameters.
      But we want to be able to name a parameter of a statically enclosing subprogram in a Global aspect specification, as in
          procedure P (X : Integer);
             procedure Q with Global =&gt; (Input =&gt; X);
      I think the current wording causes us to reject this example, which is not what we want.
   c) A global item is a name; a name can denote an object but it isn't an object itself. I'd say "shall denote" rather than "shall be". This one
definitely falls in the nit-picky category. This is probably not worth fixing unless we want to fix it in all of the      places it occurs, such as
         A global_item shall occur in a Global aspect of a subprogram if  and only if it is referenced by the subprogram.
</t>
  </si>
  <si>
    <t xml:space="preserve">Would it be reasonable to relax the rule:
  "A global item occurring in a Global aspect of a subprogram aspect  specification shall not have the same defining_identifier as a
 formal parameter of the subprogram." if the global item in question is declared in a package which does not enclose the subprogram in
 question? Do we really want to disallow something like:
     package Current_Status is
       Incoming_Zombie_Count : Natural;
     end Pkg;
     procedure Update_Status (Incoming_Zombie_Count : Natural)
       with Global =&gt; (Output =&gt; Pkg.Incoming_Zombie_Count);
? What is the purpose of this rule? Certainly we want to disallow something like
      procedure P (X : Integer) with Global =&gt; (Input =&gt; X);
where the "global" is a parameter of the subprogram. 
</t>
  </si>
  <si>
    <t>Are we also trying to disallow (just as a matter of methodology) uplevel references such as
     procedure P is
        X : Integer;
        procedure Q (X : Integer) with Global =&gt; (Input =&gt; P.X);
     end P;
I thought we decided that we wanted to accept as large a subset of the language as possible and that the only constructs we
want to reject are those that cause difficulties for flow analysis or for verification.</t>
  </si>
  <si>
    <r>
      <t xml:space="preserve">We've got:
    "Each global_item in a Global aspect of a subprogram that is an input or output of the subprogram shall satisfy the following mode
    specification rules [which are checked during analysis of the  subprogram body]:
       ...
       a global_item that is an output but not an input is always fully
       initialized on every call of the subprogram"
The phrase "during analysis" confuses me. Are we talking about semantic analysis (performed by the compiler) or dataflow analysis?
Presumably the compiler is not being asked to check that an input to a call has been completely initialized, so I suppose we are talking
about flow analysis.
More generally, the definitions of input and output fundamentally depend on flow analysis (at least in retrospective verification mode,
where the compiler has to handle calls to subprograms which lack Globals or Depends aspect specifications). This means that any rule
that is formulated in terms of inputs and outputs cannot be (completely) enforced by the compiler.
</t>
    </r>
    <r>
      <rPr>
        <b/>
        <sz val="10"/>
        <rFont val="Franklin Gothic Book"/>
        <family val="2"/>
      </rPr>
      <t>Cont in next comment.</t>
    </r>
    <r>
      <rPr>
        <sz val="10"/>
        <rFont val="Franklin Gothic Book"/>
        <family val="2"/>
      </rPr>
      <t xml:space="preserve">
</t>
    </r>
  </si>
  <si>
    <t>Reading the static semantics section of 6.1.4 (which has lots of rules about inputs and outputs), this doesn't seem to be completely clear.
Should those rules go in a "verification rules" section? That section already says:
    A Global aspect is verified against the global_specification rules  given in the static semantics.
Why not move the static semantics stuff (which is, after all, a bunch of rules, not definitions) into the verification rules section and
then eliminate the current (single sentence) contents of that section?</t>
  </si>
  <si>
    <r>
      <t xml:space="preserve">We've got "A global_item that is referenced by a subprogram but is neither an input nor an output of that subprogram [that is, it is only used to
determine the value of an assertion expression] has a  mode_selector of Contract_In." I approve of the use of square brackets to
indicate that redundancy was intended. In this case, I'm not sure that redundancy was achieved.
a) Do we need an explicit rule here about ineffective references? Maybe this is handled elsewhere?
b) How does the above wording apply to the following example?
   declare
     Flag : Boolean := ... ;
     procedure Foo with Global =&gt; (Contract_In =&gt; Flag) is
     begin
        if Flag then
          null;
        end if;
     end Foo;
</t>
    </r>
    <r>
      <rPr>
        <b/>
        <sz val="10"/>
        <rFont val="Franklin Gothic Book"/>
        <family val="2"/>
      </rPr>
      <t>Cont in next comment</t>
    </r>
    <r>
      <rPr>
        <sz val="10"/>
        <rFont val="Franklin Gothic Book"/>
        <family val="2"/>
      </rPr>
      <t xml:space="preserve">
</t>
    </r>
  </si>
  <si>
    <r>
      <t xml:space="preserve">We've got:
    The declaration of a state abstraction may be overloaded by
    a variable declaration or a parameterless function declaration.
This rule seems like a bad idea to me. I think we do not want these
implicit declarations to be overloadable. 
</t>
    </r>
    <r>
      <rPr>
        <b/>
        <sz val="10"/>
        <rFont val="Franklin Gothic Book"/>
        <family val="2"/>
      </rPr>
      <t>Note this is recorded as a review comment when it is really a discussion item since a doc update has been
made in relation to it.</t>
    </r>
    <r>
      <rPr>
        <sz val="10"/>
        <rFont val="Franklin Gothic Book"/>
        <family val="2"/>
      </rPr>
      <t xml:space="preserve">
</t>
    </r>
  </si>
  <si>
    <t xml:space="preserve">All mention of parameterless functions should be removed from the wording for state abstractions. Yes, users can declare parameterless
functions and this may be a useful thing to do, but we don't need any special rules about this any more than we need special rules
to say that a package can declare both a state abstraction and a named number.
For example, we've got:
   A parameterless function declaration which overloads a state abstraction  declaration is used to represent the state abstraction where a state
   abstraction entity is not permitted [e.g. in an expression]. The function declaration is completed by its body which may be used to 
implement the representation of the state abstraction. [That is, how the constituents that make up the state abstraction are related to it.]
This should all go away. If we decide that state abstractions are overloadable, all of the above is redundant. If we follow my recommendation
and decide that state abstractions are not overloadable, then some of the above becomes incorrect instead of redundant.
</t>
  </si>
  <si>
    <t xml:space="preserve">   A Volatile Input or Output state abstraction represents a sequence of state changes brought about by reading or writing successive
values to or from a volatile variable.
This is not a language definition rule. I also don't think it is useful even as non-normative expository text; for that, I think we should
either say nothing at this point or perhaps give an informal preview of the completion rules to come and say that a volatile variable
or state abstraction cannot participate in the refinement of a non-volatile state abstraction. If we do want to say something like that,
it still doesn't belong in the list where this wording presently occurs.
</t>
  </si>
  <si>
    <r>
      <t xml:space="preserve">We've got:
   "An output of a package elaboration is a state abstraction such that the set of variables represented by the state abstraction is
   initialized during elaboration." This is fine, although misplaced, if this is just expository.
As a "hard" definition that might be used in subsequent legality rules, it seems pretty fuzzy.
  An input of a package elaboration is a state abstraction such that the initial value of one or more of the set of variables represented by 
that state abstraction may be used to determine the final value of one or more members of the set of variables represented by the outputs
of the package elaboration.
Ditto.
</t>
    </r>
    <r>
      <rPr>
        <b/>
        <sz val="10"/>
        <rFont val="Franklin Gothic Book"/>
        <family val="2"/>
      </rPr>
      <t>Cont in next comment.</t>
    </r>
    <r>
      <rPr>
        <sz val="10"/>
        <rFont val="Franklin Gothic Book"/>
        <family val="2"/>
      </rPr>
      <t xml:space="preserve">
</t>
    </r>
  </si>
  <si>
    <t xml:space="preserve"> The Depends aspect of a package declaration describes for each output of the package elaboration a list of every input on which
the initial value of that output depends.
If this is a "hard" requirement that a Depends aspect shall not leave out any outputs of the package, then indeed we need a precise
definition of that set (and so we have a problem with the preceding definition). On the other hand, we could simply define the outputs
of a package's elaboration to be the state abstractions that are mentioned as an output in the Depends aspect specification (whether
explicitly stated or implicitly generated). However, the above text then becomes a tautology.</t>
  </si>
  <si>
    <t xml:space="preserve">We've got:
   An Initial Condition Aspect is like a postcondition.
   It should be evaluated following the elaboration of Q
   and its private descendants. If it does not
   evaluate to True, then an exception should be raised.
Should this be moved to the section where all the other Assert-clone
pragmas are defined (i.e., Assert_And_Cut, Loop_Invariant, Assume)?
I'm also concerned about the "and its private descendants"
wording above. It might be reasonable, for example, for a private
descendant body to want to call something out of the parent unit during
its elaboration and therefore apply an Elaborate pragma to the parent
unit. My point is that you cannot, in general, assume that a parent
unit body will be elaborated before the bodies of all of its private
descendants. This makes determining the point at which this assertion is to be evaluated more complicated. It could be done with
help from the binder, but is this really what we want?
</t>
  </si>
  <si>
    <t>Para 1:  Put the last 2 bullet point items ("SPARK 2014 shall provide for... and "SPARK 2014 shall provide for mixing of...") first in the list.
These are the really exciting things.</t>
  </si>
  <si>
    <t>Targetting</t>
  </si>
  <si>
    <t>Not relevant for LRM.</t>
  </si>
  <si>
    <t>This chapter will be removed.</t>
  </si>
  <si>
    <t>Section to be removed</t>
  </si>
  <si>
    <t>Addressed by updates to LRM.</t>
  </si>
  <si>
    <t>REQUIRED</t>
  </si>
  <si>
    <t>NOT REQUIRED</t>
  </si>
  <si>
    <t>OPTIONAL</t>
  </si>
  <si>
    <t>DISCUSS-1</t>
  </si>
  <si>
    <t>DISCUSS-2</t>
  </si>
  <si>
    <t>DISCUSS-3</t>
  </si>
  <si>
    <t>DISCUSS-4</t>
  </si>
  <si>
    <t>DISCUSS-5</t>
  </si>
  <si>
    <t>DISCUSS-6</t>
  </si>
  <si>
    <t>DISCUSS-7</t>
  </si>
  <si>
    <t>DISCUSS-8</t>
  </si>
  <si>
    <t>DISCUSS-9</t>
  </si>
  <si>
    <t>DISCUSS-10</t>
  </si>
  <si>
    <t>DISCUSS-11</t>
  </si>
  <si>
    <t>DISCUSS-12</t>
  </si>
  <si>
    <t>DISCUSS-13</t>
  </si>
  <si>
    <t>DISCUSS-14</t>
  </si>
  <si>
    <t>Discuss Target (REQUIRED - Milestone 2, OPTIONAL - possibly worked in parallel with Milestone 2, NOT REQUIRED - not to be worked before Milestone 2)</t>
  </si>
  <si>
    <t>Refined Pre/Post and whether we need them.</t>
  </si>
  <si>
    <t>State refinement of null (challenge to)</t>
  </si>
  <si>
    <t>Clarify whether visible variables have to appear in Abstract State aspect (and update LRM detail as necessary).</t>
  </si>
  <si>
    <t>What do "Static Semantics" rules represent?</t>
  </si>
  <si>
    <t>Steve's corner case in relation to unwith'ed private child. This relates to state refinement, but
fundamentally to the definition of hidden state.</t>
  </si>
  <si>
    <t>Contexts in which Abstract State aspect allowed: i.e. not allowed for a generic instantiation, but is allowed for a
generic package.</t>
  </si>
  <si>
    <t>Soundness of proof when combining SPARK 2014 with non-SPARK 2014.</t>
  </si>
  <si>
    <t>Abstract state in assertions and proof contexts (including specifying entities in general as only to be used
in assertions)</t>
  </si>
  <si>
    <t>Do visible (concrete) variables have to be covered by an Abstract State aspect? If so,
I don't think we have a rule to enforce this.</t>
  </si>
  <si>
    <t xml:space="preserve">Determining whether visible variables are volatile in the limited view of a package. </t>
  </si>
  <si>
    <t>Initializing a constant declaration with a global from another package: how is that - or can it be - reflected in the aspects?</t>
  </si>
  <si>
    <t>The Ada RM restricts use of F'Result to within a post-condition expression for F. This impacts the syntax of Depends.</t>
  </si>
  <si>
    <t>General issue of certain rules working at multiple levels of abstraction: for example, Initialized aspect. The detail on
Initializes in the 2005 LRM is much more precise about handling both possible levels of abstraction (i.e. are we
talking about something declared in the visible part or something that is a refinement of abstract state).</t>
  </si>
  <si>
    <r>
      <t xml:space="preserve">Other things to discuss:
 Steve's suggestion on defining "state name" (and also implications for the definition of other aspects, </t>
    </r>
    <r>
      <rPr>
        <b/>
        <sz val="11"/>
        <color theme="1"/>
        <rFont val="Calibri"/>
        <family val="2"/>
        <scheme val="minor"/>
      </rPr>
      <t>since
for example we don't explicitly mention object renamings, while Steve's comment implies that they
aren't the same as variables</t>
    </r>
    <r>
      <rPr>
        <sz val="10"/>
        <rFont val="Franklin Gothic Book"/>
        <family val="2"/>
      </rPr>
      <t xml:space="preserve">.
</t>
    </r>
  </si>
  <si>
    <t>DISCUSS-15</t>
  </si>
  <si>
    <t>DISCUSS-16</t>
  </si>
  <si>
    <t>Notes: targeting of 1, 2 or 3 maps to Milestone 2; targeting of 4 and post-Milestone 4 maps to Milestone 3.</t>
  </si>
  <si>
    <t>Old Targeting</t>
  </si>
  <si>
    <t>New Targeting</t>
  </si>
  <si>
    <t>Milestone 2</t>
  </si>
  <si>
    <t>Post-Milestone 4</t>
  </si>
  <si>
    <t>Milestone 3</t>
  </si>
  <si>
    <t>Refined Section</t>
  </si>
  <si>
    <t>A</t>
  </si>
  <si>
    <t>B</t>
  </si>
  <si>
    <t>Row Labels</t>
  </si>
  <si>
    <t>Grand Total</t>
  </si>
  <si>
    <t xml:space="preserve">Count of Reviewer's Comment </t>
  </si>
  <si>
    <t>NOT SIGNED OFF</t>
  </si>
  <si>
    <t>NOT DONE</t>
  </si>
  <si>
    <t>DISCUSS-17</t>
  </si>
  <si>
    <t>DISCUSS-18</t>
  </si>
  <si>
    <t>OTIONAL</t>
  </si>
  <si>
    <t>Global aspect on deferred constant.</t>
  </si>
  <si>
    <t>Logic/proof functions.</t>
  </si>
  <si>
    <t>High-level requirements</t>
  </si>
  <si>
    <t>Days effort</t>
  </si>
  <si>
    <t>Milestone 2
Initial Pages</t>
  </si>
  <si>
    <t>Milestone 2
Pages Remaining</t>
  </si>
  <si>
    <t>Pages per
day</t>
  </si>
  <si>
    <t>Introduction</t>
  </si>
  <si>
    <t>Syntax updates</t>
  </si>
  <si>
    <t>Days remaining</t>
  </si>
  <si>
    <t>W/b 07/01/13</t>
  </si>
  <si>
    <t>W/b 14/01/13</t>
  </si>
  <si>
    <t>W/b 21/01/13</t>
  </si>
  <si>
    <t>W/b 28/01/13</t>
  </si>
  <si>
    <t>W/b 04/02/13</t>
  </si>
  <si>
    <t>JB days lost</t>
  </si>
  <si>
    <t>TJ days lost</t>
  </si>
  <si>
    <t>SB days lost</t>
  </si>
  <si>
    <t>Assume that no staff management until submission.</t>
  </si>
  <si>
    <t>Available</t>
  </si>
  <si>
    <t>Milestone 2
Pages Done</t>
  </si>
  <si>
    <t>Total effort</t>
  </si>
  <si>
    <t>Assume that additional discussion issues are handled separately?</t>
  </si>
  <si>
    <t>What proportion of effort on review and rework?</t>
  </si>
  <si>
    <t>Ch 6 (Milestone 2 rules)</t>
  </si>
  <si>
    <t>Ch 7 (Milestone 2 rules)</t>
  </si>
  <si>
    <t>Assume that do Campaign task on 07/02/13.</t>
  </si>
  <si>
    <t>And then talk on 08/02/13.</t>
  </si>
  <si>
    <t>Pavlos days
lost</t>
  </si>
  <si>
    <t>Total minus
Pavlos</t>
  </si>
  <si>
    <r>
      <t xml:space="preserve">Discussion issues:
- </t>
    </r>
    <r>
      <rPr>
        <b/>
        <sz val="10"/>
        <rFont val="Franklin Gothic Book"/>
        <family val="2"/>
      </rPr>
      <t>SPARK 2014 in or out</t>
    </r>
    <r>
      <rPr>
        <sz val="10"/>
        <rFont val="Franklin Gothic Book"/>
        <family val="2"/>
      </rPr>
      <t xml:space="preserve">
- 2 or 3 issues that require updates
  but that are really review comments.</t>
    </r>
  </si>
  <si>
    <t>Need to filter to remove the non-relevant comments (83 of them)</t>
  </si>
  <si>
    <t>IMPORTANT: check people's holidays.</t>
  </si>
  <si>
    <t>IMPORTANT: check Steve's availability.</t>
  </si>
  <si>
    <t>Risks:</t>
  </si>
  <si>
    <t>That we suffer again from churn (for example, the stuff that Steve has raised wrt Package Initializes).</t>
  </si>
  <si>
    <t>That it simply takes longer to resolve the necessary issues.</t>
  </si>
  <si>
    <t>That the estimates are incorrect.</t>
  </si>
  <si>
    <t>To be completed by COB Wed 6th Feb.</t>
  </si>
  <si>
    <t>Target Date</t>
  </si>
  <si>
    <t>Actions:</t>
  </si>
  <si>
    <t>Assumptions:</t>
  </si>
  <si>
    <r>
      <t xml:space="preserve">No effort allocated for review or rework, but no slack: </t>
    </r>
    <r>
      <rPr>
        <b/>
        <sz val="10"/>
        <rFont val="Franklin Gothic Book"/>
        <family val="2"/>
      </rPr>
      <t>thus, we are relying on Steve to do stuff.</t>
    </r>
  </si>
  <si>
    <t>Comment</t>
  </si>
  <si>
    <t>Hopefully no effort here.</t>
  </si>
  <si>
    <t>Only chapters 6 and 7 will be covered for Milestone 2.</t>
  </si>
  <si>
    <t>Hopefully this is an over-estimate.</t>
  </si>
  <si>
    <t>Work for Pavlos:
Mapping spec and trace ids.</t>
  </si>
  <si>
    <t>Nothing to do yet in the LRM where we mention things being in or out of SPARK 2014.</t>
  </si>
  <si>
    <t>Go through the assumptions with Stuart and Andrew.</t>
  </si>
  <si>
    <t>That we only get to validate the rates of completion for pages of LRM until after we back from Paris and only 2.5 weeks left.</t>
  </si>
  <si>
    <t>Trevor would need to be full time on writing the doc.</t>
  </si>
  <si>
    <t>So…</t>
  </si>
  <si>
    <t>Need to make the HLR stuff about 2 days.</t>
  </si>
  <si>
    <t>Syntax updates should virtually disappear: the main stuff not in Mileston2 is refinement, and that doesn't have syntax.</t>
  </si>
  <si>
    <t>Opportunity that text for examples is also included.</t>
  </si>
  <si>
    <t>Note that the below includes
checking against 2005 LRM</t>
  </si>
  <si>
    <t>Take out Package Init pages.</t>
  </si>
  <si>
    <t>"structured" =&gt; "restructured"</t>
  </si>
  <si>
    <t>For now Abstract_State is typeless. This has to be resolved later on.</t>
  </si>
  <si>
    <t>removed "X /= Y"</t>
  </si>
  <si>
    <t>removed X'Lenght</t>
  </si>
  <si>
    <t>DONE</t>
  </si>
  <si>
    <t>deleted the part about proof rules</t>
  </si>
  <si>
    <t>remove "S.Stack_Vector := Vector'(Index_Range =&gt; 0)"</t>
  </si>
  <si>
    <t>They are equal but we have to define our own equality operator (overload '=').</t>
  </si>
  <si>
    <t>It is most likely not a refinement in SPARK 2014 but it should not raise an error.</t>
  </si>
  <si>
    <t>The Ada literal of sphinx has a bug. It has been reported.</t>
  </si>
  <si>
    <t>Added comments in the code to introduce "=&gt;+"</t>
  </si>
  <si>
    <t>Changed second instance of "Specification in SPARK 2014" =&gt; "Body in SPARK 2014"</t>
  </si>
  <si>
    <t>That would needlessly make the LRM larger.</t>
  </si>
  <si>
    <t>Question is related to the syntax of Refined_State. Once this is finalized we can change this one too.</t>
  </si>
  <si>
    <t>Changed "SPARK tools" =&gt; "Examiner"</t>
  </si>
  <si>
    <t>Not really. The enclosed statements (new hypotheses to be added) are in Ada</t>
  </si>
  <si>
    <t>This has to be done later on. Not enough syntax ready.</t>
  </si>
  <si>
    <t>Changed "S from S, X" =&gt; "S from *, X"</t>
  </si>
  <si>
    <t>Changed everything to singular.</t>
  </si>
  <si>
    <t>Add something on Generics to mapping section?</t>
  </si>
  <si>
    <t>"that are within them as the new hypotheses" - verging on needing knowledge of the proof language to understand this?</t>
  </si>
  <si>
    <t>Changed "Inputs" =&gt; "Input_State" and "Outputs" =&gt; "Output_State"</t>
  </si>
  <si>
    <t>More general question. Not directly related to the mapping spec.</t>
  </si>
  <si>
    <t>Double brackets removed</t>
  </si>
  <si>
    <t>Intro paragraph mentions that "derives" has become "depends". Did not change the title.</t>
  </si>
  <si>
    <t>Changed "X'First .. X'Last" =&gt; "X'Range". The "Positive range" part of it is needed.</t>
  </si>
  <si>
    <t>Covered by previous comment.</t>
  </si>
  <si>
    <t>Added postcondition that says "S.Stack_Vector = S'Old.Stack_Vector".</t>
  </si>
  <si>
    <t>It is presumed if not stated.</t>
  </si>
  <si>
    <t>Section's intro mentions what its purpose is.</t>
  </si>
  <si>
    <t>Removed the comment.</t>
  </si>
  <si>
    <t>When SPARK 2005 and 2014 are identical, we say "As per SPARK 2005".</t>
  </si>
  <si>
    <t>They don't appear</t>
  </si>
  <si>
    <t>They don't have to be covered.</t>
  </si>
  <si>
    <t>Duplicate (intro will
define what each
heading means).</t>
  </si>
  <si>
    <t>Param aspects have
now been removed.</t>
  </si>
  <si>
    <t>Covered under doing the introduction?</t>
  </si>
  <si>
    <t xml:space="preserve">Complete HLR and syntax:
   Volatile
   Ghost variables
   Logic functions
   "Initializes"
   Initial Condition Aspect
   Plus any other locations that not in 
   M2 but where we need high-level 
   needs.
   </t>
  </si>
  <si>
    <t>JB</t>
  </si>
  <si>
    <t xml:space="preserve">Places where we require variables, etc, to be "stand-alone" need also to handle renamings.
</t>
  </si>
  <si>
    <r>
      <t xml:space="preserve">Have removed legality rule 6 in section 7.1.2 (Abstract State) on overloading. </t>
    </r>
    <r>
      <rPr>
        <b/>
        <sz val="10"/>
        <rFont val="Franklin Gothic Book"/>
        <family val="2"/>
      </rPr>
      <t>No longer relevant due to updates by SB in relation to overloading of abstract state declaration.</t>
    </r>
  </si>
  <si>
    <r>
      <t xml:space="preserve">Has been removed. </t>
    </r>
    <r>
      <rPr>
        <b/>
        <sz val="10"/>
        <rFont val="Franklin Gothic Book"/>
        <family val="2"/>
      </rPr>
      <t>No longer relevant due to updates by SB in relation to overloading of abstract state declaration.</t>
    </r>
  </si>
  <si>
    <t>This issue goes away as now only functions can overload state abstractions.</t>
  </si>
  <si>
    <t>Limited view of visible variables as abstract state (introduction of Abstract View). Action is just to check that all necessary updates have been
made in relation to introduction of Abstract Views.</t>
  </si>
  <si>
    <t>Assuming Steve does his stuff, this will be done.</t>
  </si>
  <si>
    <t>Not necessary</t>
  </si>
  <si>
    <t>Used "specified" instead of "instructed". This will also be made clearer via the general updates to be made here.</t>
  </si>
  <si>
    <t>Removed</t>
  </si>
  <si>
    <t>Yes: text updated.</t>
  </si>
  <si>
    <t>Section now removed</t>
  </si>
  <si>
    <t>In or out of SPARK
2014 is a notion used in this introduction.</t>
  </si>
  <si>
    <t>Not important</t>
  </si>
  <si>
    <t>Looks OK.</t>
  </si>
  <si>
    <t>Will be covered by presence of strategic requirements.</t>
  </si>
  <si>
    <t>Will be covered by rewriting of strategic requirements.</t>
  </si>
  <si>
    <t>Updated</t>
  </si>
  <si>
    <t>Text removed</t>
  </si>
  <si>
    <t>Discuss with TJJ</t>
  </si>
  <si>
    <t>Extended legality rules are to be removed.</t>
  </si>
  <si>
    <t>This will happen naturally as part of the decomposition of the new strategic requirements relating to the mix of test and proof.</t>
  </si>
  <si>
    <t>Fixed</t>
  </si>
  <si>
    <t>American spellings will be used.</t>
  </si>
  <si>
    <t>The sense is clear from the statement, so no update made.</t>
  </si>
  <si>
    <t>Combined with surrounding paragraphs to make sense clearer.</t>
  </si>
  <si>
    <t>We aren't proposing
to change now the way this is done.</t>
  </si>
  <si>
    <t>Now removed.</t>
  </si>
  <si>
    <t>Corrected</t>
  </si>
  <si>
    <t>Detail added on this.</t>
  </si>
  <si>
    <t>No longer needed</t>
  </si>
  <si>
    <t>Has been removed</t>
  </si>
  <si>
    <t>Has been added</t>
  </si>
  <si>
    <t>This is in progress and further detail has been added.</t>
  </si>
  <si>
    <t>Rule has been removed</t>
  </si>
  <si>
    <t>Has been updtaed</t>
  </si>
  <si>
    <t>Definition has been added here.</t>
  </si>
  <si>
    <t>List has now been removed.</t>
  </si>
  <si>
    <t>Can't ban them in their entirety, as we want the largest possible subset.</t>
  </si>
  <si>
    <t>Targeted to release 2.</t>
  </si>
  <si>
    <t>"Positive Range" is actually needed in SPARK 2005, though not in Ada 2012.</t>
  </si>
  <si>
    <t>This language feature has been removed.</t>
  </si>
  <si>
    <t>Now makes clear that
is part of SPARK 2014.</t>
  </si>
  <si>
    <t>Text now removed</t>
  </si>
  <si>
    <t>Definition is now given.</t>
  </si>
  <si>
    <t>Text has now been removed</t>
  </si>
  <si>
    <t>Text has now been updated.</t>
  </si>
  <si>
    <t>Text updated</t>
  </si>
  <si>
    <t>Section on Mode Refinement has now been removed.</t>
  </si>
  <si>
    <t>This has now been removed.</t>
  </si>
  <si>
    <t>Detail has now been revised.</t>
  </si>
  <si>
    <t>Notion of independence has now been removed.</t>
  </si>
  <si>
    <t>Text has now been removed.</t>
  </si>
  <si>
    <t>Text has been updated</t>
  </si>
  <si>
    <t>Has been updated</t>
  </si>
  <si>
    <t>Comment added</t>
  </si>
  <si>
    <t>Text has been removed.</t>
  </si>
  <si>
    <t>DURING REVIEW</t>
  </si>
  <si>
    <t>SB - DURING REVIEW</t>
  </si>
  <si>
    <t>Detail on in and out of SPARK has been updated.</t>
  </si>
  <si>
    <t>Add a ToDo to add more examples in the next release (mapping spec serves a different purpose). JB</t>
  </si>
  <si>
    <t>Current wording is OK.</t>
  </si>
  <si>
    <t>ToDo added</t>
  </si>
  <si>
    <t>Update the sentence as suggested, but no additional example early on. JB</t>
  </si>
  <si>
    <t>Get SB to action.</t>
  </si>
  <si>
    <t>Move the Exactly_One_Of check to the postcondition. JB.</t>
  </si>
  <si>
    <t>Not done for SPARK 2005 so not needed for SPARK 2014.</t>
  </si>
  <si>
    <t>null is no longer 
 prohibited reserved
word.</t>
  </si>
  <si>
    <t>This could be considered as a guideline for a code policy.</t>
  </si>
  <si>
    <t>Copy the text from Ch 3 into 7.4. JB</t>
  </si>
  <si>
    <r>
      <t xml:space="preserve"> Add this subsection to 2-14 and document its
meaning in 1.9.   </t>
    </r>
    <r>
      <rPr>
        <b/>
        <sz val="10"/>
        <rFont val="Franklin Gothic Book"/>
        <family val="2"/>
      </rPr>
      <t>JB to discuss with SM.</t>
    </r>
  </si>
  <si>
    <t>Text has been updated.</t>
  </si>
  <si>
    <t xml:space="preserve">Steve's comments on overloadable state abstractions. This effectively means typing of abstract state/referring
to abstract state in proof contexts/assertions. </t>
  </si>
  <si>
    <t>Discuss during conf call. JB</t>
  </si>
  <si>
    <t>This is not true: the Pre/Post aspect appears on the first declaration relating to the subprogram.</t>
  </si>
  <si>
    <t xml:space="preserve"> consider addition of section 0/rationale which
presents vision and goals in the most sales-savvy way.</t>
  </si>
</sst>
</file>

<file path=xl/styles.xml><?xml version="1.0" encoding="utf-8"?>
<styleSheet xmlns="http://schemas.openxmlformats.org/spreadsheetml/2006/main">
  <numFmts count="6">
    <numFmt numFmtId="164" formatCode="d\ mmmm\ yyyy"/>
    <numFmt numFmtId="165" formatCode="dd\ mmmm\ yyyy"/>
    <numFmt numFmtId="166" formatCode="0.0"/>
    <numFmt numFmtId="167" formatCode="[h]:mm"/>
    <numFmt numFmtId="168" formatCode="&quot;Y&quot;"/>
    <numFmt numFmtId="169" formatCode="dd\ mmmm\ yyyy\ hh:mm"/>
  </numFmts>
  <fonts count="32">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color indexed="18"/>
      <name val="Arial"/>
      <family val="2"/>
    </font>
    <font>
      <b/>
      <sz val="10"/>
      <name val="Franklin Gothic Book"/>
      <family val="2"/>
    </font>
    <font>
      <sz val="10"/>
      <name val="Arial"/>
      <family val="2"/>
    </font>
    <font>
      <sz val="18"/>
      <name val="Franklin Gothic Book"/>
      <family val="2"/>
    </font>
    <font>
      <sz val="18"/>
      <name val="Franklin Gothic Demi"/>
      <family val="2"/>
    </font>
    <font>
      <b/>
      <sz val="18"/>
      <name val="Franklin Gothic Book"/>
      <family val="2"/>
    </font>
    <font>
      <i/>
      <sz val="10"/>
      <name val="Franklin Gothic Book"/>
      <family val="2"/>
    </font>
    <font>
      <strike/>
      <sz val="10"/>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11"/>
      <name val="Franklin Gothic Book"/>
      <family val="2"/>
    </font>
    <font>
      <sz val="7"/>
      <name val="Franklin Gothic Book"/>
      <family val="2"/>
    </font>
    <font>
      <b/>
      <sz val="14"/>
      <name val="Franklin Gothic Book"/>
      <family val="2"/>
    </font>
    <font>
      <sz val="14"/>
      <color rgb="FFFFFFFF"/>
      <name val="Franklin Gothic Demi"/>
      <family val="2"/>
    </font>
    <font>
      <b/>
      <sz val="10"/>
      <color rgb="FFFF0000"/>
      <name val="Franklin Gothic Book"/>
      <family val="2"/>
    </font>
    <font>
      <sz val="10"/>
      <color theme="0"/>
      <name val="Franklin Gothic Book"/>
      <family val="2"/>
    </font>
    <font>
      <sz val="9"/>
      <color theme="0"/>
      <name val="Franklin Gothic Book"/>
      <family val="2"/>
    </font>
    <font>
      <b/>
      <sz val="11"/>
      <color theme="1"/>
      <name val="Calibri"/>
      <family val="2"/>
      <scheme val="minor"/>
    </font>
    <font>
      <sz val="12"/>
      <name val="Franklin Gothic Demi"/>
      <family val="2"/>
    </font>
    <font>
      <sz val="12"/>
      <name val="Franklin Gothic Book"/>
      <family val="2"/>
    </font>
    <font>
      <b/>
      <sz val="12"/>
      <name val="Franklin Gothic Demi"/>
      <family val="2"/>
    </font>
    <font>
      <b/>
      <sz val="12"/>
      <name val="Franklin Gothic Book"/>
      <family val="2"/>
    </font>
  </fonts>
  <fills count="1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thick">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2">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0" fontId="8"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321">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3" fillId="0" borderId="0" xfId="1" applyAlignment="1">
      <alignment horizontal="left" vertical="top"/>
    </xf>
    <xf numFmtId="0" fontId="0" fillId="0" borderId="0" xfId="0" applyAlignment="1">
      <alignment horizontal="left" vertical="top"/>
    </xf>
    <xf numFmtId="0" fontId="5" fillId="0" borderId="0" xfId="0" applyFont="1" applyAlignment="1">
      <alignment horizontal="left" vertical="top"/>
    </xf>
    <xf numFmtId="0" fontId="5" fillId="0" borderId="0" xfId="0" applyFont="1" applyAlignment="1">
      <alignment horizontal="left" vertical="top" wrapText="1"/>
    </xf>
    <xf numFmtId="0" fontId="4" fillId="0" borderId="0" xfId="2" applyAlignment="1">
      <alignment horizontal="left" vertical="top" wrapText="1"/>
    </xf>
    <xf numFmtId="0" fontId="5" fillId="0" borderId="0" xfId="6" applyFont="1"/>
    <xf numFmtId="0" fontId="5" fillId="0" borderId="2" xfId="6" applyFont="1" applyBorder="1"/>
    <xf numFmtId="0" fontId="9" fillId="0" borderId="0" xfId="6" applyFont="1"/>
    <xf numFmtId="0" fontId="9" fillId="0" borderId="0" xfId="6" applyFont="1" applyBorder="1"/>
    <xf numFmtId="0" fontId="11" fillId="0" borderId="0" xfId="6" applyFont="1"/>
    <xf numFmtId="0" fontId="12" fillId="0" borderId="0" xfId="6" applyFont="1" applyAlignment="1">
      <alignment horizontal="right"/>
    </xf>
    <xf numFmtId="164" fontId="12" fillId="0" borderId="0" xfId="6" applyNumberFormat="1" applyFont="1" applyAlignment="1">
      <alignment horizontal="left"/>
    </xf>
    <xf numFmtId="15" fontId="5" fillId="0" borderId="0" xfId="6" applyNumberFormat="1" applyFont="1" applyAlignment="1">
      <alignment horizontal="left"/>
    </xf>
    <xf numFmtId="0" fontId="2" fillId="0" borderId="0" xfId="6" applyFont="1"/>
    <xf numFmtId="0" fontId="7" fillId="0" borderId="0" xfId="6" applyFont="1"/>
    <xf numFmtId="0" fontId="12" fillId="0" borderId="0" xfId="6" applyFont="1"/>
    <xf numFmtId="0" fontId="13" fillId="0" borderId="0" xfId="6" applyFont="1"/>
    <xf numFmtId="0" fontId="0" fillId="0" borderId="0" xfId="0" applyBorder="1" applyAlignment="1">
      <alignment vertical="top" wrapText="1"/>
    </xf>
    <xf numFmtId="0" fontId="23" fillId="3" borderId="0" xfId="2" applyFont="1" applyFill="1" applyBorder="1" applyAlignment="1">
      <alignment horizontal="left" vertical="top" wrapText="1"/>
    </xf>
    <xf numFmtId="0" fontId="5" fillId="0" borderId="0" xfId="0" applyFont="1"/>
    <xf numFmtId="0" fontId="7"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8" applyFont="1" applyAlignment="1">
      <alignment vertical="top" wrapText="1"/>
      <protection locked="0"/>
    </xf>
    <xf numFmtId="0" fontId="1" fillId="0" borderId="3" xfId="8" applyBorder="1">
      <alignment horizontal="left" vertical="top" wrapText="1"/>
      <protection locked="0"/>
    </xf>
    <xf numFmtId="0" fontId="1" fillId="0" borderId="4" xfId="8" applyFont="1" applyBorder="1">
      <alignment horizontal="left" vertical="top" wrapText="1"/>
      <protection locked="0"/>
    </xf>
    <xf numFmtId="0" fontId="1" fillId="0" borderId="0" xfId="5"/>
    <xf numFmtId="0" fontId="3" fillId="0" borderId="0" xfId="1"/>
    <xf numFmtId="0" fontId="14" fillId="0" borderId="3" xfId="8" applyFont="1" applyBorder="1" applyAlignment="1">
      <alignment horizontal="left" vertical="top" wrapText="1"/>
      <protection locked="0"/>
    </xf>
    <xf numFmtId="0" fontId="1" fillId="0" borderId="5" xfId="8" applyFont="1" applyBorder="1" applyAlignment="1">
      <alignment horizontal="left" vertical="top" wrapText="1"/>
      <protection locked="0"/>
    </xf>
    <xf numFmtId="0" fontId="0" fillId="0" borderId="4" xfId="8" applyFont="1" applyBorder="1" applyAlignment="1">
      <alignment horizontal="left" vertical="top" wrapText="1"/>
      <protection locked="0"/>
    </xf>
    <xf numFmtId="0" fontId="0" fillId="0" borderId="1" xfId="8" applyFont="1">
      <alignment horizontal="left" vertical="top" wrapText="1"/>
      <protection locked="0"/>
    </xf>
    <xf numFmtId="0" fontId="1" fillId="0" borderId="1" xfId="8" applyFont="1" applyAlignment="1">
      <alignment horizontal="left" vertical="top" wrapText="1"/>
      <protection locked="0"/>
    </xf>
    <xf numFmtId="0" fontId="2" fillId="2" borderId="1" xfId="11">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5"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24"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4" borderId="1" xfId="5" applyFill="1" applyBorder="1" applyAlignment="1">
      <alignment horizontal="center"/>
    </xf>
    <xf numFmtId="0" fontId="3" fillId="0" borderId="0" xfId="1" applyFont="1"/>
    <xf numFmtId="0" fontId="1" fillId="0" borderId="0" xfId="5" applyProtection="1"/>
    <xf numFmtId="9" fontId="1" fillId="0" borderId="6" xfId="7" applyBorder="1" applyAlignment="1" applyProtection="1">
      <alignment horizontal="left" vertical="top" wrapText="1"/>
    </xf>
    <xf numFmtId="0" fontId="1" fillId="0" borderId="6" xfId="5" applyBorder="1" applyAlignment="1" applyProtection="1">
      <alignment horizontal="left"/>
    </xf>
    <xf numFmtId="0" fontId="2" fillId="2" borderId="7" xfId="11" applyFont="1" applyBorder="1">
      <alignment horizontal="left" vertical="top" wrapText="1"/>
    </xf>
    <xf numFmtId="9" fontId="1" fillId="0" borderId="4" xfId="7" applyBorder="1" applyAlignment="1" applyProtection="1">
      <alignment horizontal="left" vertical="top" wrapText="1"/>
    </xf>
    <xf numFmtId="0" fontId="1" fillId="0" borderId="1" xfId="8" applyBorder="1" applyProtection="1">
      <alignment horizontal="left" vertical="top" wrapText="1"/>
    </xf>
    <xf numFmtId="0" fontId="2" fillId="2" borderId="4" xfId="11" applyBorder="1">
      <alignment horizontal="left" vertical="top" wrapText="1"/>
    </xf>
    <xf numFmtId="9" fontId="1" fillId="0" borderId="1" xfId="7" applyBorder="1" applyAlignment="1" applyProtection="1">
      <alignment horizontal="left" vertical="top" wrapText="1"/>
    </xf>
    <xf numFmtId="0" fontId="1" fillId="0" borderId="0" xfId="5" applyBorder="1" applyAlignment="1" applyProtection="1"/>
    <xf numFmtId="0" fontId="1" fillId="0" borderId="4" xfId="8" applyBorder="1" applyAlignment="1" applyProtection="1">
      <alignment horizontal="left" vertical="top" wrapText="1"/>
    </xf>
    <xf numFmtId="0" fontId="2" fillId="2" borderId="1" xfId="11" applyFont="1" applyBorder="1" applyAlignment="1">
      <alignment horizontal="left" vertical="top" wrapText="1"/>
    </xf>
    <xf numFmtId="0" fontId="1" fillId="0" borderId="1" xfId="8" applyFont="1" applyAlignment="1" applyProtection="1">
      <alignment horizontal="center" vertical="top" wrapText="1"/>
    </xf>
    <xf numFmtId="2" fontId="1" fillId="0" borderId="8" xfId="8" applyNumberFormat="1" applyFont="1" applyBorder="1" applyAlignment="1" applyProtection="1">
      <alignment horizontal="center" vertical="top" wrapText="1"/>
    </xf>
    <xf numFmtId="2" fontId="1" fillId="0" borderId="1" xfId="8" applyNumberFormat="1" applyFont="1" applyAlignment="1" applyProtection="1">
      <alignment horizontal="center" vertical="top" wrapText="1"/>
    </xf>
    <xf numFmtId="0" fontId="1" fillId="0" borderId="1" xfId="8" applyAlignment="1" applyProtection="1">
      <alignment horizontal="center" vertical="top" wrapText="1"/>
    </xf>
    <xf numFmtId="0" fontId="1" fillId="0" borderId="9" xfId="8" applyBorder="1" applyAlignment="1" applyProtection="1">
      <alignment horizontal="center" vertical="top" wrapText="1"/>
    </xf>
    <xf numFmtId="0" fontId="1" fillId="0" borderId="1" xfId="8" applyProtection="1">
      <alignment horizontal="left" vertical="top" wrapText="1"/>
    </xf>
    <xf numFmtId="0" fontId="1" fillId="0" borderId="0" xfId="8" applyBorder="1" applyAlignment="1" applyProtection="1">
      <alignment horizontal="center" vertical="top" wrapText="1"/>
    </xf>
    <xf numFmtId="168" fontId="1" fillId="0" borderId="1" xfId="8" applyNumberFormat="1" applyAlignment="1" applyProtection="1">
      <alignment horizontal="center" vertical="top" wrapText="1"/>
    </xf>
    <xf numFmtId="0" fontId="0" fillId="0" borderId="0" xfId="8" applyNumberFormat="1" applyFont="1" applyBorder="1" applyAlignment="1" applyProtection="1">
      <alignment horizontal="center" vertical="top" wrapText="1"/>
    </xf>
    <xf numFmtId="0" fontId="1" fillId="0" borderId="1" xfId="10"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0" xfId="4" applyAlignment="1">
      <alignment horizontal="left" vertical="top" wrapText="1"/>
    </xf>
    <xf numFmtId="0" fontId="18" fillId="0" borderId="0" xfId="4" applyFont="1" applyAlignment="1">
      <alignment horizontal="left" vertical="top" wrapText="1"/>
    </xf>
    <xf numFmtId="0" fontId="1" fillId="0" borderId="0" xfId="4" applyNumberFormat="1" applyAlignment="1">
      <alignment horizontal="center" vertical="top" wrapText="1"/>
    </xf>
    <xf numFmtId="49" fontId="1" fillId="0" borderId="0" xfId="4" applyNumberFormat="1" applyAlignment="1">
      <alignment horizontal="left" vertical="top" wrapText="1"/>
    </xf>
    <xf numFmtId="49" fontId="1" fillId="0" borderId="1" xfId="10" applyNumberFormat="1" applyFont="1">
      <alignment horizontal="left" vertical="top" wrapText="1"/>
      <protection locked="0"/>
    </xf>
    <xf numFmtId="0" fontId="1" fillId="0" borderId="1" xfId="10" applyNumberFormat="1" applyFont="1" applyAlignment="1" applyProtection="1">
      <alignment horizontal="center" vertical="top" wrapText="1"/>
    </xf>
    <xf numFmtId="49" fontId="1" fillId="0" borderId="1" xfId="10" applyNumberFormat="1">
      <alignment horizontal="left" vertical="top" wrapText="1"/>
      <protection locked="0"/>
    </xf>
    <xf numFmtId="0" fontId="1" fillId="0" borderId="1" xfId="10" applyFont="1">
      <alignment horizontal="left" vertical="top" wrapText="1"/>
      <protection locked="0"/>
    </xf>
    <xf numFmtId="0" fontId="2" fillId="2" borderId="1" xfId="11" applyFont="1" applyAlignment="1">
      <alignment horizontal="center" textRotation="90" wrapText="1"/>
    </xf>
    <xf numFmtId="0" fontId="1" fillId="0" borderId="0" xfId="4" applyAlignment="1" applyProtection="1">
      <alignment horizontal="left" vertical="top" wrapText="1"/>
    </xf>
    <xf numFmtId="0" fontId="18" fillId="0" borderId="0" xfId="4" applyFont="1" applyAlignment="1" applyProtection="1">
      <alignment horizontal="left" vertical="top" wrapText="1"/>
    </xf>
    <xf numFmtId="0" fontId="1" fillId="0" borderId="0" xfId="4" applyNumberFormat="1" applyAlignment="1" applyProtection="1">
      <alignment horizontal="center" vertical="top" wrapText="1"/>
    </xf>
    <xf numFmtId="49" fontId="1" fillId="0" borderId="0" xfId="4" applyNumberFormat="1" applyAlignment="1" applyProtection="1">
      <alignment horizontal="left" vertical="top" wrapText="1"/>
    </xf>
    <xf numFmtId="0" fontId="3" fillId="0" borderId="0" xfId="1" applyProtection="1"/>
    <xf numFmtId="0" fontId="7" fillId="0" borderId="1" xfId="4" applyFont="1" applyBorder="1" applyAlignment="1" applyProtection="1">
      <alignment horizontal="right" vertical="top" wrapText="1"/>
    </xf>
    <xf numFmtId="0" fontId="1" fillId="0" borderId="0" xfId="4" applyFont="1" applyBorder="1" applyAlignment="1" applyProtection="1">
      <alignment vertical="top" wrapText="1"/>
    </xf>
    <xf numFmtId="1" fontId="1" fillId="0" borderId="0" xfId="10" applyNumberFormat="1" applyFont="1" applyBorder="1" applyAlignment="1" applyProtection="1">
      <alignment vertical="top" wrapText="1"/>
    </xf>
    <xf numFmtId="165" fontId="1" fillId="0" borderId="0" xfId="10" applyNumberFormat="1" applyFont="1" applyBorder="1" applyAlignment="1">
      <alignment vertical="top" wrapText="1"/>
      <protection locked="0"/>
    </xf>
    <xf numFmtId="49" fontId="1" fillId="0" borderId="0" xfId="10"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4" borderId="1" xfId="5" applyFill="1" applyBorder="1"/>
    <xf numFmtId="0" fontId="1" fillId="0" borderId="1" xfId="5" applyBorder="1" applyProtection="1">
      <protection locked="0"/>
    </xf>
    <xf numFmtId="0" fontId="2" fillId="5" borderId="1" xfId="11" applyFont="1" applyFill="1" applyAlignment="1">
      <alignment horizontal="center" textRotation="90" wrapText="1"/>
    </xf>
    <xf numFmtId="0" fontId="7" fillId="5" borderId="1" xfId="4" applyFont="1" applyFill="1" applyBorder="1" applyAlignment="1">
      <alignment horizontal="left" vertical="top" wrapText="1"/>
    </xf>
    <xf numFmtId="0" fontId="2" fillId="6" borderId="1" xfId="11" applyFont="1" applyFill="1" applyAlignment="1">
      <alignment horizontal="center" textRotation="90" wrapText="1"/>
    </xf>
    <xf numFmtId="0" fontId="2" fillId="7" borderId="1" xfId="11" applyFont="1" applyFill="1" applyAlignment="1">
      <alignment horizontal="center" textRotation="90" wrapText="1"/>
    </xf>
    <xf numFmtId="0" fontId="2" fillId="7" borderId="1" xfId="11"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0" xfId="6" applyFont="1"/>
    <xf numFmtId="0" fontId="1" fillId="0" borderId="0" xfId="0" applyFont="1" applyAlignment="1">
      <alignment vertical="top" wrapText="1"/>
    </xf>
    <xf numFmtId="0" fontId="1" fillId="0" borderId="1" xfId="8" applyBorder="1" applyAlignment="1" applyProtection="1">
      <alignment horizontal="left" vertical="top" wrapText="1"/>
    </xf>
    <xf numFmtId="0" fontId="1" fillId="0" borderId="0" xfId="0" applyFont="1"/>
    <xf numFmtId="0" fontId="2" fillId="8" borderId="0" xfId="11" applyFill="1" applyBorder="1">
      <alignment horizontal="left" vertical="top" wrapText="1"/>
    </xf>
    <xf numFmtId="0" fontId="2" fillId="2" borderId="11" xfId="11" applyBorder="1">
      <alignment horizontal="left" vertical="top" wrapText="1"/>
    </xf>
    <xf numFmtId="0" fontId="2" fillId="5" borderId="1" xfId="11" applyFill="1">
      <alignment horizontal="left" vertical="top" wrapText="1"/>
    </xf>
    <xf numFmtId="0" fontId="2" fillId="7" borderId="1" xfId="11" applyFill="1">
      <alignment horizontal="left" vertical="top" wrapText="1"/>
    </xf>
    <xf numFmtId="0" fontId="2" fillId="7" borderId="1" xfId="5" applyFont="1" applyFill="1" applyBorder="1" applyAlignment="1">
      <alignment vertical="top" wrapText="1"/>
    </xf>
    <xf numFmtId="0" fontId="2" fillId="7" borderId="1" xfId="11" applyFill="1" applyAlignment="1">
      <alignment vertical="top" wrapText="1"/>
    </xf>
    <xf numFmtId="0" fontId="2" fillId="7" borderId="1" xfId="11" applyFont="1" applyFill="1">
      <alignment horizontal="left" vertical="top" wrapText="1"/>
    </xf>
    <xf numFmtId="0" fontId="19" fillId="7" borderId="1" xfId="11" applyFont="1" applyFill="1" applyAlignment="1">
      <alignment horizontal="center" textRotation="90" wrapText="1"/>
    </xf>
    <xf numFmtId="0" fontId="2" fillId="7" borderId="1" xfId="11" applyFill="1" applyAlignment="1">
      <alignment horizontal="center" textRotation="90" wrapText="1"/>
    </xf>
    <xf numFmtId="49" fontId="2" fillId="6" borderId="1" xfId="11" applyNumberFormat="1" applyFont="1" applyFill="1" applyAlignment="1">
      <alignment horizontal="center" wrapText="1"/>
    </xf>
    <xf numFmtId="49" fontId="2" fillId="6" borderId="1" xfId="11" applyNumberFormat="1" applyFont="1" applyFill="1" applyAlignment="1">
      <alignment horizontal="center" textRotation="90" wrapText="1"/>
    </xf>
    <xf numFmtId="0" fontId="2" fillId="6" borderId="1" xfId="11" applyFill="1" applyAlignment="1">
      <alignment horizontal="center" wrapText="1"/>
    </xf>
    <xf numFmtId="0" fontId="2" fillId="6" borderId="1" xfId="11" applyFont="1" applyFill="1" applyBorder="1" applyAlignment="1">
      <alignment horizontal="center" wrapText="1"/>
    </xf>
    <xf numFmtId="0" fontId="2" fillId="6" borderId="8" xfId="11" applyFont="1" applyFill="1" applyBorder="1" applyAlignment="1">
      <alignment horizontal="center" wrapText="1"/>
    </xf>
    <xf numFmtId="0" fontId="2" fillId="5" borderId="1" xfId="11" applyFont="1" applyFill="1">
      <alignment horizontal="left" vertical="top" wrapText="1"/>
    </xf>
    <xf numFmtId="14" fontId="0" fillId="0" borderId="0" xfId="0" applyNumberFormat="1"/>
    <xf numFmtId="0" fontId="2" fillId="9" borderId="1" xfId="11" applyFill="1" applyAlignment="1">
      <alignment horizontal="center" textRotation="90" wrapText="1"/>
    </xf>
    <xf numFmtId="0" fontId="2" fillId="9" borderId="1" xfId="11" applyNumberFormat="1" applyFont="1" applyFill="1" applyAlignment="1">
      <alignment horizontal="center" textRotation="90" wrapText="1"/>
    </xf>
    <xf numFmtId="0" fontId="25" fillId="0" borderId="0" xfId="4" applyFont="1" applyAlignment="1" applyProtection="1">
      <alignment horizontal="left" vertical="top" wrapText="1"/>
    </xf>
    <xf numFmtId="0" fontId="25" fillId="0" borderId="0" xfId="4" applyNumberFormat="1" applyFont="1" applyAlignment="1" applyProtection="1">
      <alignment horizontal="center" vertical="top" wrapText="1"/>
    </xf>
    <xf numFmtId="0" fontId="26" fillId="0" borderId="0" xfId="4" applyFont="1" applyAlignment="1" applyProtection="1">
      <alignment horizontal="left" vertical="top" wrapText="1"/>
    </xf>
    <xf numFmtId="0" fontId="1" fillId="0" borderId="0" xfId="0" applyFont="1" applyAlignment="1">
      <alignment horizontal="left" vertical="top" wrapText="1"/>
    </xf>
    <xf numFmtId="0" fontId="24" fillId="0" borderId="0" xfId="5" applyFont="1" applyBorder="1" applyAlignment="1">
      <alignment horizontal="center"/>
    </xf>
    <xf numFmtId="0" fontId="1" fillId="0" borderId="1" xfId="10" applyFont="1" applyAlignment="1" applyProtection="1">
      <alignment horizontal="center" vertical="top" wrapText="1"/>
      <protection locked="0"/>
    </xf>
    <xf numFmtId="0" fontId="1" fillId="0" borderId="0" xfId="4" applyBorder="1" applyAlignment="1" applyProtection="1">
      <alignment vertical="top" wrapText="1"/>
    </xf>
    <xf numFmtId="0" fontId="2" fillId="2" borderId="1" xfId="11" applyFont="1" applyBorder="1" applyAlignment="1">
      <alignment horizontal="center" wrapText="1"/>
    </xf>
    <xf numFmtId="0" fontId="20" fillId="8" borderId="1" xfId="0" applyFont="1" applyFill="1" applyBorder="1" applyAlignment="1">
      <alignment horizontal="left" vertical="top" wrapText="1"/>
    </xf>
    <xf numFmtId="0" fontId="2" fillId="0" borderId="0" xfId="0" applyFont="1" applyAlignment="1">
      <alignment wrapText="1"/>
    </xf>
    <xf numFmtId="49" fontId="2" fillId="0" borderId="0" xfId="0" applyNumberFormat="1" applyFont="1" applyAlignment="1">
      <alignment horizontal="left" vertical="top" wrapText="1"/>
    </xf>
    <xf numFmtId="0" fontId="2" fillId="0" borderId="0" xfId="0" applyFont="1" applyAlignment="1">
      <alignment horizontal="center"/>
    </xf>
    <xf numFmtId="0" fontId="2" fillId="0" borderId="0" xfId="0" applyFont="1"/>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11" fillId="0" borderId="0" xfId="5" applyNumberFormat="1" applyFont="1" applyProtection="1"/>
    <xf numFmtId="0" fontId="7" fillId="0" borderId="0" xfId="5" applyFont="1" applyProtection="1"/>
    <xf numFmtId="0" fontId="1" fillId="0" borderId="10"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25" fillId="0" borderId="0" xfId="5" applyFont="1" applyAlignment="1" applyProtection="1">
      <alignment horizontal="center"/>
    </xf>
    <xf numFmtId="0" fontId="2" fillId="6" borderId="1" xfId="11" applyFont="1" applyFill="1" applyProtection="1">
      <alignment horizontal="left" vertical="top" wrapText="1"/>
    </xf>
    <xf numFmtId="0" fontId="2" fillId="6" borderId="1" xfId="11" applyFont="1" applyFill="1" applyAlignment="1" applyProtection="1">
      <alignment horizontal="left" textRotation="90" wrapText="1"/>
    </xf>
    <xf numFmtId="0" fontId="2" fillId="6" borderId="1" xfId="11" applyFill="1" applyProtection="1">
      <alignment horizontal="left" vertical="top" wrapText="1"/>
    </xf>
    <xf numFmtId="0" fontId="2" fillId="2" borderId="1" xfId="11" applyBorder="1" applyAlignment="1" applyProtection="1">
      <alignment horizontal="center" textRotation="90" wrapText="1"/>
    </xf>
    <xf numFmtId="2" fontId="2" fillId="2" borderId="1" xfId="11" applyNumberFormat="1" applyAlignment="1" applyProtection="1">
      <alignment horizontal="center" vertical="top" wrapText="1"/>
    </xf>
    <xf numFmtId="0" fontId="2" fillId="2" borderId="1" xfId="11" applyAlignment="1" applyProtection="1">
      <alignment horizontal="center" vertical="top" wrapText="1"/>
    </xf>
    <xf numFmtId="0" fontId="2" fillId="2" borderId="1" xfId="11" applyAlignment="1" applyProtection="1">
      <alignment horizontal="center" textRotation="90" wrapText="1"/>
    </xf>
    <xf numFmtId="0" fontId="1" fillId="0" borderId="1" xfId="8" applyFont="1" applyProtection="1">
      <alignment horizontal="left" vertical="top" wrapText="1"/>
    </xf>
    <xf numFmtId="0" fontId="7" fillId="0" borderId="1" xfId="8" applyFont="1" applyProtection="1">
      <alignment horizontal="left" vertical="top" wrapText="1"/>
    </xf>
    <xf numFmtId="0" fontId="7" fillId="0" borderId="1" xfId="5" applyFont="1" applyBorder="1" applyAlignment="1" applyProtection="1">
      <alignment horizontal="center"/>
    </xf>
    <xf numFmtId="0" fontId="1" fillId="0" borderId="1" xfId="5" applyBorder="1" applyAlignment="1" applyProtection="1">
      <alignment horizontal="center"/>
    </xf>
    <xf numFmtId="0" fontId="7" fillId="0" borderId="1" xfId="5" applyFont="1" applyBorder="1" applyAlignment="1" applyProtection="1">
      <alignment horizontal="center" vertical="top"/>
    </xf>
    <xf numFmtId="0" fontId="7" fillId="0" borderId="8"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7" borderId="1" xfId="11" applyFont="1" applyFill="1" applyProtection="1">
      <alignment horizontal="left" vertical="top" wrapText="1"/>
    </xf>
    <xf numFmtId="0" fontId="2" fillId="7" borderId="1" xfId="11" applyFont="1" applyFill="1" applyAlignment="1" applyProtection="1">
      <alignment horizontal="left" textRotation="90" wrapText="1"/>
    </xf>
    <xf numFmtId="0" fontId="2" fillId="7" borderId="1" xfId="11" applyFill="1" applyProtection="1">
      <alignment horizontal="left" vertical="top" wrapText="1"/>
    </xf>
    <xf numFmtId="0" fontId="2" fillId="5" borderId="1" xfId="11" applyFont="1" applyFill="1" applyProtection="1">
      <alignment horizontal="left" vertical="top" wrapText="1"/>
    </xf>
    <xf numFmtId="0" fontId="2" fillId="5" borderId="1" xfId="11" applyFont="1" applyFill="1" applyAlignment="1" applyProtection="1">
      <alignment horizontal="left" textRotation="90" wrapText="1"/>
    </xf>
    <xf numFmtId="0" fontId="2" fillId="5" borderId="1" xfId="11" applyFill="1" applyProtection="1">
      <alignment horizontal="left" vertical="top" wrapText="1"/>
    </xf>
    <xf numFmtId="0" fontId="1" fillId="0" borderId="1" xfId="8" applyFont="1" applyProtection="1">
      <alignment horizontal="left" vertical="top" wrapText="1"/>
      <protection locked="0"/>
    </xf>
    <xf numFmtId="169" fontId="0" fillId="0" borderId="1" xfId="8" applyNumberFormat="1" applyFont="1" applyAlignment="1">
      <alignment horizontal="left" vertical="top" wrapText="1"/>
      <protection locked="0"/>
    </xf>
    <xf numFmtId="0" fontId="1" fillId="0" borderId="5" xfId="8" applyFont="1" applyBorder="1" applyAlignment="1" applyProtection="1">
      <alignment horizontal="left" vertical="top" wrapText="1"/>
      <protection locked="0"/>
    </xf>
    <xf numFmtId="49" fontId="1" fillId="0" borderId="1" xfId="10" applyNumberFormat="1" applyFo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25" fillId="0" borderId="0" xfId="4" applyNumberFormat="1" applyFont="1" applyAlignment="1" applyProtection="1">
      <alignment horizontal="left" vertical="top" wrapText="1"/>
    </xf>
    <xf numFmtId="2" fontId="2" fillId="6" borderId="1" xfId="11" applyNumberFormat="1" applyFont="1" applyFill="1" applyAlignment="1">
      <alignment horizontal="center" wrapText="1"/>
    </xf>
    <xf numFmtId="2" fontId="1" fillId="0" borderId="1" xfId="10" applyNumberFormat="1" applyFont="1">
      <alignment horizontal="left" vertical="top" wrapText="1"/>
      <protection locked="0"/>
    </xf>
    <xf numFmtId="2" fontId="1" fillId="0" borderId="0" xfId="4" applyNumberFormat="1" applyAlignment="1">
      <alignment horizontal="left" vertical="top" wrapText="1"/>
    </xf>
    <xf numFmtId="2" fontId="1" fillId="0" borderId="0" xfId="10" applyNumberFormat="1" applyFont="1" applyBorder="1" applyAlignment="1" applyProtection="1">
      <alignment vertical="top" wrapText="1"/>
      <protection locked="0"/>
    </xf>
    <xf numFmtId="2" fontId="1" fillId="0" borderId="0" xfId="10" applyNumberFormat="1" applyFont="1" applyBorder="1" applyAlignment="1">
      <alignment vertical="top" wrapText="1"/>
      <protection locked="0"/>
    </xf>
    <xf numFmtId="2" fontId="1" fillId="0" borderId="0" xfId="10" applyNumberFormat="1" applyFont="1" applyBorder="1" applyAlignment="1" applyProtection="1">
      <alignment vertical="top" wrapText="1"/>
    </xf>
    <xf numFmtId="2" fontId="2" fillId="7" borderId="1" xfId="11" applyNumberFormat="1" applyFont="1" applyFill="1" applyAlignment="1">
      <alignment horizontal="center" wrapText="1"/>
    </xf>
    <xf numFmtId="0" fontId="1" fillId="0" borderId="5" xfId="8" applyBorder="1">
      <alignment horizontal="left" vertical="top" wrapText="1"/>
      <protection locked="0"/>
    </xf>
    <xf numFmtId="0" fontId="1" fillId="0" borderId="3" xfId="8" applyFont="1" applyBorder="1">
      <alignment horizontal="left" vertical="top" wrapText="1"/>
      <protection locked="0"/>
    </xf>
    <xf numFmtId="0" fontId="2" fillId="10" borderId="1" xfId="11" applyFont="1" applyFill="1" applyBorder="1" applyAlignment="1">
      <alignment horizontal="center" wrapText="1"/>
    </xf>
    <xf numFmtId="0" fontId="2" fillId="5" borderId="1" xfId="11" applyFont="1" applyFill="1" applyBorder="1" applyAlignment="1">
      <alignment horizontal="center" wrapText="1"/>
    </xf>
    <xf numFmtId="0" fontId="2" fillId="9" borderId="1" xfId="0" applyFont="1" applyFill="1" applyBorder="1" applyAlignment="1">
      <alignment textRotation="90"/>
    </xf>
    <xf numFmtId="0" fontId="1" fillId="0" borderId="1" xfId="5" applyBorder="1" applyAlignment="1">
      <alignment vertical="top" wrapText="1"/>
    </xf>
    <xf numFmtId="0" fontId="1" fillId="9" borderId="1" xfId="0" applyFont="1" applyFill="1" applyBorder="1"/>
    <xf numFmtId="0" fontId="25" fillId="0" borderId="0" xfId="0" applyFont="1"/>
    <xf numFmtId="0" fontId="25" fillId="0" borderId="0" xfId="0" applyFont="1" applyBorder="1"/>
    <xf numFmtId="49" fontId="1" fillId="0" borderId="0" xfId="6" applyNumberFormat="1" applyFont="1" applyAlignment="1">
      <alignment horizontal="left"/>
    </xf>
    <xf numFmtId="0" fontId="1" fillId="0" borderId="0" xfId="0" applyFont="1" applyBorder="1"/>
    <xf numFmtId="0" fontId="7" fillId="9" borderId="1" xfId="0" applyFont="1" applyFill="1" applyBorder="1"/>
    <xf numFmtId="0" fontId="0" fillId="0" borderId="1" xfId="0" applyFill="1" applyBorder="1"/>
    <xf numFmtId="0" fontId="1" fillId="0" borderId="1" xfId="0" applyFont="1" applyFill="1" applyBorder="1"/>
    <xf numFmtId="0" fontId="7" fillId="11" borderId="1" xfId="0" applyFont="1" applyFill="1" applyBorder="1" applyAlignment="1">
      <alignment wrapText="1"/>
    </xf>
    <xf numFmtId="0" fontId="7" fillId="12" borderId="1" xfId="0" applyFont="1" applyFill="1" applyBorder="1" applyAlignment="1">
      <alignment wrapText="1"/>
    </xf>
    <xf numFmtId="0" fontId="1" fillId="0" borderId="1" xfId="0" applyFont="1" applyFill="1" applyBorder="1" applyAlignment="1">
      <alignment wrapText="1"/>
    </xf>
    <xf numFmtId="0" fontId="22" fillId="0" borderId="1" xfId="0" applyFont="1" applyBorder="1" applyAlignment="1">
      <alignment wrapText="1"/>
    </xf>
    <xf numFmtId="0" fontId="7" fillId="0" borderId="0" xfId="4" applyFont="1" applyBorder="1" applyAlignment="1" applyProtection="1">
      <alignment horizontal="left" vertical="top" wrapText="1"/>
    </xf>
    <xf numFmtId="0" fontId="8" fillId="7" borderId="11" xfId="4" applyFont="1" applyFill="1" applyBorder="1" applyAlignment="1" applyProtection="1">
      <alignment horizontal="left" vertical="top" wrapText="1"/>
    </xf>
    <xf numFmtId="0" fontId="0" fillId="7" borderId="12"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8" applyBorder="1" applyAlignment="1" applyProtection="1">
      <alignment horizontal="left" vertical="top" wrapText="1"/>
    </xf>
    <xf numFmtId="0" fontId="25" fillId="0" borderId="0" xfId="0" applyFont="1" applyBorder="1" applyAlignment="1"/>
    <xf numFmtId="15" fontId="1" fillId="0" borderId="0" xfId="6" applyNumberFormat="1" applyFont="1" applyAlignment="1">
      <alignment horizontal="left"/>
    </xf>
    <xf numFmtId="0" fontId="1" fillId="0" borderId="13" xfId="0" applyFont="1" applyBorder="1" applyAlignment="1">
      <alignment vertical="top" wrapText="1"/>
    </xf>
    <xf numFmtId="0" fontId="2" fillId="0" borderId="13" xfId="0" applyFont="1" applyBorder="1" applyAlignment="1">
      <alignment vertical="top" wrapText="1"/>
    </xf>
    <xf numFmtId="0" fontId="7" fillId="13" borderId="0" xfId="5" quotePrefix="1" applyFont="1" applyFill="1" applyBorder="1"/>
    <xf numFmtId="0" fontId="7" fillId="13" borderId="0" xfId="5" applyFont="1" applyFill="1" applyBorder="1"/>
    <xf numFmtId="0" fontId="7" fillId="13" borderId="0" xfId="5" applyFont="1" applyFill="1" applyBorder="1" applyAlignment="1">
      <alignment wrapText="1"/>
    </xf>
    <xf numFmtId="0" fontId="7" fillId="13" borderId="0" xfId="5" quotePrefix="1" applyFont="1" applyFill="1" applyBorder="1" applyAlignment="1">
      <alignment wrapText="1"/>
    </xf>
    <xf numFmtId="0" fontId="1" fillId="0" borderId="1" xfId="10" applyNumberFormat="1">
      <alignment horizontal="left" vertical="top" wrapText="1"/>
      <protection locked="0"/>
    </xf>
    <xf numFmtId="0" fontId="8" fillId="6" borderId="11" xfId="4" applyFont="1" applyFill="1" applyBorder="1" applyAlignment="1" applyProtection="1">
      <alignment horizontal="center" vertical="top" wrapText="1"/>
    </xf>
    <xf numFmtId="0" fontId="1" fillId="0" borderId="1" xfId="10" applyNumberFormat="1" applyFont="1">
      <alignment horizontal="left" vertical="top" wrapText="1"/>
      <protection locked="0"/>
    </xf>
    <xf numFmtId="49" fontId="2" fillId="6" borderId="1" xfId="11" applyNumberFormat="1" applyFont="1" applyFill="1" applyAlignment="1">
      <alignment horizontal="center" textRotation="90" wrapText="1" readingOrder="1"/>
    </xf>
    <xf numFmtId="0" fontId="1" fillId="0" borderId="0" xfId="0" applyFont="1" applyAlignment="1">
      <alignment wrapText="1"/>
    </xf>
    <xf numFmtId="0" fontId="28" fillId="0" borderId="0" xfId="1" applyFont="1" applyProtection="1"/>
    <xf numFmtId="0" fontId="29" fillId="0" borderId="0" xfId="4" applyFont="1" applyAlignment="1" applyProtection="1">
      <alignment horizontal="left" vertical="top" wrapText="1"/>
    </xf>
    <xf numFmtId="49" fontId="29" fillId="0" borderId="0" xfId="4" applyNumberFormat="1" applyFont="1" applyAlignment="1" applyProtection="1">
      <alignment horizontal="left" vertical="top" wrapText="1"/>
    </xf>
    <xf numFmtId="0" fontId="30" fillId="0" borderId="0" xfId="1" applyFont="1" applyProtection="1"/>
    <xf numFmtId="0" fontId="31" fillId="0" borderId="0" xfId="4" applyFont="1" applyAlignment="1" applyProtection="1">
      <alignment horizontal="left" vertical="top" wrapText="1"/>
    </xf>
    <xf numFmtId="0" fontId="0" fillId="0" borderId="0" xfId="0" applyAlignment="1">
      <alignment wrapText="1"/>
    </xf>
    <xf numFmtId="0" fontId="1" fillId="0" borderId="0" xfId="0" applyFont="1"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0" fontId="7" fillId="0" borderId="0" xfId="0" applyFont="1" applyAlignment="1">
      <alignment wrapText="1"/>
    </xf>
    <xf numFmtId="2" fontId="1" fillId="0" borderId="1" xfId="10" applyNumberFormat="1" applyFont="1" applyAlignment="1">
      <alignment horizontal="left" vertical="top" wrapText="1"/>
      <protection locked="0"/>
    </xf>
    <xf numFmtId="0" fontId="1" fillId="0" borderId="0" xfId="0" applyFont="1" applyAlignment="1">
      <alignment wrapText="1"/>
    </xf>
    <xf numFmtId="0" fontId="0" fillId="0" borderId="0" xfId="0" applyAlignment="1">
      <alignment wrapText="1"/>
    </xf>
    <xf numFmtId="0" fontId="1" fillId="0" borderId="0" xfId="0" applyFont="1" applyAlignment="1">
      <alignment wrapText="1"/>
    </xf>
    <xf numFmtId="0" fontId="1" fillId="0" borderId="0" xfId="0" applyFont="1" applyAlignment="1">
      <alignment wrapText="1"/>
    </xf>
    <xf numFmtId="49" fontId="7" fillId="0" borderId="1" xfId="10" applyNumberFormat="1" applyFont="1">
      <alignment horizontal="left" vertical="top" wrapText="1"/>
      <protection locked="0"/>
    </xf>
    <xf numFmtId="0" fontId="1" fillId="0" borderId="0" xfId="0" applyFont="1" applyAlignment="1">
      <alignment wrapText="1"/>
    </xf>
    <xf numFmtId="0" fontId="2" fillId="7" borderId="1" xfId="11" applyFont="1" applyFill="1" applyBorder="1" applyAlignment="1">
      <alignment vertical="top" wrapText="1"/>
    </xf>
    <xf numFmtId="0" fontId="2" fillId="7" borderId="1" xfId="11" applyFill="1" applyBorder="1" applyAlignment="1">
      <alignment vertical="top" wrapText="1"/>
    </xf>
    <xf numFmtId="0" fontId="2" fillId="7" borderId="14" xfId="11" applyFill="1" applyBorder="1" applyAlignment="1">
      <alignment vertical="top" wrapText="1"/>
    </xf>
    <xf numFmtId="0" fontId="2" fillId="7" borderId="9" xfId="11" applyFill="1" applyBorder="1" applyAlignment="1">
      <alignment vertical="top" wrapText="1"/>
    </xf>
    <xf numFmtId="0" fontId="2" fillId="7" borderId="15" xfId="11" applyFill="1" applyBorder="1" applyAlignment="1">
      <alignment vertical="top" wrapText="1"/>
    </xf>
    <xf numFmtId="0" fontId="2" fillId="7" borderId="4" xfId="11" applyFill="1" applyBorder="1" applyAlignment="1">
      <alignment vertical="top" wrapText="1"/>
    </xf>
    <xf numFmtId="0" fontId="2" fillId="7" borderId="3" xfId="11" applyFill="1" applyBorder="1" applyAlignment="1">
      <alignment vertical="top" wrapText="1"/>
    </xf>
    <xf numFmtId="0" fontId="1" fillId="0" borderId="10" xfId="4" applyBorder="1" applyAlignment="1" applyProtection="1">
      <alignment vertical="top" wrapText="1"/>
    </xf>
    <xf numFmtId="0" fontId="1" fillId="14" borderId="14" xfId="4" applyFill="1" applyBorder="1" applyAlignment="1">
      <alignment horizontal="left" vertical="top" wrapText="1"/>
    </xf>
    <xf numFmtId="0" fontId="0" fillId="0" borderId="16" xfId="0" applyBorder="1" applyAlignment="1">
      <alignment horizontal="left" vertical="top" wrapText="1"/>
    </xf>
    <xf numFmtId="0" fontId="7" fillId="0" borderId="16" xfId="4" applyFont="1" applyBorder="1" applyAlignment="1" applyProtection="1">
      <alignment horizontal="left" vertical="top" wrapText="1"/>
    </xf>
    <xf numFmtId="0" fontId="1" fillId="0" borderId="11" xfId="10" applyFont="1" applyBorder="1" applyAlignment="1">
      <alignment horizontal="left" vertical="top" wrapText="1"/>
      <protection locked="0"/>
    </xf>
    <xf numFmtId="0" fontId="1" fillId="0" borderId="12" xfId="10" applyFont="1" applyBorder="1" applyAlignment="1">
      <alignment horizontal="left" vertical="top" wrapText="1"/>
      <protection locked="0"/>
    </xf>
    <xf numFmtId="0" fontId="1" fillId="0" borderId="8" xfId="10" applyFont="1" applyBorder="1" applyAlignment="1">
      <alignment horizontal="left" vertical="top" wrapText="1"/>
      <protection locked="0"/>
    </xf>
    <xf numFmtId="1" fontId="1" fillId="0" borderId="1" xfId="10" applyNumberFormat="1" applyFont="1" applyBorder="1" applyAlignment="1" applyProtection="1">
      <alignment horizontal="left" vertical="top" wrapText="1"/>
    </xf>
    <xf numFmtId="0" fontId="2" fillId="2" borderId="11" xfId="11" applyFont="1" applyBorder="1" applyAlignment="1" applyProtection="1">
      <alignment horizontal="left" vertical="top" wrapText="1"/>
    </xf>
    <xf numFmtId="0" fontId="1" fillId="0" borderId="12" xfId="4" applyBorder="1" applyAlignment="1" applyProtection="1">
      <alignment horizontal="left" vertical="top" wrapText="1"/>
    </xf>
    <xf numFmtId="0" fontId="8" fillId="6" borderId="1" xfId="4" applyFont="1" applyFill="1" applyBorder="1" applyAlignment="1" applyProtection="1">
      <alignment horizontal="center" vertical="top" wrapText="1"/>
    </xf>
    <xf numFmtId="0" fontId="8" fillId="5" borderId="11" xfId="4" applyFont="1" applyFill="1" applyBorder="1" applyAlignment="1" applyProtection="1">
      <alignment horizontal="center" vertical="top" wrapText="1"/>
    </xf>
    <xf numFmtId="0" fontId="8" fillId="5" borderId="12" xfId="4" applyFont="1" applyFill="1" applyBorder="1" applyAlignment="1" applyProtection="1">
      <alignment horizontal="center" vertical="top" wrapText="1"/>
    </xf>
    <xf numFmtId="0" fontId="0" fillId="5" borderId="12" xfId="0" applyFill="1" applyBorder="1" applyAlignment="1">
      <alignment horizontal="center" vertical="top" wrapText="1"/>
    </xf>
    <xf numFmtId="0" fontId="0" fillId="5" borderId="8" xfId="0" applyFill="1" applyBorder="1" applyAlignment="1">
      <alignment horizontal="center" vertical="top" wrapText="1"/>
    </xf>
    <xf numFmtId="0" fontId="2" fillId="6" borderId="11" xfId="11" applyFill="1" applyBorder="1" applyAlignment="1">
      <alignment horizontal="left" vertical="top" wrapText="1"/>
    </xf>
    <xf numFmtId="0" fontId="1" fillId="6" borderId="12" xfId="4" applyFill="1" applyBorder="1" applyAlignment="1">
      <alignment horizontal="left" vertical="top" wrapText="1"/>
    </xf>
    <xf numFmtId="0" fontId="1" fillId="0" borderId="11" xfId="8" applyBorder="1" applyAlignment="1" applyProtection="1">
      <alignment horizontal="left" vertical="top" wrapText="1"/>
    </xf>
    <xf numFmtId="0" fontId="1" fillId="0" borderId="12" xfId="8" applyBorder="1" applyAlignment="1" applyProtection="1">
      <alignment horizontal="left" vertical="top" wrapText="1"/>
    </xf>
    <xf numFmtId="0" fontId="1" fillId="0" borderId="8" xfId="8" applyBorder="1" applyAlignment="1" applyProtection="1">
      <alignment horizontal="left" vertical="top" wrapText="1"/>
    </xf>
    <xf numFmtId="0" fontId="1" fillId="0" borderId="10" xfId="4" applyBorder="1" applyAlignment="1" applyProtection="1">
      <alignment horizontal="left" vertical="top" wrapText="1"/>
    </xf>
    <xf numFmtId="0" fontId="1" fillId="0" borderId="8" xfId="4" applyBorder="1" applyAlignment="1" applyProtection="1">
      <alignment horizontal="left" vertical="top" wrapText="1"/>
    </xf>
    <xf numFmtId="0" fontId="2" fillId="6" borderId="11" xfId="11" applyFont="1" applyFill="1" applyBorder="1" applyAlignment="1" applyProtection="1">
      <alignment horizontal="left" vertical="top" wrapText="1"/>
    </xf>
    <xf numFmtId="0" fontId="1" fillId="6" borderId="12" xfId="4" applyFill="1" applyBorder="1" applyAlignment="1" applyProtection="1">
      <alignment horizontal="left" vertical="top" wrapText="1"/>
    </xf>
    <xf numFmtId="0" fontId="4" fillId="0" borderId="10" xfId="1" applyFont="1" applyBorder="1" applyAlignment="1">
      <alignment wrapText="1"/>
    </xf>
    <xf numFmtId="0" fontId="0" fillId="0" borderId="10" xfId="0" applyBorder="1" applyAlignment="1"/>
    <xf numFmtId="0" fontId="1" fillId="5" borderId="11" xfId="0" applyFont="1" applyFill="1" applyBorder="1" applyAlignment="1">
      <alignment horizontal="center"/>
    </xf>
    <xf numFmtId="0" fontId="1" fillId="5" borderId="12" xfId="0" applyFont="1" applyFill="1" applyBorder="1" applyAlignment="1">
      <alignment horizontal="center"/>
    </xf>
    <xf numFmtId="0" fontId="0" fillId="0" borderId="8" xfId="0" applyBorder="1" applyAlignment="1">
      <alignment horizontal="center"/>
    </xf>
    <xf numFmtId="0" fontId="1" fillId="6" borderId="11" xfId="0" applyFont="1" applyFill="1" applyBorder="1" applyAlignment="1">
      <alignment horizontal="center"/>
    </xf>
    <xf numFmtId="0" fontId="0" fillId="0" borderId="12" xfId="0" applyBorder="1" applyAlignment="1">
      <alignment horizontal="center"/>
    </xf>
    <xf numFmtId="0" fontId="0" fillId="0" borderId="8" xfId="0" applyBorder="1" applyAlignment="1"/>
    <xf numFmtId="0" fontId="7" fillId="7" borderId="11" xfId="0" applyFont="1" applyFill="1" applyBorder="1" applyAlignment="1">
      <alignment horizontal="left" wrapText="1"/>
    </xf>
    <xf numFmtId="0" fontId="7" fillId="7" borderId="8" xfId="0" applyFont="1" applyFill="1" applyBorder="1" applyAlignment="1">
      <alignment horizontal="left" wrapText="1"/>
    </xf>
    <xf numFmtId="0" fontId="7" fillId="7" borderId="8" xfId="0" applyFont="1" applyFill="1" applyBorder="1" applyAlignment="1">
      <alignment horizontal="left"/>
    </xf>
    <xf numFmtId="0" fontId="7" fillId="12" borderId="4" xfId="0" applyFont="1" applyFill="1" applyBorder="1" applyAlignment="1">
      <alignment horizontal="center" wrapText="1"/>
    </xf>
    <xf numFmtId="0" fontId="7" fillId="12" borderId="5" xfId="0" applyFont="1" applyFill="1" applyBorder="1" applyAlignment="1">
      <alignment horizontal="center" wrapText="1"/>
    </xf>
    <xf numFmtId="0" fontId="7" fillId="12" borderId="3" xfId="0" applyFont="1" applyFill="1" applyBorder="1" applyAlignment="1">
      <alignment horizontal="center" wrapText="1"/>
    </xf>
    <xf numFmtId="0" fontId="1" fillId="0" borderId="0" xfId="5" applyAlignment="1" applyProtection="1">
      <alignment horizontal="left"/>
    </xf>
    <xf numFmtId="0" fontId="2" fillId="2" borderId="14" xfId="11" applyFont="1" applyBorder="1" applyProtection="1">
      <alignment horizontal="left" vertical="top" wrapText="1"/>
    </xf>
    <xf numFmtId="0" fontId="2" fillId="2" borderId="18" xfId="11" applyFont="1" applyBorder="1" applyProtection="1">
      <alignment horizontal="left" vertical="top" wrapText="1"/>
    </xf>
    <xf numFmtId="0" fontId="2" fillId="2" borderId="15" xfId="11" applyFont="1" applyBorder="1" applyAlignment="1" applyProtection="1">
      <alignment horizontal="right" vertical="top" wrapText="1"/>
    </xf>
    <xf numFmtId="0" fontId="2" fillId="2" borderId="17" xfId="11" applyFont="1" applyBorder="1" applyAlignment="1" applyProtection="1">
      <alignment horizontal="right" vertical="top" wrapText="1"/>
    </xf>
    <xf numFmtId="0" fontId="7" fillId="0" borderId="1" xfId="5" applyFont="1" applyBorder="1" applyAlignment="1" applyProtection="1">
      <alignment horizontal="left" vertical="top" wrapText="1"/>
    </xf>
    <xf numFmtId="0" fontId="7" fillId="0" borderId="1" xfId="5" applyFont="1" applyBorder="1" applyAlignment="1" applyProtection="1"/>
    <xf numFmtId="0" fontId="1" fillId="0" borderId="1" xfId="5" applyBorder="1" applyProtection="1">
      <protection locked="0"/>
    </xf>
    <xf numFmtId="0" fontId="1" fillId="0" borderId="11" xfId="5" applyBorder="1" applyAlignment="1" applyProtection="1">
      <alignment wrapText="1"/>
      <protection locked="0"/>
    </xf>
    <xf numFmtId="0" fontId="1" fillId="0" borderId="8" xfId="5" applyBorder="1" applyAlignment="1" applyProtection="1">
      <alignment wrapText="1"/>
      <protection locked="0"/>
    </xf>
    <xf numFmtId="0" fontId="1" fillId="14" borderId="1" xfId="5" applyFill="1" applyBorder="1" applyAlignment="1">
      <alignment horizontal="left"/>
    </xf>
    <xf numFmtId="0" fontId="1" fillId="0" borderId="1" xfId="5" applyBorder="1" applyAlignment="1" applyProtection="1">
      <alignment wrapText="1"/>
      <protection locked="0"/>
    </xf>
    <xf numFmtId="0" fontId="1" fillId="0" borderId="0" xfId="5" applyAlignment="1">
      <alignment horizontal="left" vertical="top" wrapText="1"/>
    </xf>
    <xf numFmtId="0" fontId="1" fillId="0" borderId="0" xfId="5" applyAlignment="1">
      <alignment horizontal="left"/>
    </xf>
    <xf numFmtId="0" fontId="1" fillId="15" borderId="1" xfId="5" applyFill="1" applyBorder="1"/>
    <xf numFmtId="0" fontId="1" fillId="4" borderId="1" xfId="5" applyFill="1" applyBorder="1"/>
    <xf numFmtId="0" fontId="1" fillId="0" borderId="11" xfId="5" applyBorder="1" applyAlignment="1" applyProtection="1">
      <alignment horizontal="left" vertical="top" wrapText="1"/>
      <protection locked="0"/>
    </xf>
    <xf numFmtId="0" fontId="0" fillId="0" borderId="12" xfId="0" applyBorder="1" applyAlignment="1"/>
    <xf numFmtId="166" fontId="1" fillId="0" borderId="11" xfId="8" applyNumberFormat="1" applyBorder="1" applyAlignment="1" applyProtection="1">
      <alignment horizontal="left" vertical="top" wrapText="1"/>
    </xf>
    <xf numFmtId="166" fontId="1" fillId="0" borderId="8" xfId="5" applyNumberFormat="1" applyBorder="1" applyAlignment="1"/>
    <xf numFmtId="165" fontId="1" fillId="0" borderId="1" xfId="8" applyNumberFormat="1" applyFont="1">
      <alignment horizontal="left" vertical="top" wrapText="1"/>
      <protection locked="0"/>
    </xf>
    <xf numFmtId="165" fontId="1" fillId="0" borderId="1" xfId="8" applyNumberFormat="1">
      <alignment horizontal="left" vertical="top" wrapText="1"/>
      <protection locked="0"/>
    </xf>
    <xf numFmtId="2" fontId="1" fillId="0" borderId="1" xfId="8" applyNumberFormat="1" applyProtection="1">
      <alignment horizontal="left" vertical="top" wrapText="1"/>
    </xf>
    <xf numFmtId="0" fontId="1" fillId="0" borderId="1" xfId="8">
      <alignment horizontal="left" vertical="top" wrapText="1"/>
      <protection locked="0"/>
    </xf>
    <xf numFmtId="0" fontId="1" fillId="0" borderId="1" xfId="8" applyFont="1">
      <alignment horizontal="left" vertical="top" wrapText="1"/>
      <protection locked="0"/>
    </xf>
    <xf numFmtId="167" fontId="1" fillId="0" borderId="11" xfId="8" applyNumberFormat="1" applyBorder="1" applyAlignment="1" applyProtection="1">
      <alignment horizontal="left" vertical="top" wrapText="1"/>
    </xf>
    <xf numFmtId="0" fontId="1" fillId="0" borderId="8" xfId="5" applyBorder="1" applyAlignment="1"/>
    <xf numFmtId="0" fontId="10" fillId="0" borderId="0" xfId="6" applyFont="1" applyAlignment="1">
      <alignment wrapText="1"/>
    </xf>
    <xf numFmtId="0" fontId="0" fillId="0" borderId="0" xfId="0" applyAlignment="1">
      <alignment wrapText="1"/>
    </xf>
    <xf numFmtId="0" fontId="1" fillId="0" borderId="0" xfId="0" applyFont="1" applyAlignment="1">
      <alignment wrapText="1"/>
    </xf>
    <xf numFmtId="0" fontId="2" fillId="0" borderId="0" xfId="0" applyFont="1" applyFill="1" applyBorder="1" applyAlignment="1">
      <alignment horizontal="center" vertical="top" wrapText="1"/>
    </xf>
    <xf numFmtId="0" fontId="0" fillId="0" borderId="0" xfId="0" applyAlignment="1">
      <alignment vertical="top" wrapText="1"/>
    </xf>
  </cellXfs>
  <cellStyles count="12">
    <cellStyle name="Heading 1" xfId="1" builtinId="16" customBuiltin="1"/>
    <cellStyle name="Heading 2" xfId="2" builtinId="17" customBuiltin="1"/>
    <cellStyle name="Normal" xfId="0" builtinId="0"/>
    <cellStyle name="Normal 2" xfId="3"/>
    <cellStyle name="Normal 2 2" xfId="4"/>
    <cellStyle name="Normal 3" xfId="5"/>
    <cellStyle name="Normal_512_011 FWP HMI MMIO7 SIVV Tracing" xfId="6"/>
    <cellStyle name="Percent 2" xfId="7"/>
    <cellStyle name="Table Body" xfId="8"/>
    <cellStyle name="Table Body 2" xfId="9"/>
    <cellStyle name="Table Body 2 2" xfId="10"/>
    <cellStyle name="Table Heading" xfId="11"/>
  </cellStyles>
  <dxfs count="25">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0</xdr:row>
      <xdr:rowOff>609600</xdr:rowOff>
    </xdr:to>
    <xdr:pic>
      <xdr:nvPicPr>
        <xdr:cNvPr id="44198" name="Picture 4" descr="C:\Documents and Settings\stephen.daws\My Documents\My Pictures\AltranPraxis_Logo_RGB.jpg"/>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381250" cy="609600"/>
        </a:xfrm>
        <a:prstGeom prst="rect">
          <a:avLst/>
        </a:prstGeom>
        <a:noFill/>
        <a:ln w="9525">
          <a:noFill/>
          <a:miter lim="800000"/>
          <a:headEnd/>
          <a:tailEn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n.burton" refreshedDate="41306.365426736113" createdVersion="3" refreshedVersion="3" minRefreshableVersion="3" recordCount="332">
  <cacheSource type="worksheet">
    <worksheetSource ref="E20:R352" sheet="Comments"/>
  </cacheSource>
  <cacheFields count="14">
    <cacheField name="Targetting" numFmtId="0">
      <sharedItems count="6">
        <s v="4 - Refinement"/>
        <s v="3 - All Subprogram Aspects"/>
        <s v="2 - All Package Aspects"/>
        <s v="1 - Basic Spec Aspects"/>
        <s v="7 - Discussion"/>
        <s v="6 - Post-Milestone 4"/>
      </sharedItems>
    </cacheField>
    <cacheField name="Discuss Target (REQUIRED - Milestone 2, OPTIONAL - possibly worked in parallel with Milestone 2, NOT REQUIRED - not to be worked before Milestone 2)" numFmtId="0">
      <sharedItems containsBlank="1"/>
    </cacheField>
    <cacheField name="Refined Section" numFmtId="0">
      <sharedItems containsMixedTypes="1" containsNumber="1" containsInteger="1" minValue="1" maxValue="14" count="15">
        <n v="7"/>
        <n v="6"/>
        <s v="General"/>
        <n v="5"/>
        <n v="1"/>
        <n v="2"/>
        <n v="4"/>
        <n v="9"/>
        <s v="A"/>
        <s v="B"/>
        <s v="C"/>
        <n v="11"/>
        <n v="13"/>
        <n v="3"/>
        <n v="14"/>
      </sharedItems>
    </cacheField>
    <cacheField name="Section Reference or Line Number(s)" numFmtId="0">
      <sharedItems containsBlank="1" containsMixedTypes="1" containsNumber="1" minValue="1" maxValue="13.4"/>
    </cacheField>
    <cacheField name="Page/para" numFmtId="0">
      <sharedItems containsBlank="1" containsMixedTypes="1" containsNumber="1" containsInteger="1" minValue="4" maxValue="37"/>
    </cacheField>
    <cacheField name="Comment Category" numFmtId="0">
      <sharedItems containsNonDate="0" containsString="0" containsBlank="1"/>
    </cacheField>
    <cacheField name="Reviewer's Comment " numFmtId="0">
      <sharedItems longText="1"/>
    </cacheField>
    <cacheField name="Additional information (e.g. data allowing the reviewer to group comments by category)" numFmtId="49">
      <sharedItems containsNonDate="0" containsString="0" containsBlank="1"/>
    </cacheField>
    <cacheField name="Action" numFmtId="0">
      <sharedItems containsBlank="1" longText="1"/>
    </cacheField>
    <cacheField name="Response to comment" numFmtId="0">
      <sharedItems containsBlank="1" longText="1"/>
    </cacheField>
    <cacheField name="Author's Response" numFmtId="49">
      <sharedItems containsBlank="1"/>
    </cacheField>
    <cacheField name="Comment Status" numFmtId="0">
      <sharedItems containsBlank="1"/>
    </cacheField>
    <cacheField name="Carried out?" numFmtId="0">
      <sharedItems containsBlank="1" count="4">
        <s v="NOT DONE"/>
        <s v="DONE"/>
        <m u="1"/>
        <s v="YES" u="1"/>
      </sharedItems>
    </cacheField>
    <cacheField name="Sign-off by &quot;Checker&quot; (initials)" numFmtId="0">
      <sharedItems containsBlank="1" count="2">
        <s v="NOT SIGNED OFF"/>
        <m u="1"/>
      </sharedItems>
    </cacheField>
  </cacheFields>
</pivotCacheDefinition>
</file>

<file path=xl/pivotCache/pivotCacheRecords1.xml><?xml version="1.0" encoding="utf-8"?>
<pivotCacheRecords xmlns="http://schemas.openxmlformats.org/spreadsheetml/2006/main" xmlns:r="http://schemas.openxmlformats.org/officeDocument/2006/relationships" count="332">
  <r>
    <x v="0"/>
    <m/>
    <x v="0"/>
    <m/>
    <m/>
    <m/>
    <s v="We've got_x000a_   Every input and output of a dependency_relation of a Depends aspect_x000a_   of a package specification is a state abstraction._x000a_and_x000a_   Every output of an initialization_list of an Initializes aspect of a_x000a_   package specification is a state abstraction._x000a__x000a_So how do we annotate (via Initializes or Depends)_x000a__x000a_    package Other_Pkg is_x000a_      Y : Integer := ... ;_x000a_    end Other_Pkg;_x000a__x000a_    with Other_Pkg;_x000a_    package Pkg is_x000a_      X : Integer;_x000a_      ..._x000a_    end Pkg;_x000a__x000a_    package body Pkg is_x000a_      ..._x000a_    begin_x000a_      X := Other_Pkg.Y;_x000a_    end;_x000a_? I think I am missing something here._x000a_"/>
    <m/>
    <m/>
    <m/>
    <m/>
    <s v="-"/>
    <x v="0"/>
    <x v="0"/>
  </r>
  <r>
    <x v="0"/>
    <m/>
    <x v="0"/>
    <m/>
    <m/>
    <m/>
    <s v="We've got_x000a_    An aspect_specification shall not have an Initializes Aspect_x000a_    if it has a Depends aspect._x000a__x000a_This seems inconsistent with the treatment of subprograms, where_x000a_we allow (AFAIK) specification of both the Global and Depends aspects_x000a_for one subprogram. Perhaps we intended to disallow this case for_x000a_subprograms too?_x000a_"/>
    <m/>
    <m/>
    <m/>
    <m/>
    <s v="-"/>
    <x v="0"/>
    <x v="0"/>
  </r>
  <r>
    <x v="0"/>
    <m/>
    <x v="0"/>
    <m/>
    <m/>
    <m/>
    <s v="We've got_x000a_   An Initializes aspect shall not allow function_result as an output._x000a__x000a_This is redundant._x000a_F'Result is only defined &quot;Within a postcondition expression for function _x000a_F&quot;. We added special rules for some attributes to allow_x000a_uses of F'Result in other contexts, but we don't need to say anything_x000a_if we just want to confirm the default rules._x000a__x000a_We could either delete this rule or just slap square brackets around it_x000a_(indicating redundancy)._x000a_"/>
    <m/>
    <m/>
    <m/>
    <m/>
    <s v="-"/>
    <x v="0"/>
    <x v="0"/>
  </r>
  <r>
    <x v="0"/>
    <m/>
    <x v="0"/>
    <m/>
    <m/>
    <m/>
    <s v="We've got_x000a_   The object denoted by a given output in an Initializes aspect shall_x000a_   not be denoted by any other output in that Initializes aspect._x000a__x000a_as well as_x000a_   The object denoted by a given input in an input_list shall not be_x000a_    denoted by any other input in that input_list._x000a__x000a_Now we also have the more succinct_x000a__x000a_    global_items in the same Global aspect shall denote_x000a_    distinct entities._x000a__x000a_I like the shorter form better and would like to see it_x000a_used in all similar situations._x000a_"/>
    <m/>
    <m/>
    <m/>
    <m/>
    <m/>
    <x v="0"/>
    <x v="0"/>
  </r>
  <r>
    <x v="0"/>
    <m/>
    <x v="0"/>
    <m/>
    <m/>
    <m/>
    <s v="We've got_x000a_    An Initial Condition Aspect is like a postcondition. It should be_x000a_    evaluated following the elaboration of Q and its_x000a_    private descendants. If it does not evaluate to True,_x000a_    then an exception should be raised._x000a__x000a_Let's ignore the wording issues (&quot;an exception&quot;? &quot;should be&quot;?) andlook at the more fundamental question of whether this is what we want._x000a__x000a_The obvious implementation is to generate an Assert pragma at the end of the elaboration code for the package body, but then we notice the_x000a_words &quot;and its private descendants&quot;._x000a__x000a_One solution is to require specialized binder support for this. That seems a bit over-the-top for my tastes, and would require mention_x000a_in section 1.5._x000a_Another approach would be to somehow require that a private descendant's_x000a_body must be elaborated before that of the parent unit, but that seems_x000a_very unpleasant (the descendant might, very reasonably, want to call_x000a_subprograms of the parent during elaboration)._x000a__x000a_Dunno what to do here._x000a_"/>
    <m/>
    <m/>
    <m/>
    <m/>
    <s v="-"/>
    <x v="0"/>
    <x v="0"/>
  </r>
  <r>
    <x v="0"/>
    <m/>
    <x v="0"/>
    <m/>
    <m/>
    <m/>
    <s v="We've got:_x000a__x000a_   For each export that appears in a Depends aspect or Initializes  aspect of a package declaration the following must be satisfied:_x000a_     • Each export that is a variable must be initialized at its point of declaration, initialized by the sequence of statements of the_x000a_package, or by an embedded package or a private child package which names the export in its Depends aspect or Initializes aspect;_x000a_     • For an export which is a state_name, each constituent of the export that is a variable must       be initialized at its point of_x000a_declaration, initialized by the  sequence of statements of the package, or by an embedded package or a private child package_x000a_which names the export in its Depends aspect or Initializes aspect;_x000a_    • For an export which is a state_name each constituent of the export that is a state_name_x000a_must appear in the Depends aspect or Initializes aspect of an embedded package or private child package._x000a__x000a_I think that, at least, we can somehow avoid most of the repetition of the first two bulleted items._x000a_"/>
    <m/>
    <m/>
    <m/>
    <m/>
    <s v="-"/>
    <x v="0"/>
    <x v="0"/>
  </r>
  <r>
    <x v="0"/>
    <m/>
    <x v="0"/>
    <m/>
    <m/>
    <m/>
    <s v="We've got_x000a_    A Refined Global Aspect may only appear on the body or body stub of a subprogram P in a package whose visible_part contains_x000a_the declaration of P._x000a__x000a_    A Refined Global Aspect on the body or body stub of a subprogram P may only mention constituents of a state_name given in the_x000a_Global Aspect in the declaration of P, a global item, which is not a state_name of the enclosing package, named in the the Global_x000a_Aspect  of P or a constituent of a null abstract_state_name._x000a__x000a_I think this needs rewording. Next year._x000a__x000a_I think we may want a general rule saying that within the body of a package (and after the Refined_State aspect has been specified)_x000a_it is illegal to name a state abstraction of the package._x000a_Then we can avoid having to repeat this rule at all the different places where it might apply._x000a_"/>
    <m/>
    <m/>
    <m/>
    <m/>
    <s v="-"/>
    <x v="0"/>
    <x v="0"/>
  </r>
  <r>
    <x v="1"/>
    <m/>
    <x v="1"/>
    <m/>
    <m/>
    <m/>
    <s v="There are several references to mode_specification, but this nonterminal_x000a_is no longer defined._x000a__x000a_I think these are left over from when we planned to support conditional_x000a_and/or component-granularity dataflow specifications._x000a__x000a_I think all this stuff (e.g., the entire section on mode_x000a_refinement) should be removed._x000a_"/>
    <m/>
    <m/>
    <m/>
    <m/>
    <s v="-"/>
    <x v="0"/>
    <x v="0"/>
  </r>
  <r>
    <x v="1"/>
    <m/>
    <x v="2"/>
    <m/>
    <m/>
    <m/>
    <s v="We are inconsistent in spelling synthesize/synthesise ._x000a_Several occurrences of both._x000a_"/>
    <m/>
    <m/>
    <m/>
    <m/>
    <s v="-"/>
    <x v="0"/>
    <x v="0"/>
  </r>
  <r>
    <x v="1"/>
    <m/>
    <x v="1"/>
    <m/>
    <m/>
    <m/>
    <s v="We've got_x000a_   Where one of these rules prohibits the occurrence of a variable V or_x000a_   any of its subcomponents as an actual parameter, the following_x000a_   constructs are also prohibited in this context:_x000a_   (a) a type conversion whose operand is a prohibited construct;_x000a_   (b) a qualified expression whose operand is a prohibited construct;_x000a_   (c) a prohibited construct enclosed in parentheses._x000a__x000a_I think we need to deal with conditional expressions here, perhaps by_x000a_adding_x000a__x000a_   (d) a conditional expression having at least one dependent_expression_x000a_       which is a prohibited construct._x000a__x000a_We don't want to pass_x000a_   (if Flag then X else ...)_x000a_in a context where passing X would violate this rule, right?_x000a_"/>
    <m/>
    <s v="SB"/>
    <m/>
    <m/>
    <s v="-"/>
    <x v="0"/>
    <x v="0"/>
  </r>
  <r>
    <x v="1"/>
    <m/>
    <x v="1"/>
    <m/>
    <m/>
    <m/>
    <s v="I can't parse this:_x000a_   A subprogram P declared in the visible part of a package, called within the body or private descendants of the package and P_x000a_requires a Refined_Depends aspect because of state_refinement, the following will be used as the dependency relation of P:_x000a__x000a_The phrasing of the list that comes after this is also hard to follow. For example, it doesn't appear to cover the case of a function_x000a_which has an explicit Depends aspect spec and lacks a Refined_Depends aspect spec._x000a__x000a_I'm not sure about the interactions between private descendants and Refined_Depends aspects. A private descendant normally_x000a_does not get to look into the body of the parent unit. On the other hand, these are flow analysis rules, so we get to do what we want._x000a_What do we want here? When we are checking a call from within a private descendant of the callee's package, do we check against_x000a_the Depends or Refined_Depends aspect?_x000a__x000a__x000a_"/>
    <m/>
    <m/>
    <m/>
    <m/>
    <s v="-"/>
    <x v="0"/>
    <x v="0"/>
  </r>
  <r>
    <x v="1"/>
    <m/>
    <x v="1"/>
    <m/>
    <m/>
    <m/>
    <s v="The next item is almost as impenetrable:_x000a_   A call to a subprogram P from a client of the package containing the declaration of P or for a call to a subprogram which does not_x000a_require a Refined_Depends aspect, the following will  be used as the dependency relation :_x000a__x000a_Ada defines the visibility of an aspect specification._x000a__x000a_Ada RM 8.3(23.1/3):_x000a_   An attribute_definition_clause or an aspect_specification is visible everywhere within its scope._x000a__x000a_Perhaps this whole section could be reworded along the lines of if a refined_depends aspect spec is visible, then use it;_x000a_otherwise if a depends aspect spec is visible, then use it;  otherwise, do the appropriate procedure/function default thing._x000a__x000a_"/>
    <m/>
    <m/>
    <m/>
    <m/>
    <s v="-"/>
    <x v="0"/>
    <x v="0"/>
  </r>
  <r>
    <x v="0"/>
    <m/>
    <x v="2"/>
    <m/>
    <m/>
    <m/>
    <s v="This suggests a very obscure point. For many aspect specs (including these), we plan to define equivalent pragmas so that Ada05 users can_x000a_still use this stuff. We want to be sure, I think, that the rules that depend on aspect specification visibility are unaffected if an_x000a_aspect-specifying pragma is used instead."/>
    <m/>
    <m/>
    <m/>
    <m/>
    <s v="-"/>
    <x v="0"/>
    <x v="0"/>
  </r>
  <r>
    <x v="2"/>
    <m/>
    <x v="0"/>
    <m/>
    <m/>
    <m/>
    <s v="I now realize that the special visibility rules for specifications of aspects of packages (as opposed to aspects of subprograms) are not_x000a_redundant, and that the text I said we should delete is necessary. We do want explicit wording to say that an aspect spec for a_x000a_package spec (e.g., Initializes) can see decls in the visible part of the package, and that an aspect spec for a package body (e.g.,_x000a_Refined_State) can see decls in the package spec and body; contrary to what I said earlier, this visibility is not already a consequence_x000a_of existing RM wording."/>
    <m/>
    <s v="SB"/>
    <m/>
    <m/>
    <s v="-"/>
    <x v="0"/>
    <x v="0"/>
  </r>
  <r>
    <x v="0"/>
    <m/>
    <x v="0"/>
    <m/>
    <m/>
    <m/>
    <s v="In the abstraction refinement section, we have rules such as_x000a_&quot;If a constituent has the same name as an abstract_state_name it can only be a constituent of that abstract_state_name and_x000a_it must be the only constituent of the abstract_state_name.&quot;_x000a_I think the scenario that was originally envisaged here is now illegal because state abstractions are not overloadable._x000a_We don't allow_x000a_    declare_x000a_       package Pkg with Abstract_State =&gt; X; is_x000a_          ..._x000a_       end Pkg;_x000a_       package body Pkg is_x000a_          X : Float; ..._x000a_       end Pkg;_x000a_for the same reasons we would reject_x000a_    declare_x000a_       package Pkg is_x000a_          X : constant := 10;_x000a_          ..._x000a_       end Pkg;_x000a_       package body Pkg is_x000a_          X : Float;_x000a_          ..._x000a_       end Pkg;_x000a_I'm guessing that we therefore want to remove all the special rules about &quot;single constituent, same name&quot; refinements._x000a_"/>
    <m/>
    <m/>
    <m/>
    <m/>
    <s v="-"/>
    <x v="0"/>
    <x v="0"/>
  </r>
  <r>
    <x v="2"/>
    <m/>
    <x v="2"/>
    <m/>
    <m/>
    <m/>
    <s v="We've got:_x000a__x000a_   Every input and output of a dependency_relation of a Depends aspect_x000a_   of a subprogram is a state abstraction, a whole object (not part of_x000a_   a containing object) or a formal parameter of the subprogram._x000a__x000a_How about defining (somewhere earlier):_x000a__x000a_   A &quot;state name&quot; is a name which denotes either a state abstraction,_x000a_   a stand-alone variable, a variable formal parameter. a generic_x000a_   formal object, or an object renaming whose object_name is a_x000a_   state name._x000a__x000a_The term &quot;state name&quot; is, of course, up for discussion._x000a_Ditto for the inclusion of generic formal objects._x000a__x000a_However these details turn out, I think we could then use this term in a bunch of places. For example, the rule above would become_x000a__x000a_    An input or output of a dependency_relation shall be a state name._x000a_"/>
    <m/>
    <s v="SB"/>
    <m/>
    <m/>
    <s v="-"/>
    <x v="0"/>
    <x v="0"/>
  </r>
  <r>
    <x v="3"/>
    <m/>
    <x v="1"/>
    <m/>
    <m/>
    <m/>
    <s v="_x000a_I think that deleting the name resolution rule_x000a__x000a_    The name represented by a given global_item will resolve to denote_x000a_    a variable object or a state abstraction._x000a__x000a_would have no effect on the language definition (which is a good_x000a_argument for deleting it) because we already get the desired effect from_x000a_the legality rule_x000a__x000a_    A global_item of a subprogram shall be a stand alone variable object_x000a_    [that is, it is not part of a larger object] or it shall be a_x000a_    state abstraction._x000a__x000a_Note that name resolution rules generally do not treat constants_x000a_and variables differently. For example the rule that the target of_x000a_an assignment statement must be a variable object is a legality_x000a_rule, not a name resolution rule._x000a_"/>
    <m/>
    <m/>
    <s v="Rule deleted"/>
    <m/>
    <s v="-"/>
    <x v="1"/>
    <x v="0"/>
  </r>
  <r>
    <x v="3"/>
    <m/>
    <x v="1"/>
    <m/>
    <m/>
    <m/>
    <s v="We've got_x000a_    A global_item of a subprogram shall be a stand alone variable object [that is, it is not part of a larger object] or it shall be a state abstraction._x000a__x000a_   a) Does this rule look through object renamings? In other words, can a global_item denote a rename of some acceptable object?_x000a_   b) I think we discussed the term &quot;stand-alone&quot; before. A stand-alone object is one declared by an object_declaration. That does_x000a_        not include parameters._x000a__x000a_      But we want to be able to name a parameter of a statically enclosing subprogram in a Global aspect specification, as in_x000a_          procedure P (X : Integer);_x000a_             procedure Q with Global =&gt; (Input =&gt; X);_x000a__x000a_      I think the current wording causes us to reject this example, which is not what we want._x000a_   c) A global item is a name; a name can denote an object but it isn't an object itself. I'd say &quot;shall denote&quot; rather than &quot;shall be&quot;. This one_x000a_definitely falls in the nit-picky category. This is probably not worth fixing unless we want to fix it in all of the      places it occurs, such as_x000a_         A global_item shall occur in a Global aspect of a subprogram if  and only if it is referenced by the subprogram._x000a_"/>
    <m/>
    <s v="SB"/>
    <m/>
    <m/>
    <s v="-"/>
    <x v="0"/>
    <x v="0"/>
  </r>
  <r>
    <x v="3"/>
    <m/>
    <x v="1"/>
    <m/>
    <m/>
    <m/>
    <s v="Would it be reasonable to relax the rule:_x000a_  &quot;A global item occurring in a Global aspect of a subprogram aspect  specification shall not have the same defining_identifier as a_x000a_ formal parameter of the subprogram.&quot; if the global item in question is declared in a package which does not enclose the subprogram in_x000a_ question? Do we really want to disallow something like:_x000a__x000a_     package Current_Status is_x000a_       Incoming_Zombie_Count : Natural;_x000a_     end Pkg;_x000a__x000a_     procedure Update_Status (Incoming_Zombie_Count : Natural)_x000a_       with Global =&gt; (Output =&gt; Pkg.Incoming_Zombie_Count);_x000a__x000a_? What is the purpose of this rule? Certainly we want to disallow something like_x000a__x000a_      procedure P (X : Integer) with Global =&gt; (Input =&gt; X);_x000a__x000a_where the &quot;global&quot; is a parameter of the subprogram. _x000a_"/>
    <m/>
    <s v="SB"/>
    <m/>
    <m/>
    <s v="-"/>
    <x v="0"/>
    <x v="0"/>
  </r>
  <r>
    <x v="3"/>
    <m/>
    <x v="1"/>
    <m/>
    <m/>
    <m/>
    <s v="Are we also trying to disallow (just as a matter of methodology) uplevel references such as_x000a__x000a_     procedure P is_x000a_        X : Integer;_x000a_        procedure Q (X : Integer) with Global =&gt; (Input =&gt; P.X);_x000a_     end P;_x000a__x000a_I thought we decided that we wanted to accept as large a subset of the language as possible and that the only constructs we_x000a_want to reject are those that cause difficulties for flow analysis or for verification."/>
    <m/>
    <s v="SB"/>
    <m/>
    <m/>
    <s v="-"/>
    <x v="0"/>
    <x v="0"/>
  </r>
  <r>
    <x v="3"/>
    <m/>
    <x v="1"/>
    <m/>
    <m/>
    <m/>
    <s v="We've got:_x000a_    &quot;Each global_item in a Global aspect of a subprogram that is an input or output of the subprogram shall satisfy the following mode_x000a_    specification rules [which are checked during analysis of the  subprogram body]:_x000a_       ..._x000a_       a global_item that is an output but not an input is always fully_x000a_       initialized on every call of the subprogram&quot;_x000a__x000a_The phrase &quot;during analysis&quot; confuses me. Are we talking about semantic analysis (performed by the compiler) or dataflow analysis?_x000a_Presumably the compiler is not being asked to check that an input to a call has been completely initialized, so I suppose we are talking_x000a_about flow analysis._x000a__x000a_More generally, the definitions of input and output fundamentally depend on flow analysis (at least in retrospective verification mode,_x000a_where the compiler has to handle calls to subprograms which lack Globals or Depends aspect specifications). This means that any rule_x000a_that is formulated in terms of inputs and outputs cannot be (completely) enforced by the compiler._x000a__x000a_Cont in next comment._x000a_"/>
    <m/>
    <s v="TJJ"/>
    <m/>
    <m/>
    <s v="-"/>
    <x v="0"/>
    <x v="0"/>
  </r>
  <r>
    <x v="3"/>
    <m/>
    <x v="1"/>
    <m/>
    <m/>
    <m/>
    <s v="Reading the static semantics section of 6.1.4 (which has lots of rules about inputs and outputs), this doesn't seem to be completely clear._x000a_Should those rules go in a &quot;verification rules&quot; section? That section already says:_x000a_    A Global aspect is verified against the global_specification rules  given in the static semantics._x000a__x000a_Why not move the static semantics stuff (which is, after all, a bunch of rules, not definitions) into the verification rules section and_x000a_then eliminate the current (single sentence) contents of that section?"/>
    <m/>
    <s v="TJJ"/>
    <m/>
    <m/>
    <s v="-"/>
    <x v="0"/>
    <x v="0"/>
  </r>
  <r>
    <x v="3"/>
    <m/>
    <x v="1"/>
    <m/>
    <m/>
    <m/>
    <s v="We've got &quot;A global_item that is referenced by a subprogram but is neither an input nor an output of that subprogram [that is, it is only used to_x000a_determine the value of an assertion expression] has a  mode_selector of Contract_In.&quot; I approve of the use of square brackets to_x000a_indicate that redundancy was intended. In this case, I'm not sure that redundancy was achieved._x000a__x000a_a) Do we need an explicit rule here about ineffective references? Maybe this is handled elsewhere?_x000a__x000a_b) How does the above wording apply to the following example?_x000a__x000a_   declare_x000a_     Flag : Boolean := ... ;_x000a_     procedure Foo with Global =&gt; (Contract_In =&gt; Flag) is_x000a_     begin_x000a_        if Flag then_x000a_          null;_x000a_        end if;_x000a_     end Foo;_x000a__x000a_Cont in next comment_x000a_"/>
    <m/>
    <s v="SB"/>
    <m/>
    <m/>
    <s v="-"/>
    <x v="0"/>
    <x v="0"/>
  </r>
  <r>
    <x v="3"/>
    <m/>
    <x v="1"/>
    <m/>
    <m/>
    <m/>
    <s v="c) What about implicitly generated proof obligations_x000a_associated with runtime checks? In this example,_x000a__x000a_     procedure P (N, Max : Natural) is_x000a_       subtype S is 0 .. Max; -- only use of Max_x000a_       X : S := N; -- only use of S_x000a_     begin_x000a_       ...;_x000a_       X := Integer'(...);_x000a_       ..._x000a_     end;_x000a__x000a_should Max be viewed as a Contract_In global?_x000a__x000a_With respect to flow analysis, how is the above example_x000a_really different from this version, where constraint_x000a_checks are replaced with assertions?_x000a__x000a_     procedure P (N, Max : Natural) is_x000a_       pragma Assert (N &lt;= Max);_x000a_       X : Natural := N;_x000a_     begin_x000a_       ...;_x000a_       declare_x000a_          Temp : Integer := Integer'(...);_x000a_       begin_x000a_          pragma Assert (Temp &lt;= Max);_x000a_          X := Temp;_x000a_       end;_x000a_"/>
    <m/>
    <s v="JB: add text to acknowledge the problem."/>
    <m/>
    <m/>
    <s v="-"/>
    <x v="0"/>
    <x v="0"/>
  </r>
  <r>
    <x v="3"/>
    <m/>
    <x v="1"/>
    <m/>
    <m/>
    <m/>
    <s v="Is this wording ok?_x000a__x000a_    Each global_item in a single Global aspect shall denote a distinct entity._x000a__x000a_I know what it means, but it sounds like it is talking about something like_x000a__x000a_     procedure P (X : Integer);_x000a_     procedure P (X : Float);_x000a_     pragma Inlne (P);_x000a__x000a_where the the name &quot;P&quot; in the pragma does not &quot;denote a distinct entity&quot; because it denotes two entities._x000a__x000a_Maybe there is no problem here and I am just being pedantic._x000a__x000a_Still, I'd prefer something like_x000a__x000a_    Global_items in the same Global aspect shall denote distinct_x000a_    entities._x000a__x000a_And presumably the &quot;distinct entity&quot; test looks through object renamings._x000a_"/>
    <m/>
    <m/>
    <s v="Rule has been updated."/>
    <m/>
    <s v="-"/>
    <x v="1"/>
    <x v="0"/>
  </r>
  <r>
    <x v="3"/>
    <m/>
    <x v="2"/>
    <m/>
    <m/>
    <m/>
    <s v="Places where we require variables, etc, to be &quot;stand-alone&quot; need also to handle renamings._x000a_"/>
    <m/>
    <s v="SB"/>
    <m/>
    <m/>
    <s v="-"/>
    <x v="0"/>
    <x v="0"/>
  </r>
  <r>
    <x v="3"/>
    <m/>
    <x v="0"/>
    <m/>
    <m/>
    <m/>
    <s v="Update definition of hidden state according to wording provided by SB, and remove now-redundant definitions."/>
    <m/>
    <m/>
    <s v="Done"/>
    <m/>
    <s v="-"/>
    <x v="1"/>
    <x v="0"/>
  </r>
  <r>
    <x v="0"/>
    <m/>
    <x v="3"/>
    <m/>
    <m/>
    <m/>
    <s v="We've got:_x000a_   A Boolean expression given by pragma Assume can_x000a_   be assumed to be true for the remainder of subprogram._x000a__x000a_I think I flagged this wording in an earlier message._x000a_"/>
    <m/>
    <m/>
    <m/>
    <m/>
    <s v="-"/>
    <x v="0"/>
    <x v="0"/>
  </r>
  <r>
    <x v="4"/>
    <s v="REQUIRED"/>
    <x v="1"/>
    <m/>
    <m/>
    <m/>
    <s v="_x000a_   The name represented by a given global_item will resolve to denote_x000a_   a variable object or a state abstraction._x000a_   In a context where the name could be interpreted either as a variable_x000a_   or as a state abstraction it shall resolve to denote a variable._x000a__x000a_2nd sentence to be removed if, as suggested below, we abandon the_x000a_idea of overloadable state abstractions._x000a_"/>
    <m/>
    <s v="TJJ"/>
    <s v="Has been removed. No longer relevant due to updates by SB in relation to overloading of abstract state declaration."/>
    <m/>
    <s v="-"/>
    <x v="1"/>
    <x v="0"/>
  </r>
  <r>
    <x v="4"/>
    <s v="REQUIRED"/>
    <x v="2"/>
    <m/>
    <m/>
    <m/>
    <s v="We've got:_x000a_    The declaration of a state abstraction may be overloaded by_x000a_    a variable declaration or a parameterless function declaration._x000a__x000a_This rule seems like a bad idea to me. I think we do not want these_x000a_implicit declarations to be overloadable. _x000a__x000a_Note this is recorded as a review comment when it is really a discussion item since a doc update has been_x000a_made in relation to it._x000a_"/>
    <m/>
    <s v="TJJ"/>
    <s v="Have removed legality rule 6 in section 7.1.2 (Abstract State) on overloading. No longer relevant due to updates by SB in relation to overloading of abstract state declaration."/>
    <m/>
    <s v="-"/>
    <x v="1"/>
    <x v="0"/>
  </r>
  <r>
    <x v="3"/>
    <m/>
    <x v="0"/>
    <m/>
    <m/>
    <m/>
    <s v="All mention of parameterless functions should be removed from the wording for state abstractions. Yes, users can declare parameterless_x000a_functions and this may be a useful thing to do, but we don't need any special rules about this any more than we need special rules_x000a_to say that a package can declare both a state abstraction and a named number._x000a__x000a_For example, we've got:_x000a__x000a_   A parameterless function declaration which overloads a state abstraction  declaration is used to represent the state abstraction where a state_x000a_   abstraction entity is not permitted [e.g. in an expression]. The function declaration is completed by its body which may be used to _x000a_implement the representation of the state abstraction. [That is, how the constituents that make up the state abstraction are related to it.]_x000a__x000a_This should all go away. If we decide that state abstractions are overloadable, all of the above is redundant. If we follow my recommendation_x000a_and decide that state abstractions are not overloadable, then some of the above becomes incorrect instead of redundant._x000a_"/>
    <m/>
    <s v="SB"/>
    <s v="Have removed static semantic rule 6 in section 7.1.2 (Abstract State) on parameterless functions."/>
    <m/>
    <s v="-"/>
    <x v="0"/>
    <x v="0"/>
  </r>
  <r>
    <x v="3"/>
    <m/>
    <x v="0"/>
    <m/>
    <m/>
    <m/>
    <s v="   A Volatile Input or Output state abstraction represents a sequence of state changes brought about by reading or writing successive_x000a_values to or from a volatile variable._x000a__x000a_This is not a language definition rule. I also don't think it is useful even as non-normative expository text; for that, I think we should_x000a_either say nothing at this point or perhaps give an informal preview of the completion rules to come and say that a volatile variable_x000a_or state abstraction cannot participate in the refinement of a non-volatile state abstraction. If we do want to say something like that,_x000a_it still doesn't belong in the list where this wording presently occurs._x000a_"/>
    <m/>
    <s v="JB"/>
    <m/>
    <m/>
    <s v="-"/>
    <x v="0"/>
    <x v="0"/>
  </r>
  <r>
    <x v="3"/>
    <m/>
    <x v="0"/>
    <m/>
    <m/>
    <m/>
    <s v="We've got:_x000a_   A Volatile Input state abstraction shall not be a global item (see_x000a_   Global Aspect) of mode in out or out. [Checked when analyzing_x000a_   subprogram declarations.]_x000a__x000a_If this is checked when analyzing subprogram declarations, then why is_x000a_listed in the &quot;Verification Rules&quot; section?_x000a_"/>
    <m/>
    <m/>
    <s v="I have moved these rules into the Legality Rules section of the Global aspect_x000a_(this latter since they would be checked when analyzing the Global aspect)._x000a_"/>
    <m/>
    <s v="-"/>
    <x v="1"/>
    <x v="0"/>
  </r>
  <r>
    <x v="3"/>
    <m/>
    <x v="0"/>
    <m/>
    <m/>
    <m/>
    <s v="We've got:_x000a_   For variables which are declared directly within the visible part of a_x000a_   package specification, the Volatile, Input, Output,_x000a_   and Integrity aspects may be specified directly as part of the_x000a_   variable’s declaration._x000a__x000a_It seems odd to include Volatile in this list, since this is already_x000a_a language-defined aspect for a variable. I'd leave this Volatile out_x000a_of the list, although the rule that comes next is still needed:_x000a_   If a variable has the Volatile aspect, then it must also have exactly_x000a_   one of the Input or Output aspects._x000a_"/>
    <m/>
    <s v="JB"/>
    <m/>
    <m/>
    <s v="-"/>
    <x v="0"/>
    <x v="0"/>
  </r>
  <r>
    <x v="0"/>
    <m/>
    <x v="0"/>
    <m/>
    <m/>
    <m/>
    <s v="We've got:_x000a_   Every input and output of a dependency_relation of a Depends_x000a_   aspect of a package specification is a state abstraction._x000a__x000a_Is this really right? An input can't be a variable?_x000a_Can an output be a state abstraction of another package?_x000a__x000a_If the above rule is really right, then what is the point of the rule:_x000a_   A Depends aspect of a package has extended visibility; it is able to_x000a_   refer to variables declared in the visible part of the package._x000a_?_x000a__x000a_Note that this second rule is redundant._x000a_It already follows from ADA RM 13.1.1(11/3):_x000a_   The usage names in an aspect_definition [ are not resolved at the_x000a_   point of the associated declaration, but rather] are resolved at the_x000a_   end of the immediately enclosing declaration list._x000a__x000a_Just a reminder - the square brackets in the above ADA RM quote indicate_x000a_redundant text included to improve readability._x000a_"/>
    <m/>
    <m/>
    <s v="All points addressed during consolidation of package-level flow information_x000a_into an Initialized aspect._x000a_"/>
    <m/>
    <s v="-"/>
    <x v="0"/>
    <x v="0"/>
  </r>
  <r>
    <x v="0"/>
    <m/>
    <x v="0"/>
    <m/>
    <m/>
    <m/>
    <s v="We've got:_x000a_   &quot;An output of a package elaboration is a state abstraction such that the set of variables represented by the state abstraction is_x000a_   initialized during elaboration.&quot; This is fine, although misplaced, if this is just expository._x000a_As a &quot;hard&quot; definition that might be used in subsequent legality rules, it seems pretty fuzzy._x000a__x000a_  An input of a package elaboration is a state abstraction such that the initial value of one or more of the set of variables represented by _x000a_that state abstraction may be used to determine the final value of one or more members of the set of variables represented by the outputs_x000a_of the package elaboration._x000a__x000a_Ditto._x000a__x000a_Cont in next comment._x000a__x000a_"/>
    <m/>
    <m/>
    <m/>
    <m/>
    <s v="-"/>
    <x v="0"/>
    <x v="0"/>
  </r>
  <r>
    <x v="0"/>
    <m/>
    <x v="0"/>
    <m/>
    <m/>
    <m/>
    <s v=" The Depends aspect of a package declaration describes for each output of the package elaboration a list of every input on which_x000a_the initial value of that output depends._x000a__x000a_If this is a &quot;hard&quot; requirement that a Depends aspect shall not leave out any outputs of the package, then indeed we need a precise_x000a_definition of that set (and so we have a problem with the preceding definition). On the other hand, we could simply define the outputs_x000a_of a package's elaboration to be the state abstractions that are mentioned as an output in the Depends aspect specification (whether_x000a_explicitly stated or implicitly generated). However, the above text then becomes a tautology."/>
    <m/>
    <m/>
    <m/>
    <m/>
    <s v="-"/>
    <x v="0"/>
    <x v="0"/>
  </r>
  <r>
    <x v="0"/>
    <m/>
    <x v="0"/>
    <m/>
    <m/>
    <m/>
    <s v="We've got:_x000a_   A state_name designated as Volatile shall only appear in a Depends aspect_x000a_   if the package reads or updates the Volatile variables represented by the_x000a_   state_name during its elaboration or the elaboration of its private_x000a_   descendants._x000a__x000a_Isn't this true for all state abstractions, not just Volatile ones?_x000a_Why the special rule for Volatiles?_x000a_Is this rule needed at all? It seems redundant, even if it is relaxed_x000a_to apply to non-volatile state abstractions._x000a_"/>
    <m/>
    <m/>
    <m/>
    <m/>
    <s v="-"/>
    <x v="0"/>
    <x v="0"/>
  </r>
  <r>
    <x v="0"/>
    <m/>
    <x v="0"/>
    <m/>
    <m/>
    <m/>
    <s v="We've got:_x000a_   Library level packages are considered to be elaborated in some order_x000a_   determined by the compiler prior to a call to the main subprogram._x000a__x000a_Would it be worthwhile at this point to note the difference here_x000a_between Spark 2014 and Spark 95 (which had no dependence on_x000a_the elaboration order chosen by the compiler)?_x000a__x000a_I don't feel strongly either way, but I raise the question._x000a_"/>
    <m/>
    <m/>
    <m/>
    <m/>
    <s v="-"/>
    <x v="0"/>
    <x v="0"/>
  </r>
  <r>
    <x v="0"/>
    <m/>
    <x v="0"/>
    <m/>
    <m/>
    <m/>
    <s v="We've got:_x000a_   For flow analysis purposes, the elaboration of a package embedded within_x000a_   a subprogram or block statement is modeled as a subprogram call _x000a_immediately_x000a_   following the package declaration._x000a__x000a_Is this user-visible in any way? If yes, then this wording is fine._x000a_If no, then this seems like a description of an implementation detail_x000a_which does not belong in the language specification._x000a_"/>
    <m/>
    <m/>
    <m/>
    <m/>
    <s v="-"/>
    <x v="0"/>
    <x v="0"/>
  </r>
  <r>
    <x v="0"/>
    <m/>
    <x v="0"/>
    <m/>
    <m/>
    <m/>
    <s v="We've got:_x000a_   An Initializes aspect shall not allow function_result as an output._x000a__x000a_and similar rules elsewhere. This is redundant._x000a_The RM already restricts use of F'Result to within a_x000a_post-condition expression for F.  See ADA RM 6.1.1(30/3)._x000a_"/>
    <m/>
    <m/>
    <s v="Addressed during consolidation of package-level flow information_x000a_into an Initialized aspect._x000a_"/>
    <m/>
    <s v="-"/>
    <x v="0"/>
    <x v="0"/>
  </r>
  <r>
    <x v="2"/>
    <m/>
    <x v="0"/>
    <m/>
    <m/>
    <m/>
    <s v="Another redundant &quot;extended visibility&quot; rule:_x000a_   The predicate of an Initial Condition Aspect appearing in a package_x000a_   Q has extended visibility. It may reference declarations from the_x000a_   visible part of Q._x000a__x000a_I'll stop flagging these. They are all redundant._x000a_"/>
    <m/>
    <m/>
    <s v="All removed"/>
    <m/>
    <s v="-"/>
    <x v="1"/>
    <x v="0"/>
  </r>
  <r>
    <x v="2"/>
    <m/>
    <x v="0"/>
    <m/>
    <m/>
    <m/>
    <s v="We've got:_x000a_   A state_name cannot appear directly in an Initial Condition Aspect but it_x000a_   may be indirectly referenced through a function call._x000a__x000a_Get rid of this as discussed above. If somebody wants to declare a_x000a_parameterless function that reads from constituents of exactly one_x000a_state abstraction, they don't need a special rule to allow that._x000a_"/>
    <m/>
    <m/>
    <s v="Note added to text and will be updated when I revise the relevant section with Trevor."/>
    <m/>
    <s v="-"/>
    <x v="1"/>
    <x v="0"/>
  </r>
  <r>
    <x v="0"/>
    <m/>
    <x v="0"/>
    <m/>
    <m/>
    <m/>
    <s v="If state is read to initialize a constant during package body_x000a_elaboration, how is that reflected in the annotations?_x000a_How would this example be annotated with aspect specifications?_x000a__x000a_     package Pkg_1 is_x000a_         Global_Var : String (1 .. 10) := &quot;1234567890&quot;;_x000a_     end Pkg_1;_x000a__x000a_     package Pkg_2 is_x000a_        subtype Index is Integer range 1 .. 10;_x000a_        function Foo (I : Index) return Character;_x000a_     end Pkg_2;_x000a__x000a_     with Pkg_1;_x000a_     package body Pkg_2 is_x000a_        Copied : constant String := Pkg_1.Global_Var;_x000a_        function Foo (I : Index) return Character is_x000a_          begin return Copied (I); end;_x000a_     end Pkg_2;_x000a_"/>
    <m/>
    <m/>
    <m/>
    <m/>
    <s v="-"/>
    <x v="0"/>
    <x v="0"/>
  </r>
  <r>
    <x v="0"/>
    <m/>
    <x v="0"/>
    <m/>
    <m/>
    <m/>
    <s v="We've got:_x000a_   An Initial Condition Aspect is like a postcondition._x000a_   It should be evaluated following the elaboration of Q_x000a_   and its private descendants. If it does not_x000a_   evaluate to True, then an exception should be raised._x000a__x000a_Should this be moved to the section where all the other Assert-clone_x000a_pragmas are defined (i.e., Assert_And_Cut, Loop_Invariant, Assume)?_x000a__x000a_I'm also concerned about the &quot;and its private descendants&quot;_x000a_wording above. It might be reasonable, for example, for a private_x000a_descendant body to want to call something out of the parent unit during_x000a_its elaboration and therefore apply an Elaborate pragma to the parent_x000a_unit. My point is that you cannot, in general, assume that a parent_x000a_unit body will be elaborated before the bodies of all of its private_x000a_descendants. This makes determining the point at which this assertion is to be evaluated more complicated. It could be done with_x000a_help from the binder, but is this really what we want?_x000a_"/>
    <m/>
    <m/>
    <m/>
    <m/>
    <s v="-"/>
    <x v="0"/>
    <x v="0"/>
  </r>
  <r>
    <x v="3"/>
    <m/>
    <x v="0"/>
    <m/>
    <m/>
    <m/>
    <s v="The ADA RM currently has the rule:_x000a_   A package_declaration or generic_package_declaration requires_x000a_   a completion [(a body)] if it contains any basic_declarative_item_x000a_   that requires a completion, but whose completion is not in_x000a_   its package_specification._x000a__x000a_Thus, we probably need to add an explicit rule that a package for which_x000a_an Abstract_State aspect specification is given requires a body._x000a__x000a_One might think this falls out because we have already said that_x000a_a state abstraction declaration requires a completion, but a_x000a_state abstraction is not declared via a basic_declarative_item and_x000a_so the above rule doesn't apply._x000a_"/>
    <m/>
    <s v="SB"/>
    <s v="Rule added to section 7.1.2 (Abstract State aspect)."/>
    <m/>
    <s v="-"/>
    <x v="0"/>
    <x v="0"/>
  </r>
  <r>
    <x v="4"/>
    <s v="REQUIRED"/>
    <x v="2"/>
    <m/>
    <m/>
    <m/>
    <s v="We've got:_x000a_   If a constituent has the same name as an abstract_state_name it_x000a_   can only be a constituent of that abstract_state_name and it must be_x000a_   the only constituent of the abstract_state_name._x000a__x000a_This goes away as part of abandoning overloadable state abstractions._x000a__x000a_Ditto for_x000a_   If an abstract_state_name and its constituent have the same name this_x000a_   represents the simple mapping of an abstract state_name on to a_x000a_   concrete variable of the same name._x000a_"/>
    <m/>
    <m/>
    <s v="This issue goes away as now only functions can overload state abstractions."/>
    <m/>
    <s v="-"/>
    <x v="1"/>
    <x v="0"/>
  </r>
  <r>
    <x v="0"/>
    <m/>
    <x v="0"/>
    <m/>
    <m/>
    <m/>
    <s v="Do we really need to repeat all the rules like_x000a_   If a property_list includes the simple_property “Volatile”, then_x000a_   the same property_list ..._x000a__x000a_It seems like we should somehow be able to avoid this repetition._x000a_"/>
    <m/>
    <m/>
    <m/>
    <m/>
    <s v="-"/>
    <x v="0"/>
    <x v="0"/>
  </r>
  <r>
    <x v="2"/>
    <m/>
    <x v="4"/>
    <s v=" Chapter 1, Introduction"/>
    <m/>
    <m/>
    <s v=" Need to add a SPARK 2014 vision statement - clearly highlighting that SPARK positioning as changed to include Test AND Proof capabilities."/>
    <m/>
    <m/>
    <s v="Will be covered by presence of strategic requirements."/>
    <m/>
    <s v="-"/>
    <x v="1"/>
    <x v="0"/>
  </r>
  <r>
    <x v="2"/>
    <m/>
    <x v="4"/>
    <s v=" Chapter 1, Introduction, 1.2 SPARK 2014 Design Goals"/>
    <m/>
    <m/>
    <s v="Para 1:  Put the last 2 bullet point items (&quot;SPARK 2014 shall provide for... and &quot;SPARK 2014 shall provide for mixing of...&quot;) first in the list._x000a_These are the really exciting things."/>
    <m/>
    <m/>
    <s v="Will be covered by rewriting of strategic requirements."/>
    <m/>
    <s v="-"/>
    <x v="1"/>
    <x v="0"/>
  </r>
  <r>
    <x v="2"/>
    <m/>
    <x v="4"/>
    <s v="Chapter 1, Introduction"/>
    <m/>
    <m/>
    <s v="Page 4-7:  Change the order of points 1.3-1.8 to the following_x000a_1.3 Combining Formal Verification and Testing_x000a_1.4 Optional Restrictions and Profiles_x000a_1.5 Constructive and Retrospective Verification Modes_x000a_1.6 Profiles and Analyses_x000a_1.7 Principal Language Restrictions_x000a_1.8 Static Checking"/>
    <m/>
    <m/>
    <s v="Updated"/>
    <m/>
    <s v="-"/>
    <x v="1"/>
    <x v="0"/>
  </r>
  <r>
    <x v="0"/>
    <m/>
    <x v="2"/>
    <m/>
    <m/>
    <m/>
    <s v=" Add an appendix explaining what GNAT Pro is and who markets it, how it fits into the SPARK framework and the relationship_x000a_between Altran-Praxis and AdaCore, and what each company brings to the partnership."/>
    <m/>
    <m/>
    <s v="Not relevant for LRM."/>
    <s v="Rejected"/>
    <s v="-"/>
    <x v="1"/>
    <x v="0"/>
  </r>
  <r>
    <x v="4"/>
    <s v="REQUIRED"/>
    <x v="4"/>
    <n v="1"/>
    <s v=" "/>
    <m/>
    <s v=" Section 1.5 says something about Verification Rules, but I think we need a section of the introduction dedicated to structure_x000a_and a definition of which rules appear in each subsection (Dynamic Semantics, Static Semantics, Verification Rules, ...). "/>
    <m/>
    <s v="JB"/>
    <s v="Duplicate"/>
    <m/>
    <s v="-"/>
    <x v="1"/>
    <x v="0"/>
  </r>
  <r>
    <x v="2"/>
    <m/>
    <x v="5"/>
    <s v=" 2-14"/>
    <m/>
    <m/>
    <s v="Related to the previous : Within a section - and particularly in 5,6,7 - I think we should be consistent about which subsections_x000a_appear. eg. if there are no Dynamic Semantics then just say this. Otherwise you don't know if something has been accidentally omitted."/>
    <m/>
    <m/>
    <s v="Duplicate"/>
    <m/>
    <s v="-"/>
    <x v="1"/>
    <x v="0"/>
  </r>
  <r>
    <x v="2"/>
    <m/>
    <x v="5"/>
    <s v=" 2-14"/>
    <m/>
    <m/>
    <s v="Related to the previous : We should be consistent about whether we provide examples (and/or refer to the mapping spec)."/>
    <m/>
    <m/>
    <m/>
    <m/>
    <s v="-"/>
    <x v="0"/>
    <x v="0"/>
  </r>
  <r>
    <x v="2"/>
    <m/>
    <x v="4"/>
    <s v=" 1 (and 1.3 4/2)"/>
    <s v=" 3/2"/>
    <m/>
    <s v=" Mentioning ATM and avionics seems too domain specific - we don't want to deter customers in other sectors?"/>
    <m/>
    <m/>
    <s v="Text removed"/>
    <m/>
    <s v="-"/>
    <x v="1"/>
    <x v="0"/>
  </r>
  <r>
    <x v="2"/>
    <m/>
    <x v="4"/>
    <s v=" 1.2 (and 1.5 6/3)"/>
    <s v=" 3/3"/>
    <m/>
    <s v=" &quot;Implementation&quot; = &quot;Compiler&quot;?"/>
    <m/>
    <m/>
    <s v="No action, RCC"/>
    <m/>
    <s v="-"/>
    <x v="1"/>
    <x v="0"/>
  </r>
  <r>
    <x v="2"/>
    <m/>
    <x v="4"/>
    <n v="1.2"/>
    <s v=" 3/3"/>
    <m/>
    <s v=" &quot;rejected&quot; sounds as though it isn't portable between compilers - that's not what you mean, right?"/>
    <m/>
    <s v="Discuss with TJJ"/>
    <m/>
    <m/>
    <s v="-"/>
    <x v="1"/>
    <x v="0"/>
  </r>
  <r>
    <x v="2"/>
    <m/>
    <x v="4"/>
    <n v="1.2"/>
    <s v=" 3/4"/>
    <m/>
    <s v=" Insert &quot;automatic&quot; before &quot;formal verification&quot; - the theory doesn't change, only what is practically possible."/>
    <m/>
    <m/>
    <m/>
    <m/>
    <s v="-"/>
    <x v="1"/>
    <x v="0"/>
  </r>
  <r>
    <x v="2"/>
    <m/>
    <x v="4"/>
    <n v="1.3"/>
    <s v=" 4/1"/>
    <m/>
    <s v=" &quot;may&quot; =&gt; &quot;will&quot;?"/>
    <m/>
    <m/>
    <m/>
    <m/>
    <s v="-"/>
    <x v="1"/>
    <x v="0"/>
  </r>
  <r>
    <x v="2"/>
    <m/>
    <x v="4"/>
    <n v="1.4"/>
    <s v=" 4/1"/>
    <m/>
    <s v=" I'm not sure that &quot;simplification&quot; is the same thing as &quot;restriction&quot;, so stick to the latter."/>
    <m/>
    <m/>
    <m/>
    <m/>
    <s v="-"/>
    <x v="1"/>
    <x v="0"/>
  </r>
  <r>
    <x v="2"/>
    <m/>
    <x v="4"/>
    <n v="1.4"/>
    <s v=" 4/1"/>
    <m/>
    <s v=" &quot;of&quot; =&gt; &quot;from&quot;"/>
    <m/>
    <m/>
    <s v="Not necessary"/>
    <s v="Rejected"/>
    <s v="-"/>
    <x v="1"/>
    <x v="0"/>
  </r>
  <r>
    <x v="2"/>
    <m/>
    <x v="4"/>
    <n v="1.4"/>
    <s v=" 4/7"/>
    <m/>
    <s v=" Should say &quot;Tasking is not permitted&quot; and then add a section of &quot;Future Enhancements&quot;; this will also be the place to put the rel2+ ToDos."/>
    <m/>
    <m/>
    <s v="Done"/>
    <m/>
    <s v="-"/>
    <x v="1"/>
    <x v="0"/>
  </r>
  <r>
    <x v="2"/>
    <m/>
    <x v="4"/>
    <n v="1.4"/>
    <s v=" 4/9"/>
    <m/>
    <s v=" I'm not sure what comes after the &quot;if&quot; is true - there is more than this to the rationale for what is in the subset."/>
    <m/>
    <m/>
    <m/>
    <m/>
    <s v="-"/>
    <x v="1"/>
    <x v="0"/>
  </r>
  <r>
    <x v="2"/>
    <m/>
    <x v="4"/>
    <n v="1.5"/>
    <s v=" 5/2"/>
    <m/>
    <s v=" &quot;must&quot; ^be able to &quot;compile successfully&quot;."/>
    <m/>
    <m/>
    <m/>
    <m/>
    <s v="-"/>
    <x v="1"/>
    <x v="0"/>
  </r>
  <r>
    <x v="2"/>
    <m/>
    <x v="4"/>
    <n v="1.5"/>
    <s v=" 5/2"/>
    <m/>
    <s v=" Overloading word &quot;restriction&quot;."/>
    <m/>
    <m/>
    <m/>
    <m/>
    <s v="-"/>
    <x v="1"/>
    <x v="0"/>
  </r>
  <r>
    <x v="2"/>
    <m/>
    <x v="4"/>
    <n v="1.5"/>
    <s v=" 5/2"/>
    <m/>
    <s v=" Access types not mentioned in App B."/>
    <m/>
    <s v="Extended legality rules are to be removed."/>
    <m/>
    <m/>
    <s v="-"/>
    <x v="1"/>
    <x v="0"/>
  </r>
  <r>
    <x v="2"/>
    <m/>
    <x v="4"/>
    <n v="1.8"/>
    <s v=" 7/7"/>
    <m/>
    <s v=" We need to provide a reference for where we define this process."/>
    <m/>
    <m/>
    <s v="This will happen naturally as part of the decomposition of the new strategic requirements relating to the mix of test and proof."/>
    <m/>
    <s v="-"/>
    <x v="1"/>
    <x v="0"/>
  </r>
  <r>
    <x v="0"/>
    <m/>
    <x v="6"/>
    <s v=" 4.3.4"/>
    <n v="14"/>
    <m/>
    <s v=" Does this section come to a conclusion about was is / isn't in SPARK 2014?"/>
    <m/>
    <m/>
    <m/>
    <m/>
    <s v="-"/>
    <x v="0"/>
    <x v="0"/>
  </r>
  <r>
    <x v="2"/>
    <m/>
    <x v="3"/>
    <n v="5.0999999999999996"/>
    <s v=" 17/1"/>
    <m/>
    <s v=" &quot;complicate&quot; =&gt; &quot;are not amenable to&quot;."/>
    <m/>
    <m/>
    <m/>
    <m/>
    <s v="-"/>
    <x v="0"/>
    <x v="0"/>
  </r>
  <r>
    <x v="2"/>
    <m/>
    <x v="3"/>
    <s v=" 5.5.3"/>
    <s v=" 18/?"/>
    <m/>
    <s v=" The paragraph in []s looks like a comment?"/>
    <m/>
    <m/>
    <m/>
    <m/>
    <s v="-"/>
    <x v="0"/>
    <x v="0"/>
  </r>
  <r>
    <x v="2"/>
    <m/>
    <x v="3"/>
    <n v="5.9"/>
    <s v=" 21/?"/>
    <m/>
    <s v=" Doesn't the example belong in Section 5.5.3?"/>
    <m/>
    <m/>
    <m/>
    <m/>
    <s v="-"/>
    <x v="0"/>
    <x v="0"/>
  </r>
  <r>
    <x v="1"/>
    <m/>
    <x v="1"/>
    <n v="6.1"/>
    <s v=" 23/?"/>
    <m/>
    <s v=" What does it mean for a function declaration to &quot;update a name&quot;?"/>
    <m/>
    <m/>
    <m/>
    <m/>
    <s v="-"/>
    <x v="0"/>
    <x v="0"/>
  </r>
  <r>
    <x v="2"/>
    <m/>
    <x v="1"/>
    <n v="6.1"/>
    <s v=" 23/?"/>
    <m/>
    <s v=" This is an example of a rel2+ ToDO that should be in a separate chapter/appendix."/>
    <m/>
    <m/>
    <m/>
    <m/>
    <s v="-"/>
    <x v="0"/>
    <x v="0"/>
  </r>
  <r>
    <x v="0"/>
    <m/>
    <x v="1"/>
    <s v=" 6.1.1"/>
    <s v=" 24/1"/>
    <m/>
    <s v="Reword: &quot;The implementation of the body of the subprogram must satisfy the post condition provided the precondition is True_x000a_and the subprogram completes normally.&quot;"/>
    <m/>
    <m/>
    <m/>
    <m/>
    <s v="-"/>
    <x v="0"/>
    <x v="0"/>
  </r>
  <r>
    <x v="1"/>
    <m/>
    <x v="1"/>
    <s v=" 6.1.2"/>
    <s v=" 24/?"/>
    <m/>
    <s v=" I prefer version 2."/>
    <m/>
    <m/>
    <m/>
    <m/>
    <s v="-"/>
    <x v="0"/>
    <x v="0"/>
  </r>
  <r>
    <x v="1"/>
    <m/>
    <x v="1"/>
    <s v=" 6.1.3"/>
    <s v=" 24/?"/>
    <m/>
    <s v=" Include &quot;Aspect&quot; in all subsection names that are about aspects."/>
    <m/>
    <m/>
    <m/>
    <m/>
    <s v="-"/>
    <x v="0"/>
    <x v="0"/>
  </r>
  <r>
    <x v="1"/>
    <m/>
    <x v="1"/>
    <s v=" 6.1.3"/>
    <s v=" 25/final"/>
    <m/>
    <s v=" &quot;a&quot; or &quot;exactly one of the given&quot;?"/>
    <m/>
    <m/>
    <m/>
    <m/>
    <s v="-"/>
    <x v="0"/>
    <x v="0"/>
  </r>
  <r>
    <x v="1"/>
    <m/>
    <x v="1"/>
    <s v=" 6.1.3"/>
    <s v=" 26/3&amp;4"/>
    <m/>
    <s v=" Suggest &quot;others&quot; is one reserved font where appropriate. And there is confusion in here about whether others is in itself a contract guard."/>
    <m/>
    <m/>
    <m/>
    <m/>
    <s v="-"/>
    <x v="0"/>
    <x v="0"/>
  </r>
  <r>
    <x v="2"/>
    <m/>
    <x v="1"/>
    <s v=" 6.1.4 (and elsewhere)"/>
    <s v=" 26/1"/>
    <m/>
    <s v=" Is it possible to get ReST to generate numeric section cross-refs?!"/>
    <m/>
    <m/>
    <m/>
    <m/>
    <s v="-"/>
    <x v="0"/>
    <x v="0"/>
  </r>
  <r>
    <x v="2"/>
    <m/>
    <x v="1"/>
    <n v="6.1"/>
    <s v=" 23/?"/>
    <m/>
    <s v=" This is an example of a rel2+ ToDO that should be in a separate chapter/appendix."/>
    <m/>
    <m/>
    <m/>
    <m/>
    <s v="-"/>
    <x v="0"/>
    <x v="0"/>
  </r>
  <r>
    <x v="1"/>
    <m/>
    <x v="1"/>
    <n v="6.4"/>
    <s v=" 38/?"/>
    <m/>
    <s v=" Have we captured the old rules about flow=auto mode."/>
    <m/>
    <m/>
    <m/>
    <m/>
    <s v="-"/>
    <x v="0"/>
    <x v="0"/>
  </r>
  <r>
    <x v="0"/>
    <m/>
    <x v="0"/>
    <s v=" 7.1.3"/>
    <s v=" 46/?"/>
    <m/>
    <s v=" Have we addressed the problem of default integrities that I raised in L713-009?"/>
    <m/>
    <m/>
    <m/>
    <m/>
    <s v="-"/>
    <x v="0"/>
    <x v="0"/>
  </r>
  <r>
    <x v="0"/>
    <m/>
    <x v="0"/>
    <s v=" 7.3.2"/>
    <s v=" 60/?"/>
    <m/>
    <s v=" Are there really no verification rules for type invariants - or do they belong with the subprogram body?"/>
    <m/>
    <m/>
    <m/>
    <m/>
    <s v="-"/>
    <x v="0"/>
    <x v="0"/>
  </r>
  <r>
    <x v="2"/>
    <m/>
    <x v="7"/>
    <n v="9"/>
    <s v=" 65/1"/>
    <m/>
    <s v=" Delete &quot;currently&quot;. The aim to add it should go in the Futures appendix."/>
    <m/>
    <m/>
    <m/>
    <m/>
    <s v="-"/>
    <x v="0"/>
    <x v="0"/>
  </r>
  <r>
    <x v="2"/>
    <m/>
    <x v="8"/>
    <s v=" App A"/>
    <s v=" 77/?"/>
    <m/>
    <s v=" I think this needs an introduction and clarification: these are the optional restrictions."/>
    <m/>
    <m/>
    <m/>
    <m/>
    <s v="-"/>
    <x v="0"/>
    <x v="0"/>
  </r>
  <r>
    <x v="2"/>
    <m/>
    <x v="8"/>
    <s v=" App A"/>
    <s v=" 77/?"/>
    <m/>
    <s v=" Should we be talking about GNAT here - maybe ok if it's introduced earlier."/>
    <m/>
    <m/>
    <m/>
    <m/>
    <s v="-"/>
    <x v="0"/>
    <x v="0"/>
  </r>
  <r>
    <x v="2"/>
    <m/>
    <x v="8"/>
    <s v=" App A"/>
    <s v=" 80/"/>
    <m/>
    <s v=" There are no profiles!! This needs at least a ToDo."/>
    <m/>
    <m/>
    <s v="This chapter will be removed."/>
    <m/>
    <s v="-"/>
    <x v="0"/>
    <x v="0"/>
  </r>
  <r>
    <x v="0"/>
    <m/>
    <x v="9"/>
    <s v=" App B"/>
    <s v=" 81/?"/>
    <m/>
    <s v=" This doesn't look like the complete list eg. Section 5."/>
    <m/>
    <m/>
    <m/>
    <m/>
    <s v="-"/>
    <x v="0"/>
    <x v="0"/>
  </r>
  <r>
    <x v="2"/>
    <m/>
    <x v="10"/>
    <s v=" C.1.1"/>
    <s v=" 83/?"/>
    <m/>
    <s v=" &quot;structured&quot; =&gt; &quot;mapped&quot; or &quot;restructured&quot;."/>
    <m/>
    <s v="&quot;structured&quot; =&gt; &quot;restructured&quot;"/>
    <m/>
    <m/>
    <s v="-"/>
    <x v="1"/>
    <x v="0"/>
  </r>
  <r>
    <x v="2"/>
    <m/>
    <x v="10"/>
    <s v=" C.1.1"/>
    <s v=" 83/?"/>
    <m/>
    <s v=" Is the type inference explained anywhere? - Otherwise how do you know there isn't a completeness problem?"/>
    <m/>
    <m/>
    <s v="For now Abstract_State is typeless. This has to be resolved later on."/>
    <m/>
    <s v="-"/>
    <x v="0"/>
    <x v="0"/>
  </r>
  <r>
    <x v="2"/>
    <m/>
    <x v="4"/>
    <n v="1.3"/>
    <n v="4"/>
    <m/>
    <s v=" Is it really necessary to speak twice of WCET where we don't even plan to provide this static analysis capability ourselves?_x000a_Once as part of the need for Profiles seems enough"/>
    <m/>
    <m/>
    <m/>
    <m/>
    <s v="-"/>
    <x v="1"/>
    <x v="0"/>
  </r>
  <r>
    <x v="2"/>
    <m/>
    <x v="4"/>
    <n v="1.4"/>
    <n v="5"/>
    <m/>
    <s v="last bullet point, last sentence: that seems too strong a restriction for hybrid usage. I would prefer: the latter declarations_x000a_are not used by pure SPARK 2014 code. I also think we need to define here what is the finest-grain of hybridation we are ready to deal_x000a_with. In particular, a subprogram can only have 3 states:    - spec in S14, body not - spec and body outside of S14 - spec and body in S14_x000a_we don't care about the case where the body would have chunks in s14 and other outside."/>
    <m/>
    <m/>
    <m/>
    <m/>
    <s v="-"/>
    <x v="1"/>
    <x v="0"/>
  </r>
  <r>
    <x v="2"/>
    <m/>
    <x v="4"/>
    <n v="1.5"/>
    <n v="5"/>
    <m/>
    <s v=" a comma would be welcome before &quot;is performed&quot;"/>
    <m/>
    <m/>
    <s v="Not necessary"/>
    <s v="Rejected"/>
    <s v="-"/>
    <x v="1"/>
    <x v="0"/>
  </r>
  <r>
    <x v="2"/>
    <m/>
    <x v="4"/>
    <n v="1.5"/>
    <n v="5"/>
    <m/>
    <s v=" I don't understand the last sentence of the 2nd paragraph. in particular, the notion of something that might be fully or partially_x000a_in s14 &quot;as instructed by the user&quot; ?????"/>
    <m/>
    <m/>
    <s v="Used &quot;specified&quot; instead of &quot;instructed&quot;. This will also be made clearer via the general updates to be made here."/>
    <m/>
    <s v="-"/>
    <x v="1"/>
    <x v="0"/>
  </r>
  <r>
    <x v="2"/>
    <m/>
    <x v="4"/>
    <n v="1.5"/>
    <s v=" 5-6"/>
    <m/>
    <s v=" The purpose of this section is unclear and its name particularly vague. I'd like to review the rationale for this section before commenting further."/>
    <m/>
    <m/>
    <m/>
    <m/>
    <s v="-"/>
    <x v="1"/>
    <x v="0"/>
  </r>
  <r>
    <x v="2"/>
    <m/>
    <x v="4"/>
    <m/>
    <s v=" 5 4th paragraph from bottom"/>
    <m/>
    <s v=" what is the point of this paragraph? if we retain it, I suggest getting rid of all the &quot;(&quot; &amp; &quot;)&quot; which confuse things even more."/>
    <m/>
    <m/>
    <s v="Combined with surrounding paragraphs to make sense clearer."/>
    <m/>
    <s v="-"/>
    <x v="1"/>
    <x v="0"/>
  </r>
  <r>
    <x v="2"/>
    <m/>
    <x v="4"/>
    <m/>
    <s v=" page 6, 2nd paragraph"/>
    <m/>
    <s v=" This parapgraph is highly objectional from my review cap. Not only its purpose is unclear but it is also blatantly false._x000a_WE WANT to be able to make proofs on chunks of what is called &quot;invalid SPARK 2014 programs&quot;."/>
    <m/>
    <m/>
    <s v="Text removed"/>
    <m/>
    <s v="-"/>
    <x v="1"/>
    <x v="0"/>
  </r>
  <r>
    <x v="2"/>
    <m/>
    <x v="4"/>
    <n v="1.5"/>
    <s v=" 6, last para"/>
    <m/>
    <s v=" &quot;The GNAT Pro Ada 2012 implementation&quot;???? replace with &quot;the GNAT Pro compiler&quot;"/>
    <m/>
    <m/>
    <m/>
    <m/>
    <s v="-"/>
    <x v="1"/>
    <x v="0"/>
  </r>
  <r>
    <x v="2"/>
    <m/>
    <x v="4"/>
    <n v="1.6"/>
    <n v="6"/>
    <m/>
    <s v=" the whole section has little value and is a repeat of what was said in 1.3"/>
    <m/>
    <m/>
    <s v="Removed"/>
    <m/>
    <s v="-"/>
    <x v="1"/>
    <x v="0"/>
  </r>
  <r>
    <x v="2"/>
    <m/>
    <x v="4"/>
    <n v="1.7"/>
    <n v="6"/>
    <m/>
    <s v=" we need to make it clearer that the &quot;constructive mode&quot; is still fully supported."/>
    <m/>
    <m/>
    <m/>
    <m/>
    <s v="-"/>
    <x v="1"/>
    <x v="0"/>
  </r>
  <r>
    <x v="2"/>
    <m/>
    <x v="4"/>
    <n v="1.8"/>
    <n v="6"/>
    <m/>
    <s v=" there is a missing discussion about what we used to call &quot;alfa-friendly&quot; code. I don't think we want to reuse this concept but_x000a_we need to define precisely what are the characteristics of a non-s14 subprogram that can call or be called by a s14 one so_x000a_that the formal verif on the latter be meaningful. We also want to minimize (eliminate?) the restrictions on Ada code that has_x000a_no influence on s14 code."/>
    <m/>
    <m/>
    <m/>
    <m/>
    <s v="-"/>
    <x v="0"/>
    <x v="0"/>
  </r>
  <r>
    <x v="1"/>
    <m/>
    <x v="1"/>
    <s v=" 6.1.3"/>
    <n v="24"/>
    <m/>
    <s v="I don't understand why there is so much emphasis on initial and final values of parameters or global variables. I understand_x000a_and agree with what  is written but I'm concerned that it doesn't correspond to how pre and post are described and that could_x000a_cause confusion. I would go for a simpler  introductory sentence: &quot;contract cases provide for a structured way of defining a_x000a_subprogram contract using mutually exclusive subcontract cases&quot; I would also suggest adding a &quot;real&quot; example  early. There is_x000a_what looks like an example but which is not so: it is a kind of equivalence which might be interesting but doesn't help much_x000a_understanding the concept."/>
    <m/>
    <m/>
    <m/>
    <m/>
    <s v="-"/>
    <x v="0"/>
    <x v="0"/>
  </r>
  <r>
    <x v="1"/>
    <m/>
    <x v="1"/>
    <m/>
    <s v=" page 25, static semantics"/>
    <m/>
    <s v=" Do we really need a &quot;contract_cases&quot; in the assertion policy? it seems error-prone since people could dis(/en)able_x000a_postconditions without dis(/en)abling contract_cases which seems to make little sense to me. I suggest that contract_cases_x000a_be guarded by the same assertion mark as postconditions. "/>
    <m/>
    <m/>
    <m/>
    <m/>
    <s v="-"/>
    <x v="0"/>
    <x v="0"/>
  </r>
  <r>
    <x v="3"/>
    <m/>
    <x v="1"/>
    <m/>
    <s v=" page 27, 5., last bullet"/>
    <m/>
    <s v=" either is an indexed component:  so a(1) and a(1) are independent?"/>
    <m/>
    <m/>
    <m/>
    <m/>
    <s v="-"/>
    <x v="0"/>
    <x v="0"/>
  </r>
  <r>
    <x v="3"/>
    <m/>
    <x v="1"/>
    <m/>
    <s v=" page 27, 1.,"/>
    <m/>
    <s v=" why is the numbering of paragraphs reset to 1? this paragraph should happen before since it is used by the previous ones... _x000a_generally speaking the whole thing is difficult to understand until you get to the examples on page 29/30"/>
    <m/>
    <m/>
    <s v="This section has now been removed and the detail subsumed within the referencing sections. [JIB]"/>
    <m/>
    <s v="-"/>
    <x v="1"/>
    <x v="0"/>
  </r>
  <r>
    <x v="3"/>
    <m/>
    <x v="1"/>
    <m/>
    <s v=" page 27, 3."/>
    <m/>
    <s v=" why can't an entire object have a &quot;out&quot; or &quot;proof&quot; effective mode? That doesn't seem obvious..."/>
    <m/>
    <m/>
    <s v="No longer relevant as now only entire objects can be referenced in the relevant aspects. [JIB]"/>
    <m/>
    <s v="-"/>
    <x v="1"/>
    <x v="0"/>
  </r>
  <r>
    <x v="3"/>
    <m/>
    <x v="1"/>
    <m/>
    <s v=" page 28, 6.1.5"/>
    <m/>
    <s v=" The second sentence is unclear:  are the only mode allowed 'in', 'out','in out' as implied or  'proof' is also OK?"/>
    <m/>
    <m/>
    <m/>
    <m/>
    <s v="-"/>
    <x v="0"/>
    <x v="0"/>
  </r>
  <r>
    <x v="1"/>
    <m/>
    <x v="1"/>
    <m/>
    <s v=" page 32"/>
    <m/>
    <s v=" I have some doubts about the &quot;=&gt;+&quot; notation. It doesn't seem necessary and doesn't help particularly the reader...this_x000a_is the first instance of a particularly weird notation so far..."/>
    <m/>
    <m/>
    <s v=" No better alternative is currently available so not proposed to change this at the moment. [JIB]"/>
    <m/>
    <s v="-"/>
    <x v="1"/>
    <x v="0"/>
  </r>
  <r>
    <x v="1"/>
    <m/>
    <x v="1"/>
    <m/>
    <s v=" page 36 Verification rules"/>
    <m/>
    <s v=" why is it relevant to the language definition that some verification rules are checked by flow analysis or proofs? I strongly_x000a_suggest we remove this purely implementation oriented detail."/>
    <m/>
    <m/>
    <m/>
    <m/>
    <s v="-"/>
    <x v="0"/>
    <x v="0"/>
  </r>
  <r>
    <x v="1"/>
    <m/>
    <x v="1"/>
    <m/>
    <s v=" page 36, 6.3.3, 4."/>
    <m/>
    <s v=" why isn't there a similar rule for 'out' and 'proof' ?"/>
    <m/>
    <m/>
    <m/>
    <m/>
    <s v="-"/>
    <x v="0"/>
    <x v="0"/>
  </r>
  <r>
    <x v="1"/>
    <m/>
    <x v="1"/>
    <m/>
    <s v=" page 36, 6.3.3 checked by proof, 1. &amp; 2."/>
    <m/>
    <s v=" the 2 sentences say exactly the same thing for the case of one component and the case od several. This is confusing. We_x000a_should merge the 2 sentences. furthermore, &quot;is considered&quot; doesn't really mean &quot;checked by proof&quot;, does it? We need to choose_x000a_between describing the properties or describing the checks done but here we are in the middle..."/>
    <m/>
    <m/>
    <m/>
    <m/>
    <s v="-"/>
    <x v="0"/>
    <x v="0"/>
  </r>
  <r>
    <x v="1"/>
    <m/>
    <x v="1"/>
    <s v=" "/>
    <s v=" page 38, 6.4"/>
    <m/>
    <s v=" the introductory paragraph is a bit abrupt. Why are we starting with something only relevant to OO? Furthermore, since we_x000a_talk about dispatching, is it really the case that only the one to which it resolves statically need to be s14 as implied? It_x000a_seems that all potential overriding need to be as well."/>
    <m/>
    <m/>
    <m/>
    <m/>
    <s v="-"/>
    <x v="0"/>
    <x v="0"/>
  </r>
  <r>
    <x v="5"/>
    <m/>
    <x v="4"/>
    <n v="1"/>
    <s v="      3/1"/>
    <m/>
    <s v="        &quot;SPARK 2014&quot;   Change later? When do we need the right language and tool names throughout?"/>
    <m/>
    <m/>
    <m/>
    <m/>
    <s v="-"/>
    <x v="0"/>
    <x v="0"/>
  </r>
  <r>
    <x v="2"/>
    <m/>
    <x v="4"/>
    <n v="1.2"/>
    <s v="      3/Bullet 3"/>
    <m/>
    <s v="        Text implies compiler tie-in. We need to be carefult to consider clients who use SPARK but this other compilers. Reword?"/>
    <m/>
    <m/>
    <s v="Duplicate"/>
    <m/>
    <s v="-"/>
    <x v="1"/>
    <x v="0"/>
  </r>
  <r>
    <x v="2"/>
    <m/>
    <x v="4"/>
    <n v="1.2"/>
    <s v="      3/Bullet 4"/>
    <m/>
    <s v="        Not clear to me if (a) the language spec is complete, but the first tool release is not, or (b) the language spec is partial_x000a_and the tool release matches is, or (c) a hybrid. This bullet implies tasking is in the language spec, but it's not in the first tool release?"/>
    <m/>
    <m/>
    <s v="Duplicate"/>
    <m/>
    <s v="-"/>
    <x v="1"/>
    <x v="0"/>
  </r>
  <r>
    <x v="2"/>
    <m/>
    <x v="4"/>
    <n v="1.2"/>
    <s v="      4/Add new bullet?"/>
    <m/>
    <s v="        Add new bullet point   &quot;As expressive as SPARK 83/95/05&quot;?"/>
    <m/>
    <m/>
    <m/>
    <m/>
    <s v="-"/>
    <x v="1"/>
    <x v="0"/>
  </r>
  <r>
    <x v="2"/>
    <m/>
    <x v="4"/>
    <n v="1.4"/>
    <s v="      4/1 Bullet 6"/>
    <m/>
    <s v="        Inconsistent with goals. Only a restiction in the inial tool, not the language?"/>
    <m/>
    <m/>
    <s v="Yes: text updated."/>
    <m/>
    <s v="-"/>
    <x v="1"/>
    <x v="0"/>
  </r>
  <r>
    <x v="2"/>
    <m/>
    <x v="4"/>
    <n v="1.5"/>
    <s v="      6/3"/>
    <m/>
    <s v="        So how do other compilers work? Ignore? Skip?"/>
    <m/>
    <m/>
    <m/>
    <m/>
    <s v="-"/>
    <x v="1"/>
    <x v="0"/>
  </r>
  <r>
    <x v="2"/>
    <m/>
    <x v="4"/>
    <n v="1.7"/>
    <s v="      6/2"/>
    <m/>
    <s v="        Add &quot;also&quot; before &quot;facilitate&quot;."/>
    <m/>
    <m/>
    <m/>
    <m/>
    <s v="-"/>
    <x v="1"/>
    <x v="0"/>
  </r>
  <r>
    <x v="2"/>
    <m/>
    <x v="4"/>
    <n v="1.8"/>
    <s v="      7/4"/>
    <m/>
    <s v="        Do not like &quot;by makeing some assumptions,&quot; text. Reowrd."/>
    <m/>
    <m/>
    <m/>
    <m/>
    <s v="-"/>
    <x v="1"/>
    <x v="0"/>
  </r>
  <r>
    <x v="0"/>
    <m/>
    <x v="11"/>
    <n v="11"/>
    <s v="      69/?"/>
    <m/>
    <s v="        Do we allow top-level handlers? Mosk SPARK programs have them!"/>
    <m/>
    <m/>
    <m/>
    <m/>
    <s v="-"/>
    <x v="0"/>
    <x v="0"/>
  </r>
  <r>
    <x v="2"/>
    <m/>
    <x v="12"/>
    <n v="13.3"/>
    <s v="      73/1"/>
    <m/>
    <s v="        Unchecked conversions useful? Retain?"/>
    <m/>
    <m/>
    <s v="Remove text that says unchecked conversions not used"/>
    <m/>
    <s v="-"/>
    <x v="0"/>
    <x v="0"/>
  </r>
  <r>
    <x v="2"/>
    <m/>
    <x v="8"/>
    <s v="        Appendix A"/>
    <s v="      79/6.3 Note"/>
    <m/>
    <s v="        How do we deal with Non-GNAT users who don't have GNAT check?"/>
    <m/>
    <m/>
    <m/>
    <m/>
    <s v="-"/>
    <x v="0"/>
    <x v="0"/>
  </r>
  <r>
    <x v="2"/>
    <m/>
    <x v="10"/>
    <s v="        Appendix C.1.2"/>
    <s v="      84/Specification in SPARK 2005"/>
    <m/>
    <s v="        For procedure Swap_Array_Elements, why do we need X /= Y?"/>
    <m/>
    <s v="removed &quot;X /= Y&quot;"/>
    <m/>
    <m/>
    <s v="-"/>
    <x v="1"/>
    <x v="0"/>
  </r>
  <r>
    <x v="2"/>
    <m/>
    <x v="10"/>
    <s v="        Appendix C.1.3"/>
    <s v="      85/Specification in SPARK 2005"/>
    <m/>
    <s v="        For procedure Init in spec, why do we need X'Length?"/>
    <m/>
    <s v="removed X'Lenght"/>
    <m/>
    <m/>
    <s v="-"/>
    <x v="1"/>
    <x v="0"/>
  </r>
  <r>
    <x v="2"/>
    <m/>
    <x v="10"/>
    <s v="        Appendix C.2.1"/>
    <s v="      89/Private type with refined pre/post contracts in the body"/>
    <m/>
    <s v="        Re the bit about proof rules  Why does this matter? Does this add anything? Delete?"/>
    <m/>
    <s v="deleted the part about proof rules"/>
    <m/>
    <m/>
    <s v="-"/>
    <x v="1"/>
    <x v="0"/>
  </r>
  <r>
    <x v="2"/>
    <m/>
    <x v="10"/>
    <s v="        Appendix C.2.1"/>
    <s v="      90/Body in SPARK 2005"/>
    <m/>
    <s v="For procedure Clear, S.Stack_Vector := Vector'(Index_Range =&gt; 0), why do we need this? pointless?"/>
    <m/>
    <s v="remove &quot;S.Stack_Vector := Vector'(Index_Range =&gt; 0)&quot;"/>
    <m/>
    <m/>
    <s v="-"/>
    <x v="1"/>
    <x v="0"/>
  </r>
  <r>
    <x v="2"/>
    <m/>
    <x v="10"/>
    <s v="        Appendix C.2.1"/>
    <s v="      91/ Specification in SPARK 2014"/>
    <m/>
    <s v="     Not that keen on your stack!               Clear (A);                Clear (B); push (B, x); pop(B, y);                Now you have A not equal to B"/>
    <m/>
    <m/>
    <s v="They are equal but we have to define our own equality operator (overload '=')."/>
    <m/>
    <s v="-"/>
    <x v="0"/>
    <x v="0"/>
  </r>
  <r>
    <x v="2"/>
    <m/>
    <x v="10"/>
    <s v="        Appendix C.2.1"/>
    <s v="      92/Body in SPARK 2014"/>
    <m/>
    <s v="        For function Is_Empty, with Refined_Post, is this really refined?"/>
    <m/>
    <m/>
    <s v="It is most likely not a refinement in SPARK 2014 but it should not raise an error."/>
    <m/>
    <s v="-"/>
    <x v="0"/>
    <x v="0"/>
  </r>
  <r>
    <x v="2"/>
    <m/>
    <x v="10"/>
    <s v="        Appendix C.2.1"/>
    <s v="      93/--#inherit Pairs_05.Additional_05"/>
    <m/>
    <s v="        Correct code format to be consistent."/>
    <m/>
    <m/>
    <s v="The Ada literal of sphinx has a bug. It has been reported."/>
    <m/>
    <s v="-"/>
    <x v="0"/>
    <x v="0"/>
  </r>
  <r>
    <x v="2"/>
    <m/>
    <x v="10"/>
    <s v="        Appendix C.2.1"/>
    <s v="      95/Specification in SPARK 2014"/>
    <m/>
    <s v="        For procedure Push, syntax &quot;=&gt;+&quot;, used without introduction?"/>
    <m/>
    <s v="Added comments in the code to introduce &quot;=&gt;+&quot;"/>
    <m/>
    <m/>
    <s v="-"/>
    <x v="1"/>
    <x v="0"/>
  </r>
  <r>
    <x v="2"/>
    <m/>
    <x v="10"/>
    <s v="        Appendix C.2.1"/>
    <s v="      96 &amp; 97/Extension of tagged type in child package ADT"/>
    <m/>
    <s v="        Correct code font to be consistent."/>
    <m/>
    <m/>
    <s v="Duplicate"/>
    <m/>
    <s v="DONE"/>
    <x v="1"/>
    <x v="0"/>
  </r>
  <r>
    <x v="2"/>
    <m/>
    <x v="10"/>
    <s v="        Appendix C.2.1"/>
    <s v="      97/Second instance of Specification in SPARK 2014."/>
    <m/>
    <s v="        Change second instance of &quot;Specification in SPARK 2014&quot; to &quot;Body in SPARK 2014&quot;."/>
    <m/>
    <s v="Changed second instance of &quot;Specification in SPARK 2014&quot; =&gt; &quot;Body in SPARK 2014&quot;"/>
    <m/>
    <m/>
    <s v="-"/>
    <x v="1"/>
    <x v="0"/>
  </r>
  <r>
    <x v="2"/>
    <m/>
    <x v="10"/>
    <s v="        Appendix C.2.1"/>
    <s v="      99/Body of public child A in SPARK 2005"/>
    <m/>
    <s v="        General commnet, but thought of it here:  I hope we can clear up the horror that is public/private SPARK children in 2014_x000a_ Most projects of any size ban them as unworkably confusing!"/>
    <m/>
    <m/>
    <s v="Duplicate"/>
    <m/>
    <s v="-"/>
    <x v="1"/>
    <x v="0"/>
  </r>
  <r>
    <x v="2"/>
    <m/>
    <x v="10"/>
    <s v="        Appendix C.2.2"/>
    <s v="      99/1"/>
    <m/>
    <s v="        Remove second sentence to be consistent   put the body of the SPARK 2014 version of the code at the end."/>
    <m/>
    <m/>
    <s v="That would needlessly make the LRM larger."/>
    <m/>
    <s v="-"/>
    <x v="1"/>
    <x v="0"/>
  </r>
  <r>
    <x v="2"/>
    <m/>
    <x v="10"/>
    <s v="        Appendix C.2.2"/>
    <s v="      109 &amp; 110/spec &amp; body of Private Children in SPARK 2005"/>
    <m/>
    <s v="        Correct code font to be consistent."/>
    <m/>
    <m/>
    <s v="Duplicate"/>
    <m/>
    <s v="DONE"/>
    <x v="1"/>
    <x v="0"/>
  </r>
  <r>
    <x v="2"/>
    <m/>
    <x v="10"/>
    <s v="        Appendix C.2.2"/>
    <s v="      111/Specification of Private Children on SPARK 2014"/>
    <m/>
    <s v="        Correct code font to be consistent."/>
    <m/>
    <m/>
    <s v="Duplicate"/>
    <m/>
    <s v="-"/>
    <x v="1"/>
    <x v="0"/>
  </r>
  <r>
    <x v="2"/>
    <m/>
    <x v="10"/>
    <s v="        C.2.3"/>
    <s v="      120/Switch body in SPARK 2014"/>
    <m/>
    <s v="        For package body Switch, what if state is not all volatile?"/>
    <m/>
    <m/>
    <s v="Question is related to the syntax of Refined_State. Once this is finalized we can change this one too."/>
    <m/>
    <s v="-"/>
    <x v="0"/>
    <x v="0"/>
  </r>
  <r>
    <x v="2"/>
    <m/>
    <x v="10"/>
    <s v="        Appendix C.2.4"/>
    <s v="      128/Circular dependence and elaboration order"/>
    <m/>
    <s v="        &quot;SPARK tools&quot;   is this the correct phrase?"/>
    <m/>
    <s v="Changed &quot;SPARK tools&quot; =&gt; &quot;Examiner&quot;"/>
    <m/>
    <m/>
    <s v="-"/>
    <x v="1"/>
    <x v="0"/>
  </r>
  <r>
    <x v="2"/>
    <m/>
    <x v="10"/>
    <s v="        Appendix C.3.1"/>
    <s v="      131/Assert (no loop) contract"/>
    <m/>
    <s v="&quot;that are within them as the new hypotheses&quot; - verging on needing knowledge of the proof language to understand this?"/>
    <m/>
    <m/>
    <s v="Not really. The enclosed statements (new hypotheses to be added) are in Ada"/>
    <m/>
    <s v="-"/>
    <x v="0"/>
    <x v="0"/>
  </r>
  <r>
    <x v="2"/>
    <m/>
    <x v="10"/>
    <s v="        N/A"/>
    <s v="      N/A"/>
    <m/>
    <s v="Add something on Generics to mapping section?"/>
    <m/>
    <m/>
    <s v="This has to be done later on. Not enough syntax ready."/>
    <m/>
    <s v="-"/>
    <x v="0"/>
    <x v="0"/>
  </r>
  <r>
    <x v="2"/>
    <m/>
    <x v="4"/>
    <m/>
    <m/>
    <m/>
    <s v="  The generative contracts are mentioned very late in chapt. 6. It should_x000a_  be stated that every subprogram has an implicit global/flow contract. If_x000a_  the user provides one, both are compared and the implicit one should_x000a_  refine the explicit one._x000a__x000a_  When the global/flow contract is required for analysis of another_x000a_  subprogram (e.g. to implement the above comparison), the user-provided_x000a_  contract is used if it exists, otherwise the implicit one is used."/>
    <m/>
    <m/>
    <m/>
    <m/>
    <s v="-"/>
    <x v="1"/>
    <x v="0"/>
  </r>
  <r>
    <x v="0"/>
    <m/>
    <x v="2"/>
    <s v=" general"/>
    <m/>
    <m/>
    <s v=" I am missing in this document a comprehensive list of  attributes and when they can be used."/>
    <m/>
    <m/>
    <m/>
    <m/>
    <s v="-"/>
    <x v="0"/>
    <x v="0"/>
  </r>
  <r>
    <x v="2"/>
    <m/>
    <x v="4"/>
    <s v=" general"/>
    <m/>
    <m/>
    <s v="The generative contracts are mentioned very late in chapt. 6. It should be stated that every subprogram has_x000a_an implicit global/flow contract. If the user provides one, both are compared and the implicit one should refine_x000a_the explicit one. When the global/flow contract is required for analysis of another subprogram (e.g. to implement_x000a_the above comparison), the user-provided ontract is used if it exists, otherwise the implicit one is used."/>
    <m/>
    <m/>
    <s v="Duplicate"/>
    <m/>
    <s v="-"/>
    <x v="1"/>
    <x v="0"/>
  </r>
  <r>
    <x v="0"/>
    <m/>
    <x v="13"/>
    <n v="3.3"/>
    <m/>
    <m/>
    <s v="  Why is the initialization expression of a variable required to be in S14 for the variable to be in S14?"/>
    <m/>
    <m/>
    <m/>
    <m/>
    <s v="-"/>
    <x v="0"/>
    <x v="0"/>
  </r>
  <r>
    <x v="0"/>
    <m/>
    <x v="3"/>
    <s v=" 5.5.3"/>
    <s v=" 18 .. 19"/>
    <m/>
    <s v=" We may want a restriction which requires each while loop to have a Loop_Variant pragma."/>
    <m/>
    <m/>
    <m/>
    <m/>
    <s v="-"/>
    <x v="0"/>
    <x v="0"/>
  </r>
  <r>
    <x v="0"/>
    <m/>
    <x v="1"/>
    <n v="6.1"/>
    <s v=" 23/5"/>
    <m/>
    <s v=" I don't see what we could do about the access and aliased formal parameter specs, null exclusion parameters or_x000a_access results. (the list of &quot;todo&quot;.) I'd rather say these are not in SPARK 2014."/>
    <m/>
    <m/>
    <m/>
    <m/>
    <s v="-"/>
    <x v="0"/>
    <x v="0"/>
  </r>
  <r>
    <x v="1"/>
    <m/>
    <x v="1"/>
    <s v=" 6.1.3"/>
    <m/>
    <m/>
    <s v="  The &quot;expansion&quot; given for the contract cases aspect is not quite  the same, as the &quot;exactly_one_of&quot; has to be true_x000a_in *all* contexts, not only the calling contexts."/>
    <m/>
    <m/>
    <m/>
    <m/>
    <s v="-"/>
    <x v="0"/>
    <x v="0"/>
  </r>
  <r>
    <x v="1"/>
    <m/>
    <x v="1"/>
    <s v=" 6.1.4"/>
    <n v="28"/>
    <m/>
    <s v=" The todo mentioning a possible executable semantics for the conditional modes is probably much too ambitious._x000a_I'd just remove it for now. Same for the similar toto on param aspect."/>
    <m/>
    <m/>
    <s v="No longer relevant as the conditional modes and param aspect have been removed. [JIB]"/>
    <m/>
    <s v="-"/>
    <x v="1"/>
    <x v="0"/>
  </r>
  <r>
    <x v="3"/>
    <m/>
    <x v="1"/>
    <s v=" 6.1.5"/>
    <m/>
    <m/>
    <s v=" Flow analysis cannot cope with &quot;global in out a(j)&quot;. Nor can  it cope with conditional stuff. Can we defer this until_x000a_after rel1? We really must take it out of the grammar and the examples!"/>
    <m/>
    <m/>
    <s v="This has been done. [JIB]"/>
    <m/>
    <s v="-"/>
    <x v="1"/>
    <x v="0"/>
  </r>
  <r>
    <x v="1"/>
    <m/>
    <x v="1"/>
    <s v=" 6.1.6"/>
    <m/>
    <m/>
    <s v="  FS: Remove for release 1 JK: leave out for the first release"/>
    <m/>
    <m/>
    <s v="This has been done. [JIB]"/>
    <m/>
    <s v="-"/>
    <x v="1"/>
    <x v="0"/>
  </r>
  <r>
    <x v="1"/>
    <m/>
    <x v="1"/>
    <s v=" 6.1.7"/>
    <m/>
    <m/>
    <s v=" Remove all the conditional stuff."/>
    <m/>
    <m/>
    <s v="This has been done. [JIB]"/>
    <m/>
    <s v="-"/>
    <x v="1"/>
    <x v="0"/>
  </r>
  <r>
    <x v="1"/>
    <m/>
    <x v="1"/>
    <s v=" 6.3.4"/>
    <n v="37"/>
    <m/>
    <s v=" The 2nd verification rule for Global aspect says that  &quot;If a subprogram does not have a global_aspect then an implicit one_x000a_is synthesised from implementation of the body (if it exists).&quot; This does not belong to the language description I think."/>
    <m/>
    <m/>
    <s v="Duplicate"/>
    <m/>
    <s v="-"/>
    <x v="1"/>
    <x v="0"/>
  </r>
  <r>
    <x v="1"/>
    <m/>
    <x v="1"/>
    <s v=" 6.3.4"/>
    <n v="37"/>
    <m/>
    <s v=" The first verification rule for Dependency aspect mixes synthesis of aspects (I don't see this belonging to the langage_x000a_definition) and checking of aspects between refined_dependency_aspect on body and dependency_aspect on the spec_x000a_(which does not belong to this section on dependency_aspect on body)."/>
    <m/>
    <m/>
    <m/>
    <m/>
    <s v="-"/>
    <x v="0"/>
    <x v="0"/>
  </r>
  <r>
    <x v="1"/>
    <m/>
    <x v="1"/>
    <s v=" 6.3.4"/>
    <s v=" 38/4"/>
    <m/>
    <s v=" It is said that refined_global_aspect may be synthesized. That looks odd to me, as I'd rather use the global_aspect given_x000a_by the user if any. This issue of synthesis should be described once only, possibly in the introduction of the LRM, or at the_x000a_start of the chapter, and then verification rules should not distinguish between synthesized and manually written contracts."/>
    <m/>
    <m/>
    <m/>
    <m/>
    <s v="-"/>
    <x v="0"/>
    <x v="0"/>
  </r>
  <r>
    <x v="1"/>
    <m/>
    <x v="1"/>
    <s v=" 6.4.3"/>
    <s v=" 40/4"/>
    <m/>
    <s v=" It is said that P may require a refined_dependency_aspect because of state_refinement, but this is the first time this_x000a_constraint appears, so one may not understand what is meant here, unless one already knows SPARK."/>
    <m/>
    <m/>
    <m/>
    <m/>
    <s v="-"/>
    <x v="0"/>
    <x v="0"/>
  </r>
  <r>
    <x v="3"/>
    <m/>
    <x v="0"/>
    <s v=" 7.1.1"/>
    <m/>
    <m/>
    <s v=" Remove comments about &quot;good practice&quot;"/>
    <m/>
    <m/>
    <s v=" Comment removed. [JIB]"/>
    <m/>
    <s v="-"/>
    <x v="1"/>
    <x v="0"/>
  </r>
  <r>
    <x v="3"/>
    <m/>
    <x v="0"/>
    <s v=" 7.1.2"/>
    <s v=" verification rules"/>
    <m/>
    <s v=" I am not sure what flow analysis is meant to check here."/>
    <m/>
    <m/>
    <s v=" Comments added to make clear when the checks are carried out. [JIB]"/>
    <m/>
    <s v="-"/>
    <x v="1"/>
    <x v="0"/>
  </r>
  <r>
    <x v="2"/>
    <m/>
    <x v="0"/>
    <s v=" 7.1.4 and 7.1.5"/>
    <m/>
    <m/>
    <s v=" I note that in a generic or package in a body information can flow into the initialisation from either the generic parameters_x000a_or the state of the enclosing subprogram. We must be able to capture this in analysis."/>
    <m/>
    <s v="TJJ"/>
    <s v=" Package-level Depends aspect gives this for packages; TJJ to check that the treatment of generics is sufficient."/>
    <m/>
    <s v="-"/>
    <x v="0"/>
    <x v="0"/>
  </r>
  <r>
    <x v="4"/>
    <s v="NOT REQUIRED"/>
    <x v="0"/>
    <s v=" 7.2.2 | null abstract state"/>
    <m/>
    <m/>
    <s v=" I do not understand how we can flow-analyse something like a cache without being either unhelpful (lots of coupling) or_x000a_unsound (you miss potential coupling)."/>
    <m/>
    <m/>
    <m/>
    <m/>
    <s v="-"/>
    <x v="0"/>
    <x v="0"/>
  </r>
  <r>
    <x v="0"/>
    <m/>
    <x v="0"/>
    <s v=" 7.2.4"/>
    <s v=" 55/2"/>
    <m/>
    <s v=" There should be a restriction that volatile variables are not allowed in assertions, since that amount to a side-effect."/>
    <m/>
    <m/>
    <m/>
    <m/>
    <s v="-"/>
    <x v="0"/>
    <x v="0"/>
  </r>
  <r>
    <x v="0"/>
    <m/>
    <x v="7"/>
    <n v="9"/>
    <m/>
    <m/>
    <s v="  Why does excluding tasks and synchronization exclude Ada.Calendar? It just so happens that this package is defined in_x000a_chapt. 9 of the LRM, but that's about it. Nothing in that package would make it be outside of S14. It's true however that_x000a_this package requires some special attention, there should be a volatile global &quot;in&quot; state. This could be done by annotating_x000a_the underlying &quot;pragma import&quot; C functions which probably read that state."/>
    <m/>
    <m/>
    <m/>
    <m/>
    <s v="-"/>
    <x v="0"/>
    <x v="0"/>
  </r>
  <r>
    <x v="2"/>
    <m/>
    <x v="4"/>
    <n v="1.5"/>
    <n v="5"/>
    <m/>
    <s v=" There is no description of what is captured under the subheading &quot;Checked by Proof&quot; although this appears in the body of the document."/>
    <m/>
    <m/>
    <s v="Duplicate (intro will_x000a_define what each_x000a_heading means)."/>
    <m/>
    <s v="-"/>
    <x v="1"/>
    <x v="0"/>
  </r>
  <r>
    <x v="2"/>
    <m/>
    <x v="4"/>
    <n v="1.6"/>
    <s v=" page 6"/>
    <m/>
    <s v=" The list of reasons for using restrictions might be easier to read if presented as a list. The penultimate and final items have_x000a_connectives but these are different (&quot;and&quot; and &quot;or&quot; respectively). It might read better if the &quot;and&quot; is removed."/>
    <m/>
    <m/>
    <s v="Section now removed"/>
    <m/>
    <s v="-"/>
    <x v="1"/>
    <x v="0"/>
  </r>
  <r>
    <x v="2"/>
    <m/>
    <x v="4"/>
    <n v="1.8"/>
    <s v=" List item 1."/>
    <m/>
    <s v=" &quot;that is not in SPARK 2014&quot; suggest removing the word &quot;in&quot;."/>
    <m/>
    <m/>
    <s v="In or out of SPARK_x000a_2014 is a notion used in this introduction."/>
    <s v="Rejected"/>
    <s v="-"/>
    <x v="1"/>
    <x v="0"/>
  </r>
  <r>
    <x v="2"/>
    <m/>
    <x v="13"/>
    <n v="3"/>
    <s v=" page 11, para 1"/>
    <m/>
    <s v=" &quot;does not add any declaration or type to Ada 2012&quot; would read better using plural for &quot;declarations&quot; and &quot;types&quot;."/>
    <m/>
    <m/>
    <s v=" Done, RCC"/>
    <m/>
    <s v="-"/>
    <x v="1"/>
    <x v="0"/>
  </r>
  <r>
    <x v="0"/>
    <m/>
    <x v="6"/>
    <n v="4.0999999999999996"/>
    <s v=" page 13"/>
    <m/>
    <s v=" This section does not indicate whether the contents of LRM sections 4.1.5 User-Defined References (generalised_reference)_x000a_or section 4.1.6 User-defined indexing (generalised_indexing) are included in SPARK 2014. Suggest including sections with_x000a_these numbers to explicitly exclude or include these features."/>
    <m/>
    <m/>
    <m/>
    <m/>
    <s v="-"/>
    <x v="0"/>
    <x v="0"/>
  </r>
  <r>
    <x v="2"/>
    <m/>
    <x v="2"/>
    <s v=" Generally"/>
    <m/>
    <m/>
    <s v=" Where the SPARK Syntax differs from Ada2012 it might be clearer to present the SPARK 2014 Syntax explicitly (what would be_x000a_great would be to show it as a red-line of the Ada2012 Syntax so that removed items are struck through). This would often be easier_x000a_to interpret than the textual description of the restriction (although any motivation for the restriction would be of benefit."/>
    <m/>
    <m/>
    <s v="We aren't proposing_x000a_to change now the way this is done."/>
    <s v="Rejected"/>
    <s v="-"/>
    <x v="1"/>
    <x v="0"/>
  </r>
  <r>
    <x v="0"/>
    <m/>
    <x v="6"/>
    <s v=" 4.3.4"/>
    <m/>
    <m/>
    <s v=" This section is poorly structured - it appears to be a SPARK2014 extention but there is no Syntax subheading and the text would_x000a_be easier to read if broken down into Legality rules, Semantics etc."/>
    <m/>
    <m/>
    <m/>
    <m/>
    <s v="-"/>
    <x v="0"/>
    <x v="0"/>
  </r>
  <r>
    <x v="2"/>
    <m/>
    <x v="6"/>
    <n v="4.4000000000000004"/>
    <m/>
    <m/>
    <s v=" How is &quot;side-effect free&quot; formally defined."/>
    <m/>
    <m/>
    <m/>
    <m/>
    <s v="-"/>
    <x v="0"/>
    <x v="0"/>
  </r>
  <r>
    <x v="0"/>
    <m/>
    <x v="3"/>
    <n v="5.5"/>
    <m/>
    <m/>
    <s v=" The loop syntax is restricted by the elimination of iterator_specification this is not clear at the point where the Ada Syntax is_x000a_presented. Might be helpful to present the restriction to the syntax here rather than eliminating the subsection that_x000a_describes iterator_specification. (5.5.2)."/>
    <m/>
    <m/>
    <m/>
    <m/>
    <s v="-"/>
    <x v="0"/>
    <x v="0"/>
  </r>
  <r>
    <x v="1"/>
    <m/>
    <x v="1"/>
    <s v=" 6.1.2"/>
    <s v=" Item 1 Legality Rules"/>
    <m/>
    <s v=" For consistency capitalise &quot;aspect&quot; in &quot;Param aspect&quot; or remove capitalisation of &quot;aspect&quot; in &quot;Global Aspect and Dependency Aspect&quot;."/>
    <m/>
    <m/>
    <s v="Param aspects have_x000a_now been removed."/>
    <m/>
    <s v="-"/>
    <x v="1"/>
    <x v="0"/>
  </r>
  <r>
    <x v="1"/>
    <m/>
    <x v="1"/>
    <s v=" 6.1.3"/>
    <s v=" First Para"/>
    <m/>
    <s v=" &quot;specify a mutually independent cases&quot; should be &quot;specify mutually independent cases&quot;."/>
    <m/>
    <m/>
    <s v=" Done, RCC"/>
    <m/>
    <s v="-"/>
    <x v="1"/>
    <x v="0"/>
  </r>
  <r>
    <x v="1"/>
    <m/>
    <x v="1"/>
    <s v=" 6.1.3"/>
    <s v=" Dynamic Semantics item 1."/>
    <m/>
    <s v=" should &quot;aspect_specification&quot; be in the program font?"/>
    <m/>
    <m/>
    <m/>
    <m/>
    <s v="-"/>
    <x v="0"/>
    <x v="0"/>
  </r>
  <r>
    <x v="1"/>
    <m/>
    <x v="1"/>
    <s v=" 6.1.4"/>
    <s v=" page 27, Static Semantics item 5, final bullet"/>
    <m/>
    <s v=" The final definition of independence seems incomplete - does this mean that Y and Y(J) are independent or Y(I) and Y(I) are_x000a_independent and that Y(I) and Y(J) are independent when indexes I and J evaluate to the same value."/>
    <m/>
    <m/>
    <s v=" Detail on independence no longer needed. [JIB]"/>
    <m/>
    <s v="-"/>
    <x v="1"/>
    <x v="0"/>
  </r>
  <r>
    <x v="1"/>
    <m/>
    <x v="1"/>
    <s v=" 6.1.4"/>
    <s v=" page 27, Static semantics item 6, subitem 1."/>
    <m/>
    <s v=" The mode selector values of &quot;In&quot; and &quot;Out&quot; do not match the options in the Syntax (these should be &quot;Input&quot;or &quot;Output&quot;."/>
    <m/>
    <m/>
    <s v=" Detail on effective mode has now been removed. [JIB]"/>
    <m/>
    <s v="-"/>
    <x v="1"/>
    <x v="0"/>
  </r>
  <r>
    <x v="3"/>
    <m/>
    <x v="1"/>
    <s v=" 6.1.5"/>
    <s v=" page 29, para 5(a)"/>
    <m/>
    <s v=" You need to be careful about modes and effective modes. Here I think you are refering to effective modes but then Proof is_x000a_only a mode_Selector value not an effective mode."/>
    <m/>
    <m/>
    <s v=" This paragraph has now been removed, as has the detail on effective modes. [JIB]"/>
    <m/>
    <s v="-"/>
    <x v="1"/>
    <x v="0"/>
  </r>
  <r>
    <x v="3"/>
    <m/>
    <x v="1"/>
    <s v=" 6.1.5"/>
    <s v=" page 30, final example"/>
    <m/>
    <s v=" What about the &quot;Proof&quot; mode selector, the comment states that all types of global_specification are covered."/>
    <m/>
    <m/>
    <s v=" Added to example. [JIB]"/>
    <m/>
    <s v="-"/>
    <x v="1"/>
    <x v="0"/>
  </r>
  <r>
    <x v="1"/>
    <m/>
    <x v="1"/>
    <s v=" 6.1.6"/>
    <s v=" Legality Rules"/>
    <m/>
    <s v=" Should a mode_selector of &quot;Proof&quot; be prohibited here."/>
    <m/>
    <m/>
    <s v=" The detail on Param aspects has now been removed. [JIB]"/>
    <m/>
    <s v="-"/>
    <x v="1"/>
    <x v="0"/>
  </r>
  <r>
    <x v="1"/>
    <m/>
    <x v="1"/>
    <s v=" 6.1.7"/>
    <s v=" page 33, Legality Rules"/>
    <m/>
    <s v=" You need to be careful with the wording here. From the Syntax import_lists only  occur within a conditional_dependency but_x000a_I expect the constraints apply more widely to any imports in any dependency_list."/>
    <m/>
    <m/>
    <s v=" This has been corrected during the removal of detail on conditional dependencies. [JIB]"/>
    <m/>
    <s v="-"/>
    <x v="1"/>
    <x v="0"/>
  </r>
  <r>
    <x v="1"/>
    <m/>
    <x v="1"/>
    <s v=" 6.1.7"/>
    <s v=" Legality Rules item 8"/>
    <m/>
    <s v=" This needs rephrasing, I don't know what &quot;shall appear at least of a dependency_relation&quot; is supposed to mean. Also second_x000a_sentence is incomplete."/>
    <m/>
    <m/>
    <s v=" Has been corrected. [JIB]"/>
    <m/>
    <s v="-"/>
    <x v="1"/>
    <x v="0"/>
  </r>
  <r>
    <x v="0"/>
    <m/>
    <x v="0"/>
    <s v=" 7.2.2"/>
    <s v=" Verification Rules, item 1"/>
    <m/>
    <s v=" It is not clear to me what check is being performed here."/>
    <m/>
    <m/>
    <m/>
    <m/>
    <s v="-"/>
    <x v="0"/>
    <x v="0"/>
  </r>
  <r>
    <x v="0"/>
    <m/>
    <x v="0"/>
    <s v=" 7.2.2"/>
    <s v=" Legality Rules"/>
    <m/>
    <s v=" it seems to me that according to these rules ther refined state aspect can have  state with just the Input simple_property._x000a_This is not consistent with the abstract state aspect, which also requires volatile."/>
    <m/>
    <m/>
    <m/>
    <m/>
    <s v="-"/>
    <x v="0"/>
    <x v="0"/>
  </r>
  <r>
    <x v="0"/>
    <m/>
    <x v="0"/>
    <s v=" 7.2.6"/>
    <s v=" page 58 Verification Rules item 1 bullet 2 sub-bullet 2"/>
    <m/>
    <s v=" How can this clause hold in general, is it not made redundant by the next clause."/>
    <m/>
    <m/>
    <m/>
    <m/>
    <s v="-"/>
    <x v="0"/>
    <x v="0"/>
  </r>
  <r>
    <x v="0"/>
    <m/>
    <x v="14"/>
    <s v=" 14.1.2"/>
    <s v=" Todo"/>
    <m/>
    <s v=" It would be very useful to list the packages supported by SPARK 2014."/>
    <m/>
    <m/>
    <m/>
    <m/>
    <s v="-"/>
    <x v="0"/>
    <x v="0"/>
  </r>
  <r>
    <x v="2"/>
    <m/>
    <x v="8"/>
    <s v=" Appendix A"/>
    <s v=" General"/>
    <m/>
    <s v=" Some of the features of Ada which are now permitted were restricted from SPARK95 because the code was potentially_x000a_harder to read - ie. a reviewer or coder might misinterpret even though the compiler will always interpret the code unambiguously._x000a_One such example is default subprogram parameters. I would like to be clear whether the restrictions listed are mandetory for the_x000a_code to be considered SPARK 2014. I think it will be important to provide off-the-shelf profiles that use an appropriate set of restrictions_x000a_for various contexts. It would probably be useful to claim that certain profiles will make the code easier to review - would be good for a_x000a_safety argument."/>
    <m/>
    <m/>
    <m/>
    <m/>
    <s v="-"/>
    <x v="0"/>
    <x v="0"/>
  </r>
  <r>
    <x v="0"/>
    <m/>
    <x v="9"/>
    <s v=" Appendix B"/>
    <s v=" General"/>
    <m/>
    <s v=" Not sure what the purpose of this section is. There are Extended Legality Rules through the document. This is not a summary_x000a_of all the extended legality rules - if that is intended then there are several missing."/>
    <m/>
    <m/>
    <m/>
    <m/>
    <s v="-"/>
    <x v="0"/>
    <x v="0"/>
  </r>
  <r>
    <x v="2"/>
    <m/>
    <x v="10"/>
    <s v=" C.2"/>
    <s v=" Page 95, Line 12 of first program."/>
    <m/>
    <s v=" To be a pure translation from SPARK2005 to SPARK2014 should you not use --# derives S from *,X; to match the use of =&gt;+ in_x000a_the Dependancy aspect. (another instance on page 96)"/>
    <m/>
    <s v="Changed &quot;S from S, X&quot; =&gt; &quot;S from *, X&quot;"/>
    <m/>
    <m/>
    <s v="-"/>
    <x v="1"/>
    <x v="0"/>
  </r>
  <r>
    <x v="2"/>
    <m/>
    <x v="10"/>
    <s v=" C.2"/>
    <s v=" Page 100 and probably more generally"/>
    <m/>
    <s v=" Why do you write &quot;Specifications in SPARK&quot; but &quot;Body in SPARK&quot;. I would have thought that the &quot;Specifications&quot; should be singular."/>
    <m/>
    <s v="Changed everything to singular."/>
    <m/>
    <m/>
    <s v="-"/>
    <x v="1"/>
    <x v="0"/>
  </r>
  <r>
    <x v="2"/>
    <m/>
    <x v="10"/>
    <s v=" C.2"/>
    <s v=" Page 116"/>
    <m/>
    <s v=" The choice of Outputs as the state name (similarly Input) in this section makes the annotations really hard to read in SPARK 2014."/>
    <m/>
    <s v="Changed &quot;Inputs&quot; =&gt; &quot;Input_State&quot; and &quot;Outputs&quot; =&gt; &quot;Output_State&quot;"/>
    <m/>
    <m/>
    <s v="-"/>
    <x v="1"/>
    <x v="0"/>
  </r>
  <r>
    <x v="2"/>
    <m/>
    <x v="10"/>
    <s v=" C.2"/>
    <s v=" Page 124"/>
    <m/>
    <s v=" In SPARK 2014 if a function is declared and defined just for use within a proof context how do we demonstrate coverage in a_x000a_system where there are high code coverage requirements - especially if the final system is being executed with dynamic proof_x000a_checks switched off."/>
    <m/>
    <m/>
    <s v="More general question. Not directly related to the mapping spec."/>
    <m/>
    <s v="-"/>
    <x v="0"/>
    <x v="0"/>
  </r>
  <r>
    <x v="2"/>
    <m/>
    <x v="10"/>
    <s v=" C.2"/>
    <s v=" Page 127"/>
    <m/>
    <s v=" Are the double set of brackets necessary in the second code fragment (line 2)."/>
    <m/>
    <s v="Double brackets removed"/>
    <m/>
    <m/>
    <s v="-"/>
    <x v="1"/>
    <x v="0"/>
  </r>
  <r>
    <x v="2"/>
    <m/>
    <x v="10"/>
    <s v=" C.4.6"/>
    <s v=" Page 137"/>
    <m/>
    <s v=" It is a shame that RavenSPARK is not to be supported initially - do we have a time frame for it's introduction. This is probably_x000a_important to legacy customers and future users."/>
    <m/>
    <m/>
    <s v="General comment. Not directly related to the mapping spec."/>
    <m/>
    <s v="-"/>
    <x v="0"/>
    <x v="0"/>
  </r>
  <r>
    <x v="4"/>
    <s v="NOT REQUIRED"/>
    <x v="6"/>
    <s v=" 4.1.3"/>
    <m/>
    <m/>
    <s v=" The phrase &quot;Some constructs which ...&quot; is not followed up with a clear list of which exceptions are or are not determined by_x000a_static analysis. Is this an area which we need to clarify once we know what we can and can not check?"/>
    <m/>
    <m/>
    <m/>
    <m/>
    <s v="-"/>
    <x v="0"/>
    <x v="0"/>
  </r>
  <r>
    <x v="2"/>
    <m/>
    <x v="6"/>
    <s v=" 4.1.4"/>
    <m/>
    <m/>
    <s v=" The second paragraph states &quot;... may also be useful in SPARK 2014&quot;. Do you mean that it isn't currently included in SPARK 2014_x000a_but could be? Or that it is a useful attribute that SPARK 2014 developers can use to check validity of data? Consider rewording to_x000a_make this clear."/>
    <m/>
    <m/>
    <m/>
    <m/>
    <s v="-"/>
    <x v="0"/>
    <x v="0"/>
  </r>
  <r>
    <x v="4"/>
    <s v="OPTIONAL"/>
    <x v="6"/>
    <s v=" 4.3.3"/>
    <m/>
    <m/>
    <s v=" It would be nice to make it clear at the beginning here that the Update attribute is an extension of Ada 2012 for SPARK 2014_x000a_that can only be used within SPARK aspects (assuming my understanding matches the intention). This comment also applies_x000a_generally (e.g. section 5.5.3 also introduces constructs rather than restricting them). Thinking about this a little more, if SPARK_x000a_2014 adds attributes with dynamic semantics then other compiler vendors would have to sign up to meet SPARK 2014 LRM_x000a_as well as Ada 2012 LRM. In other words, SPARK 2014 programs can not be compiled with Ada 2012 compilers."/>
    <m/>
    <m/>
    <m/>
    <m/>
    <s v="-"/>
    <x v="0"/>
    <x v="0"/>
  </r>
  <r>
    <x v="2"/>
    <m/>
    <x v="8"/>
    <s v=" Annex A"/>
    <m/>
    <m/>
    <s v=" This is titled Restrictions and Profiles but it doesn't define any profiles. A &quot;profile&quot; is a specific set of restrictions that a user chooses_x000a_so shouldn't this doc say that the definition of profiles is out of scope, but the definition of restrictions is."/>
    <m/>
    <m/>
    <m/>
    <m/>
    <s v="-"/>
    <x v="0"/>
    <x v="0"/>
  </r>
  <r>
    <x v="2"/>
    <m/>
    <x v="2"/>
    <s v=" General"/>
    <m/>
    <m/>
    <s v=" For language constructs added for SPARK 2014 there is normally a section titled &quot;Verification Rules&quot; but we don't have these_x000a_for any standard Ada 2012 constructs. Should we add these? It would be nice to be able to trace all VCs back to a verification rule in this doc."/>
    <m/>
    <m/>
    <m/>
    <m/>
    <s v="-"/>
    <x v="0"/>
    <x v="0"/>
  </r>
  <r>
    <x v="2"/>
    <m/>
    <x v="2"/>
    <s v=" General"/>
    <m/>
    <m/>
    <s v=" In order to ensure completeness, it would be better to always list Syntax, Legality Rules, Static Semantics, Verification Rules and_x000a_Dynamic Semantics and explicitly state that they don't apply."/>
    <m/>
    <m/>
    <m/>
    <m/>
    <s v="-"/>
    <x v="0"/>
    <x v="0"/>
  </r>
  <r>
    <x v="1"/>
    <m/>
    <x v="1"/>
    <s v=" General"/>
    <m/>
    <m/>
    <s v=" Looking at section 6.1.6 &quot;Param Aspects&quot; my initial thought was: &quot;do we really need this?&quot; Is there anywhere where we've_x000a_documented why we feel our customers really want this kind of thing? I don't see this functionality being required to support_x000a_the design goals so I'd expect there to be a clear rationale for it. This is a general comment because I feel there are a number_x000a_of other areas where we may be planning to do more than we need."/>
    <m/>
    <m/>
    <m/>
    <m/>
    <s v="-"/>
    <x v="0"/>
    <x v="0"/>
  </r>
  <r>
    <x v="2"/>
    <m/>
    <x v="2"/>
    <s v=" General"/>
    <m/>
    <m/>
    <s v=" The document doesn't describe how a user asserts whether or not code is intended to be within SPARK 2014 or not. On a_x000a_related note, I was surprised the --#hide annotation isn't in the mapping section."/>
    <m/>
    <m/>
    <m/>
    <m/>
    <s v="-"/>
    <x v="0"/>
    <x v="0"/>
  </r>
  <r>
    <x v="2"/>
    <m/>
    <x v="4"/>
    <s v=" Introduction"/>
    <s v=" p4, 1st bullet (and discussed further in 1.8)"/>
    <m/>
    <s v=" I'm a bit confused about how the SPARK 2014 language will provide for the mixing of verification evidence from code that is_x000a_within the 2014 subset and code that is outside of it. I can imagine a process where you do this, and have a mixture of 2014_x000a_and non-2014 code, and a mixture of formal verification and testing, but how does this influence the 2014 language itself?_x000a_Does it boil down to modularity and the ability to mix 2014 and non-2014 features at a fine level? I suppose the potential_x000a_confusion is that your whole &quot;SPARK 2014&quot; program may be a mixture of SPARK 2014 and non-SPARK 2014 code, but do you_x000a_still call the whole thing a SPARK 2014 program?"/>
    <m/>
    <m/>
    <m/>
    <m/>
    <s v="-"/>
    <x v="1"/>
    <x v="0"/>
  </r>
  <r>
    <x v="2"/>
    <m/>
    <x v="6"/>
    <n v="4.2"/>
    <s v=" p14"/>
    <m/>
    <s v=" The word 'null' appears quite often in SPARK 2014 aspects. I guess it is not a 'literal' when it is used in that context?"/>
    <m/>
    <m/>
    <m/>
    <m/>
    <s v="-"/>
    <x v="0"/>
    <x v="0"/>
  </r>
  <r>
    <x v="1"/>
    <m/>
    <x v="6"/>
    <s v=" 4.3.4"/>
    <s v=" p15"/>
    <m/>
    <s v=" From a teaching perspective, it seems that it would be easier to say that multiple ranges in an array update expression are_x000a_not permitted to overlap, rather than having to explain that they may overlap and that they are performed in the order given._x000a_Is the rule like this because it's too hard to determine whether they overlap, or because we want to allow users more flexibility?"/>
    <m/>
    <m/>
    <m/>
    <m/>
    <s v="-"/>
    <x v="0"/>
    <x v="0"/>
  </r>
  <r>
    <x v="0"/>
    <m/>
    <x v="3"/>
    <s v=" 5.5.3"/>
    <s v=" p19, para 1"/>
    <m/>
    <s v=" So a pragma Loop_Invariant is equivalent to a pragma Assert, apart from some extra restrictions on the placement of a_x000a_pragma Loop_Invariant. That implies that you could just use pragma Assert instead of pragma Loop_Invariant. Is that true?"/>
    <m/>
    <m/>
    <m/>
    <m/>
    <s v="-"/>
    <x v="0"/>
    <x v="0"/>
  </r>
  <r>
    <x v="0"/>
    <m/>
    <x v="3"/>
    <s v=" 5.5.3"/>
    <s v=" p19, middle"/>
    <m/>
    <s v=" It says that proving the Loop_Variant implies the termination of the loop. I didn't spot anything that says the loop variant has_x000a_to be related to any loop exit condition. That could be deliberate, on the grounds that even if the variant is nothing to do with_x000a_any loop exit condition then it will eventually cause the loop to terminate with an exception when something overflows (and_x000a_hopefully we have shown that this can't happen, therefore the variant must be related to an exit condition) but I thought I would_x000a_mention it."/>
    <m/>
    <m/>
    <m/>
    <m/>
    <s v="-"/>
    <x v="0"/>
    <x v="0"/>
  </r>
  <r>
    <x v="0"/>
    <m/>
    <x v="3"/>
    <n v="5.9"/>
    <s v=" p21, just before 'Examples'"/>
    <m/>
    <s v=" &quot;A boolean expression given by pragma Assume can be assumed to be true for the remainder of the subprogram.&quot; Is that true?_x000a_Is it invariant for the rest of the subprogram? Couldn't something get changed later on which meant it was no longer true?"/>
    <m/>
    <m/>
    <m/>
    <m/>
    <s v="-"/>
    <x v="0"/>
    <x v="0"/>
  </r>
  <r>
    <x v="3"/>
    <m/>
    <x v="1"/>
    <s v=" 6.1.5"/>
    <s v=" p29"/>
    <m/>
    <s v=" If you say &quot;Output =&gt; (A, B, C, I (if I = 42 then D))&quot; I assume that &quot;I = 42&quot; refers to the initial value of I? I didn¡¯t spot that in the_x000a_rules when I skimmed them."/>
    <m/>
    <m/>
    <s v=" Conditional dependencies have now been removed. [JIB]"/>
    <m/>
    <s v="-"/>
    <x v="1"/>
    <x v="0"/>
  </r>
  <r>
    <x v="3"/>
    <m/>
    <x v="1"/>
    <s v=" 6.1.5"/>
    <m/>
    <m/>
    <s v=" If I understand correctly, you can specify a global as In_Out or you can specify it as both Input and Output and it means the_x000a_same thing. From an ease of teaching viewpoint I don't see the point of In_Out."/>
    <m/>
    <m/>
    <s v=" This has been updated so that only In_Out is used now. [JIB]"/>
    <m/>
    <s v="-"/>
    <x v="1"/>
    <x v="0"/>
  </r>
  <r>
    <x v="1"/>
    <m/>
    <x v="1"/>
    <s v=" 6.1.7"/>
    <s v=" p33, item 8"/>
    <m/>
    <s v=" This doesn't make sense. Looks like some sort of editing error."/>
    <m/>
    <m/>
    <s v=" Now corrected. [JIB]"/>
    <m/>
    <s v="-"/>
    <x v="1"/>
    <x v="0"/>
  </r>
  <r>
    <x v="1"/>
    <m/>
    <x v="1"/>
    <s v=" 6.1.7"/>
    <s v=" p35, final example (and preceding text too I guess)"/>
    <m/>
    <s v=" It says that dependency aspects are only needed for functions to describe conditional dependencies. What about null_x000a_dependencies? This is something that caused problems in S95 when we implemented automatic flow analysis as there_x000a_were cases where it would have been much better if we could have said that a function derives its return value from some_x000a_of its imports and derives null from other imports. I can expand on that if required."/>
    <m/>
    <m/>
    <s v=" The syntax allows for this and an example is given of this case. [JIB]"/>
    <m/>
    <s v="-"/>
    <x v="1"/>
    <x v="0"/>
  </r>
  <r>
    <x v="1"/>
    <m/>
    <x v="1"/>
    <s v=" 6.4.2"/>
    <s v=" p39, 1st para"/>
    <m/>
    <s v=" From a teaching perspective, having to know if a type is by-copy makes this more complex. It would be simpler not to_x000a_have this relaxation of the rule for by-copy types but I can see there is a trade-off between simplicity and having less restrictions."/>
    <m/>
    <m/>
    <m/>
    <m/>
    <s v="-"/>
    <x v="0"/>
    <x v="0"/>
  </r>
  <r>
    <x v="0"/>
    <m/>
    <x v="4"/>
    <n v="1.4"/>
    <m/>
    <m/>
    <s v=" Why is tasking not in the SPARK 2014 subset?  What happened to RavenSPARK?  It says &quot;not currently permitted.&quot;  Is that a_x000a_technical term?  Do we intend to lift that restriction before release of S14?"/>
    <m/>
    <m/>
    <s v="Duplicate"/>
    <m/>
    <s v="-"/>
    <x v="1"/>
    <x v="0"/>
  </r>
  <r>
    <x v="2"/>
    <m/>
    <x v="4"/>
    <n v="1.4"/>
    <m/>
    <m/>
    <s v="We need a term for the &quot;SPARK-friendly&quot; subset of features, which are not all in S14, but which allow for some amount of analysis."/>
    <m/>
    <m/>
    <m/>
    <m/>
    <m/>
    <x v="1"/>
    <x v="0"/>
  </r>
  <r>
    <x v="2"/>
    <m/>
    <x v="4"/>
    <n v="1.5"/>
    <m/>
    <m/>
    <s v="&quot;Flow analysis&quot; vs. &quot;Data flow analysis&quot; vs. &quot;Info flow analysis.&quot;  Should we make a distinction?"/>
    <m/>
    <m/>
    <s v="Updated"/>
    <m/>
    <m/>
    <x v="1"/>
    <x v="0"/>
  </r>
  <r>
    <x v="2"/>
    <m/>
    <x v="4"/>
    <n v="1.5"/>
    <s v=" "/>
    <m/>
    <s v="&quot;Flow analysis rules&quot; vs. &quot;Verification rules.&quot;  SB says everything follows from rule relating to run-time checks, but what about_x000a_things in Ada which are *not* checked, such as use of uninitialized data, race conditions, various nasty erroneous conditions_x000a_relating to renaming, etc.?  YM mentions the type invariants, but that seems just indicative of a set of things where the run-time_x000a_checks are incomplete relative to what we want to do for proofs. "/>
    <m/>
    <m/>
    <m/>
    <m/>
    <m/>
    <x v="1"/>
    <x v="0"/>
  </r>
  <r>
    <x v="2"/>
    <m/>
    <x v="4"/>
    <n v="1.6"/>
    <s v="  "/>
    <m/>
    <s v=" A &quot;profile&quot; is defined already in the Ada RM, and it includes a set of restrictions, plus various policy specifications, and perhaps a_x000a_few other things specifiable via pragmas."/>
    <m/>
    <m/>
    <m/>
    <m/>
    <m/>
    <x v="1"/>
    <x v="0"/>
  </r>
  <r>
    <x v="2"/>
    <m/>
    <x v="10"/>
    <s v=" C.1.1  "/>
    <s v=" "/>
    <m/>
    <s v=" Intro paragraph should mention the fact that &quot;derives&quot; has become &quot;depends&quot; in S14, and perhaps title should become_x000a_&quot;Global and Derives/Depends&quot; "/>
    <m/>
    <s v="Intro paragraph mentions that &quot;derives&quot; has become &quot;depends&quot;. Did not change the title."/>
    <m/>
    <m/>
    <m/>
    <x v="1"/>
    <x v="0"/>
  </r>
  <r>
    <x v="2"/>
    <m/>
    <x v="10"/>
    <s v=" C.1.3   "/>
    <s v=" "/>
    <m/>
    <s v="&quot;I in Positive range X'First .. X'Last&quot; =&gt; &quot;I in X'Range&quot;?"/>
    <m/>
    <s v="Changed &quot;X'First .. X'Last&quot; =&gt; &quot;X'Range&quot;. The &quot;Positive range&quot; part of it is needed."/>
    <m/>
    <m/>
    <m/>
    <x v="1"/>
    <x v="0"/>
  </r>
  <r>
    <x v="2"/>
    <m/>
    <x v="10"/>
    <s v=" C.1.3   "/>
    <s v="  "/>
    <m/>
    <s v="&quot;J in Positive range X'First .. I&quot; =&gt; J in X'First .. I&quot;?"/>
    <m/>
    <m/>
    <s v="&quot;Positive Range&quot; is actually needed."/>
    <m/>
    <m/>
    <x v="0"/>
    <x v="0"/>
  </r>
  <r>
    <x v="2"/>
    <m/>
    <x v="10"/>
    <s v=" C.2.1    "/>
    <s v="  "/>
    <m/>
    <s v="If the SPARK 2005 and 2014 are identical, then why don't the introductory lines say &quot;Specifications in SPARK 2005_x000a_(2014 is identical):&quot; or some such thing?  Ditto for Body (also applies in C.2.2)."/>
    <m/>
    <s v="When SPARK 2005 and 2014 are identical, we say &quot;As per SPARK 2005&quot;."/>
    <m/>
    <m/>
    <m/>
    <x v="1"/>
    <x v="0"/>
  </r>
  <r>
    <x v="2"/>
    <m/>
    <x v="10"/>
    <s v=" C.2.1   "/>
    <s v="    "/>
    <m/>
    <s v="In Refined_Post for Clear, why do we need to say S.StackPointer = 0, since that is implied by Is_Empty(S)?"/>
    <m/>
    <m/>
    <s v="Covered by previous comment."/>
    <m/>
    <m/>
    <x v="0"/>
    <x v="0"/>
  </r>
  <r>
    <x v="2"/>
    <m/>
    <x v="10"/>
    <s v=" C.2.1  "/>
    <s v="      "/>
    <m/>
    <s v="It seems unnecessary to initialize all values of stack in Clear.  I would think that an invariant of_x000a_(for all I in 1..S.Stack_Pointer =&gt; S.Stack_Vector(I) = 0) would be sufficient, with Clear only setting S.Stack_Pointer to zero."/>
    <m/>
    <m/>
    <s v="Covered by previous comment."/>
    <m/>
    <m/>
    <x v="1"/>
    <x v="0"/>
  </r>
  <r>
    <x v="2"/>
    <m/>
    <x v="10"/>
    <s v=" C.2.1 "/>
    <s v="(pp 91-92)"/>
    <m/>
    <s v="In Pop postcondition don't we need to say that there is no change to S.Stack_Vector(1..S.Stack_Pointer)?  Or is that_x000a_somehow assumed due to a default &quot;frame&quot; rule? (Also comes up in C.2.2, p. 109.)"/>
    <m/>
    <s v="Added postcondition that says &quot;S.Stack_Vector = S'Old.Stack_Vector&quot;."/>
    <m/>
    <m/>
    <m/>
    <x v="1"/>
    <x v="0"/>
  </r>
  <r>
    <x v="2"/>
    <m/>
    <x v="10"/>
    <s v=" C.2.1   "/>
    <s v="         "/>
    <m/>
    <s v="pp. 92-99 seems like a like of examples that are only indicating that &quot;inherit&quot; is no longer required for children.  Or else I am_x000a_missing something..."/>
    <m/>
    <m/>
    <s v="Section's intro mentions what its purpose is."/>
    <m/>
    <m/>
    <x v="0"/>
    <x v="0"/>
  </r>
  <r>
    <x v="2"/>
    <m/>
    <x v="10"/>
    <s v=" C.2.2 "/>
    <s v="p. 100      "/>
    <m/>
    <s v="The following looks funny &quot;with Abstract_State =&gt; (S, Pointer), -- concrete state&quot;.  What is the explanation for this comment?"/>
    <m/>
    <s v="Removed the comment."/>
    <m/>
    <m/>
    <m/>
    <x v="1"/>
    <x v="0"/>
  </r>
  <r>
    <x v="2"/>
    <m/>
    <x v="10"/>
    <s v=" C.2.2 "/>
    <s v="p. 110       "/>
    <m/>
    <s v="We have a procedure with &quot;Global =&gt; State&quot;; should that be &quot;Global =&gt; (Input =&gt; State)&quot; or is &quot;Input&quot; presumed if not stated? _x000a_Ditto for &quot;Global =&gt; (Source_A_14.State, ...)&quot;?"/>
    <m/>
    <m/>
    <s v="It is presumed if not stated."/>
    <m/>
    <m/>
    <x v="1"/>
    <x v="0"/>
  </r>
  <r>
    <x v="2"/>
    <m/>
    <x v="10"/>
    <s v=" C.2.3 "/>
    <s v="p. 115-116    "/>
    <m/>
    <s v="It seems unnecessarily confusing to use &quot;Inputs&quot; and &quot;Outputs&quot; as the names of the global state variables, given the use of_x000a_&quot;Input&quot; and &quot;Output&quot; as words with special significance, producing quite confusing constructs like &quot;((Inputs with Volatile, Input)).&quot; _x000a_How about &quot;Input_State&quot; and &quot;Output_State&quot; instead?  Also, how does &quot;Input&quot; related to &quot;Volatile&quot; in this example.  Is &quot;Input&quot;_x000a_qualifying &quot;Volatile&quot; (and only permitted in its presence), or qualifying Inputs?  Perhaps &quot;((Input_State with Volatile(Input)))&quot;? "/>
    <m/>
    <m/>
    <s v="Covered by previous comment."/>
    <m/>
    <m/>
    <x v="1"/>
    <x v="0"/>
  </r>
  <r>
    <x v="2"/>
    <m/>
    <x v="8"/>
    <s v=" A (6.2 Strict Modes) "/>
    <s v="p. 78 "/>
    <m/>
    <s v="The terms &quot;import&quot; and &quot;export&quot; are used here.  Don't we mean &quot;input&quot; and &quot;output&quot;?"/>
    <m/>
    <m/>
    <s v="Duplicate"/>
    <m/>
    <m/>
    <x v="1"/>
    <x v="0"/>
  </r>
  <r>
    <x v="2"/>
    <m/>
    <x v="8"/>
    <s v=" A (7.2.2 Refined State Aspect) "/>
    <s v="p. 80"/>
    <m/>
    <s v="Rather than &quot;Null_State_Refinement_Prohibited&quot; use &quot;No_Null_State_Refinement&quot; to be consistent with other restriction identifiers."/>
    <m/>
    <m/>
    <m/>
    <m/>
    <m/>
    <x v="0"/>
    <x v="0"/>
  </r>
  <r>
    <x v="2"/>
    <m/>
    <x v="9"/>
    <s v=" B "/>
    <s v="p. 81"/>
    <m/>
    <s v="&quot;Extended Legality Rules&quot; sounds like we are relaxing certain legality rules, thereby making *more* things legal.  I would_x000a_suggest we call this appendix &quot;Additional Legality Rules&quot; or &quot;SPARK-specific Legality Rules.&quot;"/>
    <m/>
    <m/>
    <s v="Section to be removed"/>
    <m/>
    <m/>
    <x v="0"/>
    <x v="0"/>
  </r>
  <r>
    <x v="2"/>
    <m/>
    <x v="12"/>
    <n v="13.1"/>
    <s v="p. 73"/>
    <m/>
    <s v="&quot;As aspects specifications&quot; ==&gt; &quot;As aspect specifications&quot;; &quot;expression associated to the&quot; ==&gt; &quot;expression associated with the&quot;."/>
    <m/>
    <m/>
    <m/>
    <m/>
    <m/>
    <x v="0"/>
    <x v="0"/>
  </r>
  <r>
    <x v="4"/>
    <m/>
    <x v="12"/>
    <n v="13.1"/>
    <s v="p. 73"/>
    <m/>
    <s v="Why aren't forward references allowed?  It seems a serious usability issue to disallow them, especially in code that has already_x000a_taken advantage of this when written.  Also, any type-related aspect specifications, such as Type_Invariant, will necessarily_x000a_involve forward references."/>
    <m/>
    <m/>
    <m/>
    <m/>
    <m/>
    <x v="0"/>
    <x v="0"/>
  </r>
  <r>
    <x v="0"/>
    <m/>
    <x v="12"/>
    <n v="13.3"/>
    <s v="p. 73 "/>
    <m/>
    <s v="Why no unchecked type conversions?  Can't these just be treated like &quot;volatile&quot;?"/>
    <m/>
    <m/>
    <m/>
    <m/>
    <m/>
    <x v="0"/>
    <x v="0"/>
  </r>
  <r>
    <x v="0"/>
    <m/>
    <x v="12"/>
    <n v="13.4"/>
    <s v="p. 73  "/>
    <m/>
    <s v="It says &quot;Read and Write&quot; operations are not in SPARK 2014.  Do you mean all stream-related attribute subprograms, or just_x000a_'Read and 'Write?  And why aren't they permitted?  Is this because they can produce junk?  How are they worse than a volatile integer?"/>
    <m/>
    <m/>
    <m/>
    <m/>
    <m/>
    <x v="0"/>
    <x v="0"/>
  </r>
  <r>
    <x v="0"/>
    <m/>
    <x v="7"/>
    <n v="9"/>
    <s v=" p. 65      "/>
    <m/>
    <s v="Do we plan to release S14 without support for tasking?  Isn't that a step backward?  Should tasking be listed as a &quot;TBD&quot; rather_x000a_than as not supported?"/>
    <m/>
    <m/>
    <m/>
    <m/>
    <m/>
    <x v="0"/>
    <x v="0"/>
  </r>
  <r>
    <x v="2"/>
    <m/>
    <x v="4"/>
    <n v="1"/>
    <s v=" 3/1"/>
    <m/>
    <s v="The use of the word &quot;both&quot; seems awkward.  I think it reads better without it. (Alternative is to keep &quot;both&quot;, and replace &quot;but&quot; with &quot;and&quot;.)"/>
    <m/>
    <m/>
    <m/>
    <m/>
    <m/>
    <x v="1"/>
    <x v="0"/>
  </r>
  <r>
    <x v="2"/>
    <m/>
    <x v="4"/>
    <n v="1"/>
    <s v=" 3/2"/>
    <m/>
    <s v=" Add a comma: &quot;predecessor{,} SPARK 2005&quot;"/>
    <m/>
    <m/>
    <s v="Not important"/>
    <s v="Rejected"/>
    <m/>
    <x v="1"/>
    <x v="0"/>
  </r>
  <r>
    <x v="2"/>
    <m/>
    <x v="4"/>
    <n v="1.1000000000000001"/>
    <s v=" 3/3"/>
    <m/>
    <s v=" Add a comma: &quot;In this context{,} &quot;implementors&quot; means ...&quot;"/>
    <m/>
    <m/>
    <m/>
    <m/>
    <m/>
    <x v="1"/>
    <x v="0"/>
  </r>
  <r>
    <x v="2"/>
    <m/>
    <x v="4"/>
    <n v="1.1000000000000001"/>
    <s v=" 3/4"/>
    <m/>
    <s v=" Please replace &quot;LRM&quot; with &quot;RM&quot;, and in the first instance say &quot;Ada 2012 Reference Manual&quot;."/>
    <m/>
    <m/>
    <m/>
    <m/>
    <m/>
    <x v="1"/>
    <x v="0"/>
  </r>
  <r>
    <x v="2"/>
    <m/>
    <x v="4"/>
    <n v="1.1000000000000001"/>
    <s v=" 3/5"/>
    <m/>
    <s v=" Add a space: &quot;SPARK{ }2005 to SPARK 2014&quot;"/>
    <m/>
    <m/>
    <m/>
    <m/>
    <m/>
    <x v="1"/>
    <x v="0"/>
  </r>
  <r>
    <x v="2"/>
    <m/>
    <x v="4"/>
    <n v="1.2"/>
    <s v=" 3/9"/>
    <m/>
    <s v=" This paragraph mentions &quot;erroneous or unspecified behavior&quot;, but what about implementation-defined or partially specified_x000a_behavior (such as order of evaluation or bounded errors)?"/>
    <m/>
    <m/>
    <m/>
    <m/>
    <m/>
    <x v="1"/>
    <x v="0"/>
  </r>
  <r>
    <x v="2"/>
    <m/>
    <x v="4"/>
    <n v="1.3"/>
    <s v=" 4/10"/>
    <m/>
    <s v=" Eliminate hyphens, add comma: &quot;pre[-]conditions, post[-]conditions, type[-]{ }invariants{,} and so on.&quot;"/>
    <m/>
    <m/>
    <s v="Looks OK."/>
    <s v="Rejected"/>
    <m/>
    <x v="1"/>
    <x v="0"/>
  </r>
  <r>
    <x v="2"/>
    <m/>
    <x v="4"/>
    <n v="1.3"/>
    <s v=" 4/11"/>
    <m/>
    <s v=" Hyphen not needed: &quot;non[-]functional properties&quot;"/>
    <m/>
    <m/>
    <s v="Looks OK."/>
    <s v="Rejected"/>
    <s v="DONE"/>
    <x v="1"/>
    <x v="0"/>
  </r>
  <r>
    <x v="2"/>
    <m/>
    <x v="4"/>
    <n v="1.4"/>
    <s v=" 4/14"/>
    <m/>
    <s v=" Replace hyphen with a space: &quot;side[-]{ }effects&quot;"/>
    <m/>
    <m/>
    <s v="Looks OK."/>
    <s v="Rejected"/>
    <s v="DONE"/>
    <x v="1"/>
    <x v="0"/>
  </r>
  <r>
    <x v="2"/>
    <m/>
    <x v="4"/>
    <n v="1.4"/>
    <s v=" 4/21"/>
    <m/>
    <s v=" It says &quot;Package body entirely not in SPARK 2014&quot;, but I think it would read better as &quot;Package body not entirely in SPARK 2014&quot;. _x000a_Surely *some* parts of the body are likely to be in SPARK 2014 (such as the beginning and ending syntax of the package body)."/>
    <m/>
    <m/>
    <s v="The sense is clear from the statement, so no update made."/>
    <s v="Rejected"/>
    <m/>
    <x v="1"/>
    <x v="0"/>
  </r>
  <r>
    <x v="2"/>
    <m/>
    <x v="4"/>
    <s v=" 1.7 (1)"/>
    <s v=" 6/?"/>
    <m/>
    <s v=" Do we want to use British spelling or American spelling in this document?  The Ada RM uses American spelling.  The word in_x000a_question in this paragraph is &quot;favoured&quot; (American spelling is &quot;favored&quot;)."/>
    <m/>
    <m/>
    <s v="American spellings will be used."/>
    <m/>
    <m/>
    <x v="1"/>
    <x v="0"/>
  </r>
  <r>
    <x v="2"/>
    <m/>
    <x v="4"/>
    <s v=" 1.7 (1)"/>
    <s v=" 6/?"/>
    <m/>
    <s v=" In the first sentence, I think the single &quot;-&quot; should be a double hyphen (to make it a full-fledged dash)."/>
    <m/>
    <s v="Fixed"/>
    <m/>
    <m/>
    <m/>
    <x v="1"/>
    <x v="0"/>
  </r>
  <r>
    <x v="2"/>
    <m/>
    <x v="4"/>
    <s v=" 1.9 (1)"/>
    <s v=" 7/?"/>
    <m/>
    <s v=" Change &quot;LRM&quot; to &quot;RM&quot;: &quot;Ada 2012 {RM}[LRM]&quot;"/>
    <m/>
    <m/>
    <m/>
    <m/>
    <m/>
    <x v="1"/>
    <x v="0"/>
  </r>
  <r>
    <x v="2"/>
    <m/>
    <x v="5"/>
    <n v="2.9"/>
    <s v=" 10/2"/>
    <m/>
    <s v=" Delete the period at the end of the list of reserved words."/>
    <m/>
    <m/>
    <m/>
    <m/>
    <m/>
    <x v="0"/>
    <x v="0"/>
  </r>
  <r>
    <x v="0"/>
    <m/>
    <x v="13"/>
    <s v=" 3.2 (1)"/>
    <s v=" 11/3"/>
    <m/>
    <s v=" Normally rules pertaining to private types would be given in Chapter 7, but OK I guess to mention it here.  The restriction should_x000a_probably also be given in Chapter 7. "/>
    <m/>
    <m/>
    <m/>
    <m/>
    <m/>
    <x v="0"/>
    <x v="0"/>
  </r>
  <r>
    <x v="0"/>
    <m/>
    <x v="13"/>
    <s v=" 3.2 (2)"/>
    <s v=" 11/4"/>
    <m/>
    <s v=" Subtype predicates only apply to subtypes, so it seems that only subtypes should be mentioned here (and change &quot;(sub)type&quot; to &quot;subtype&quot;. "/>
    <m/>
    <m/>
    <m/>
    <m/>
    <m/>
    <x v="0"/>
    <x v="0"/>
  </r>
  <r>
    <x v="1"/>
    <m/>
    <x v="13"/>
    <n v="3.3"/>
    <s v=" 11/6"/>
    <m/>
    <s v=" Same comment as for private types in 3.2: Deferred constants are a Chapter 7 entity, so this rule should also (or instead) be given there."/>
    <m/>
    <m/>
    <m/>
    <m/>
    <m/>
    <x v="0"/>
    <x v="0"/>
  </r>
  <r>
    <x v="0"/>
    <m/>
    <x v="13"/>
    <n v="3.6"/>
    <s v=" 12/1"/>
    <m/>
    <s v=" Since 3.2 says that aliased isn't allowed in object declarations, this section should say that aliased isn't allowed in an array declaration."/>
    <m/>
    <m/>
    <m/>
    <m/>
    <m/>
    <x v="0"/>
    <x v="0"/>
  </r>
  <r>
    <x v="0"/>
    <m/>
    <x v="13"/>
    <n v="3.8"/>
    <s v=" 12/3"/>
    <m/>
    <s v=" Since 3.2 says that aliased isn't allowed in object declarations, this section should say that aliased isn't allowed in component declarations."/>
    <m/>
    <m/>
    <m/>
    <m/>
    <m/>
    <x v="0"/>
    <x v="0"/>
  </r>
  <r>
    <x v="2"/>
    <m/>
    <x v="6"/>
    <n v="4"/>
    <s v=" 13/1"/>
    <m/>
    <s v=" Reword sentence as:           &quot;The term assertion expression denotes an expression...&quot;"/>
    <m/>
    <m/>
    <m/>
    <m/>
    <m/>
    <x v="0"/>
    <x v="0"/>
  </r>
  <r>
    <x v="2"/>
    <m/>
    <x v="6"/>
    <n v="4"/>
    <s v=" 13/1"/>
    <m/>
    <s v=" Add &quot;subtype&quot;: &quot;... a type invariant or {subtype} predicate, ...&quot;"/>
    <m/>
    <m/>
    <m/>
    <m/>
    <m/>
    <x v="0"/>
    <x v="0"/>
  </r>
  <r>
    <x v="4"/>
    <s v="NOT REQUIRED"/>
    <x v="6"/>
    <s v=" 4.1.3 (1)"/>
    <s v=" 13/5"/>
    <m/>
    <s v=" It says &quot;if this property can be determined by static analysis&quot;, which seems imprecise.  It would be better to define what specific_x000a_properties must be satisfied.  Otherwise this seems subject to how good the static analysis is, which could potentially change over_x000a_time.  Or is this some sort of general statement that's intended to apply to more than this section, in which case it should be moved_x000a_elsewhere (perhaps into Chapter 1)?  Also, the rule in the next paragraph should probably be stated more precisely. "/>
    <m/>
    <m/>
    <m/>
    <m/>
    <m/>
    <x v="0"/>
    <x v="0"/>
  </r>
  <r>
    <x v="0"/>
    <m/>
    <x v="6"/>
    <n v="4.3"/>
    <s v=" 13/2"/>
    <m/>
    <s v=" This paragraph needs more precision. In particular, it would be good to define &quot;side-effect free&quot; (maybe this is defined elsewhere?)._x000a_Also, it should define what it means for an aggregate to have uninitialized components (has box associations for components without_x000a_default init). "/>
    <m/>
    <m/>
    <m/>
    <m/>
    <m/>
    <x v="0"/>
    <x v="0"/>
  </r>
  <r>
    <x v="0"/>
    <m/>
    <x v="6"/>
    <s v=" 4.3.4 (3)"/>
    <s v=" 14/8"/>
    <m/>
    <s v=" In the first sentence, I think the single &quot;-&quot; should be a double hyphen (to make it a full-fledged dash)."/>
    <m/>
    <m/>
    <m/>
    <m/>
    <m/>
    <x v="0"/>
    <x v="0"/>
  </r>
  <r>
    <x v="0"/>
    <m/>
    <x v="6"/>
    <s v=" 4.3.4 (4)"/>
    <s v=" 14/9"/>
    <m/>
    <s v=" Is there a good reason to leave the order of evaluation unspecified rather than just saying it's left to right?  I thought that SPARK_x000a_preferred to avoid things that are &quot;unspecified&quot;, so why not define a canonical ordering? Also, this would be consistent with the_x000a_array form of 'Update, which requires left-to-right evaluation (although I realize that the rationale for the array case is different, since_x000a_it allows overwriting).  Maybe this is just a matter of being consistent with Ada, since the attribute will be allowed in non-SPARK_x000a_programs, and in SPARK 2014 the expressions have to be side-effect free, so the order of evaluation doesn't really matter. "/>
    <m/>
    <m/>
    <m/>
    <m/>
    <m/>
    <x v="0"/>
    <x v="0"/>
  </r>
  <r>
    <x v="0"/>
    <m/>
    <x v="6"/>
    <s v=" 4.3.4 (6)"/>
    <s v=" 15/?"/>
    <m/>
    <s v=" The first sentence says: &quot;Each array_component_association of the attribute_reference shall have one  or more_x000a_array_component_associations, each of which shall have an expression.&quot; but that doesn't make sense.  It seems that it should_x000a_probably read simply: &quot;Each array_component_association of the attribute_reference shall have an expression.&quot; Also, strictly_x000a_speaking, the expression of an attribute_reference (actually of the attribute_designator) is required to be static, so it wouldn't be_x000a_allowed to be an aggregate in strict Ada.  Do we need to say anything about extending it here?  (I guess the other way to go would_x000a_be to define 'Update to be a function, but that wouldn't work unless we were willing to require double parentheses, which we obviously_x000a_don't want.)"/>
    <m/>
    <m/>
    <m/>
    <m/>
    <m/>
    <x v="0"/>
    <x v="0"/>
  </r>
  <r>
    <x v="2"/>
    <m/>
    <x v="6"/>
    <s v=" 4.4 (1) "/>
    <s v=" 16/1 "/>
    <m/>
    <s v=" Where is &quot;side-effect free&quot; defined?  (Maybe add a reference?) "/>
    <m/>
    <m/>
    <m/>
    <m/>
    <m/>
    <x v="0"/>
    <x v="0"/>
  </r>
  <r>
    <x v="0"/>
    <m/>
    <x v="3"/>
    <s v=" 5.5.3"/>
    <s v=" 18/?"/>
    <m/>
    <s v=" It seems odd to define nonterminals invariant_statement and loop_variant_statement for these pragmas (and why does one_x000a_have a prefix &quot;loop_&quot; and not the other?).  It would be more consistent with the Ada RM to define them as for other pragmas. _x000a_If the nonterminals are retained, then presumably the syntax of statement needs to be extended to include them. "/>
    <m/>
    <m/>
    <m/>
    <m/>
    <m/>
    <x v="0"/>
    <x v="0"/>
  </r>
  <r>
    <x v="0"/>
    <m/>
    <x v="3"/>
    <s v=" 5.5.3 "/>
    <s v=" 19/3 "/>
    <m/>
    <s v=" I suppose this is picky, but I don't like the wording about comparing values, which can be read as a choice between evaluating until_x000a_unequal values are found or unconditionally evaluating all expressions.  How about this rewording:  &quot;...: comparisons are performed_x000a_in textual order [either] until    {either a pair} of unequal values {is} [are] found{,} or {else}   until values for all {pairs of} expressions_x000a_have been compared    {and found to be equal}.&quot;"/>
    <m/>
    <m/>
    <m/>
    <m/>
    <m/>
    <x v="0"/>
    <x v="0"/>
  </r>
  <r>
    <x v="0"/>
    <m/>
    <x v="3"/>
    <s v=" 5.5.3 "/>
    <s v=" 20/?"/>
    <m/>
    <s v=" For the second to last paragraph on this page, it might be good to give a note to explain what the rule means (explain the case where_x000a_the entity can be declared within the prefix itself)."/>
    <m/>
    <m/>
    <m/>
    <m/>
    <m/>
    <x v="0"/>
    <x v="0"/>
  </r>
  <r>
    <x v="0"/>
    <m/>
    <x v="3"/>
    <s v=" 5.5.3 "/>
    <s v=" 21/1 "/>
    <m/>
    <s v=" Maybe add a reference to the Ada RM for the term &quot;potentially unevaluated&quot;.  (One might mistakenly think that the rule might apply in_x000a_a case where it appears after a loop exit or early return.)"/>
    <m/>
    <m/>
    <m/>
    <m/>
    <m/>
    <x v="0"/>
    <x v="0"/>
  </r>
  <r>
    <x v="0"/>
    <m/>
    <x v="3"/>
    <s v=" 5.9 (2-3) "/>
    <s v=" 21/7-8 "/>
    <m/>
    <s v=" Same comment as for invariant_statement and loop_invariant_statement: Why define statement nonterminals for these pragmas,_x000a_which is not the way the RM defines pragmas? "/>
    <m/>
    <m/>
    <m/>
    <m/>
    <m/>
    <x v="0"/>
    <x v="0"/>
  </r>
  <r>
    <x v="3"/>
    <m/>
    <x v="1"/>
    <n v="6"/>
    <s v=" "/>
    <m/>
    <s v=" What are the rules for preventing aliasing in the presence of object renamings?"/>
    <m/>
    <m/>
    <s v="Duplicate"/>
    <m/>
    <m/>
    <x v="1"/>
    <x v="0"/>
  </r>
  <r>
    <x v="3"/>
    <m/>
    <x v="1"/>
    <s v=" 6.1.4"/>
    <s v=" 26 .. 28"/>
    <m/>
    <s v=" The description of mode refinement in not clear enough for implementation. I suggest that this section is reformatted, with a clear_x000a_intent, some examples, an intuition behind the names &quot;moded_item eligible&quot; and &quot;independent&quot;. It could be clearer also if this section_x000a_was preceded by the description of Global and Param aspects. I am also in favor of the merge of Global and Param aspects suggested_x000a_by Steve."/>
    <m/>
    <m/>
    <s v=" This detail has been vastly simplified and moved into the relevant sections that use it. [JIB]"/>
    <m/>
    <m/>
    <x v="1"/>
    <x v="0"/>
  </r>
  <r>
    <x v="3"/>
    <m/>
    <x v="1"/>
    <s v=" 6.1.5"/>
    <n v="29"/>
    <m/>
    <s v=" The description of global aspect seems to suppose a constructive approach, when it says &quot;A name that denotes a global variable_x000a_appearing in a precondition or    postcondition aspect of a subprogram must also appear in the      global_aspect of the same_x000a_subprogram.&quot;  Also, the legality rules mentions the special case of X'First, X'Last, etc.  for arrays, without doing the same for_x000a_discriminants.  Also, the comments in examples should be phrased in user terms, so &quot;global  variable V may be read by the_x000a_subprogram&quot; instead of &quot;V is a mode in global  item&quot; which simply duplicates the example code."/>
    <m/>
    <m/>
    <s v=" First two points are addressed since the relevant rules have been removed.        Final point on comments has been actioned. [JIB]"/>
    <m/>
    <m/>
    <x v="1"/>
    <x v="0"/>
  </r>
  <r>
    <x v="1"/>
    <m/>
    <x v="1"/>
    <s v=" 6.1.6"/>
    <n v="30"/>
    <m/>
    <s v=" The description of param aspect is inconsistent with the description of the global aspect. For example it does not say anything_x000a_about X'First,  X'Last, etc. for an array X. I strongly suggest we follow Steve's idea of  combining the descriptions of param and global aspects."/>
    <m/>
    <m/>
    <s v=" The detail on param aspects has now been removed. [JIB]"/>
    <m/>
    <m/>
    <x v="1"/>
    <x v="0"/>
  </r>
  <r>
    <x v="1"/>
    <m/>
    <x v="1"/>
    <s v=" 6.1.7"/>
    <n v="31"/>
    <m/>
    <s v=" The description of dependency aspect introduces BNF non-terminals before the BNF grammar is given, which is slightly confusing. _x000a_I am not clear about the definition of imports and exports (especially true  in the retrospective approach). Should a global aspect_x000a_be given every time a  dependency aspect is given? Or should global variables be deduced from  the dependency aspect?"/>
    <m/>
    <m/>
    <s v="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
    <m/>
    <m/>
    <x v="1"/>
    <x v="0"/>
  </r>
  <r>
    <x v="1"/>
    <m/>
    <x v="1"/>
    <s v=" 6.1.7"/>
    <n v="32"/>
    <m/>
    <s v=" What is the name for the dependency aspect? Earlier in the LRM it is  said &quot;Dependency&quot;, here it says &quot;Depends&quot;."/>
    <m/>
    <m/>
    <s v=" All references to this updated to be Depends aspect. [JIB]"/>
    <m/>
    <m/>
    <x v="1"/>
    <x v="0"/>
  </r>
  <r>
    <x v="1"/>
    <m/>
    <x v="1"/>
    <s v=" 6.1.7"/>
    <n v="33"/>
    <m/>
    <s v=" The legality rules for dependency aspect are not clear. Rule 8 is completely confused, probably as a result of a merge. Rule 9 is_x000a_not clear:  what if A(I) is an export, and A(J).F also? It may appear that A(J).F is  a subcomponent of A(I) if I=J at run time."/>
    <m/>
    <m/>
    <s v=" The corresponding rules are no longer relevant so have been removed. [JIB]"/>
    <m/>
    <m/>
    <x v="1"/>
    <x v="0"/>
  </r>
  <r>
    <x v="1"/>
    <m/>
    <x v="1"/>
    <s v=" 6.1.7"/>
    <s v=" 33 .. 34"/>
    <m/>
    <s v=" The static semantics for dependency aspects are not clear enough for  implementation. I suggest rewording more in line with Ada RM."/>
    <m/>
    <m/>
    <s v=" These have now been reworded. [JIB]"/>
    <m/>
    <m/>
    <x v="1"/>
    <x v="0"/>
  </r>
  <r>
    <x v="1"/>
    <m/>
    <x v="1"/>
    <s v=" 6.3.3"/>
    <s v=" 36/1"/>
    <m/>
    <s v=" This is the first occurrence of refined_global_aspect without previous  definition. This is also the first occurrence of restriction_x000a_Strict_Modes,  also without a previous definition. Wording is currently too complex to  be implemented. It mentions &quot;executable_x000a_path&quot; without prior definition."/>
    <m/>
    <m/>
    <m/>
    <m/>
    <m/>
    <x v="0"/>
    <x v="0"/>
  </r>
  <r>
    <x v="1"/>
    <m/>
    <x v="1"/>
    <s v=" 6.3.4"/>
    <n v="36"/>
    <m/>
    <s v=" Why allow global aspects on a stub? AFAIK, a stub cannot have  Pre/Post aspects, only the body can."/>
    <m/>
    <m/>
    <m/>
    <m/>
    <m/>
    <x v="0"/>
    <x v="0"/>
  </r>
  <r>
    <x v="1"/>
    <m/>
    <x v="1"/>
    <s v=" 6.3.4"/>
    <n v="36"/>
    <m/>
    <s v=" It is said that  &quot;If the subprogram has a refined_global_aspect (see Refined Global Aspect),   this has to be checked for consitency_x000a_with the global_aspect and influences   the rules for checking the implementation of its body as described below.&quot;  but, if a subprogram_x000a_has a refined_global_aspect, it cannot have a  global_aspect. Only its declaration can have one, and I see no need to  discuss that in_x000a_6.3.4 on subprogram bodies."/>
    <m/>
    <m/>
    <m/>
    <m/>
    <m/>
    <x v="0"/>
    <x v="0"/>
  </r>
  <r>
    <x v="1"/>
    <m/>
    <x v="1"/>
    <s v=" 6.3.4"/>
    <n v="36"/>
    <m/>
    <s v=" It is said that in the 2nd legality rule: &quot;A subprogram, shall not declare, immediately within its body, an entity of   the same name as_x000a_a moded_item or the name of the object of which the   moded_item is a subcomponent, [...]&quot;  What is the rationale for this rule?_x000a_This looks like a coding standard rule  from SPARK 2005 to me, not something that we should enforce in SPARK 2014."/>
    <m/>
    <m/>
    <m/>
    <m/>
    <m/>
    <x v="0"/>
    <x v="0"/>
  </r>
  <r>
    <x v="4"/>
    <s v="REQUIRED"/>
    <x v="4"/>
    <s v=" General"/>
    <s v=" N/A"/>
    <m/>
    <s v=" There are references throughout the document to being &quot;in SPARK 2014&quot; and &quot;out of SPARK 2014&quot;. Since not being in SPARK_x000a_2014 is not an obstacle to compilation but in certain circumstances we may wish to enforce that only SPARK 2014 constructs are_x000a_used, then it is not clear from the LRM as it currently stands what should be done when implementing legality rules if a given syntactic_x000a_entity is found not to be in SPARK 2014."/>
    <m/>
    <s v="JB"/>
    <m/>
    <m/>
    <m/>
    <x v="1"/>
    <x v="0"/>
  </r>
  <r>
    <x v="0"/>
    <m/>
    <x v="2"/>
    <s v=" General"/>
    <s v=" N/A"/>
    <m/>
    <s v=" The definition in the LRM of what is in and what is out of SPARK 2014 is incomplete in that it does not cover all syntactic entities._x000a_For example, when is a subprogram body in SPARK 2014? Or section 6.1.1 says that the post-condition of a subprogram declaration_x000a_must be in SPARK 2014 if the subprogram declaration itself is to be in SPARK 2014; however, I can t find anywhere a definition of what_x000a_it means for a post-condition to be in SPARK 2014."/>
    <m/>
    <m/>
    <m/>
    <m/>
    <m/>
    <x v="0"/>
    <x v="0"/>
  </r>
  <r>
    <x v="0"/>
    <m/>
    <x v="2"/>
    <s v=" General"/>
    <s v=" N/A"/>
    <m/>
    <s v=" Throughout the document, there is narrative text that is intended purely to provide context and there is text that appears to be narrative _x000a_since it does not appear under a specific heading such as Legality Rules   but is obviously intended to be implemented. It would be good_x000a_if every rule to be implemented could appear under a heading that makes clear it is to be implemented. For example, in section 11 on_x000a_ exceptions, the first and third paragraphs provide contextual information, while the second paragraph gives the rule to be implemented._x000a_The same applies to the text throughout the document that defines syntactic entities as being in or out of SPARK 2014."/>
    <m/>
    <m/>
    <m/>
    <m/>
    <m/>
    <x v="0"/>
    <x v="0"/>
  </r>
  <r>
    <x v="4"/>
    <s v="NOT REQUIRED"/>
    <x v="6"/>
    <s v=" 4.1.3"/>
    <n v="13"/>
    <m/>
    <s v=" This section defines a general principle and then gives one specific example. It is not clear if this specific example is to be implemented_x000a_due to it being stated here, or if it is just an example. That is, is there only one such element in this set of illegal items, or are they_x000a_distributed across the rest of the document."/>
    <m/>
    <m/>
    <m/>
    <m/>
    <m/>
    <x v="0"/>
    <x v="0"/>
  </r>
  <r>
    <x v="0"/>
    <m/>
    <x v="6"/>
    <s v=" 4.3.4"/>
    <s v=" pp 14-15"/>
    <m/>
    <s v=" This section needs to be written as a series of numbered requirements rather than as a narrative, with headings such as Legality Rules,_x000a_etc, so we know what exactly needs to be implemented and to allow easy apportionment to the tool architecture."/>
    <m/>
    <m/>
    <m/>
    <m/>
    <m/>
    <x v="0"/>
    <x v="0"/>
  </r>
  <r>
    <x v="1"/>
    <m/>
    <x v="1"/>
    <s v=" 6.1.7"/>
    <s v=" 32/Syntax "/>
    <m/>
    <s v=" If a conditional dependency is used, then a given export may be derived from null. However, as far as I can see an export cannot be_x000a_derived from null when a non-conditional dependency is given. "/>
    <m/>
    <m/>
    <s v=" This has been corrected. [JIB]"/>
    <m/>
    <m/>
    <x v="1"/>
    <x v="0"/>
  </r>
  <r>
    <x v="1"/>
    <m/>
    <x v="1"/>
    <s v=" 6.1.7"/>
    <s v=" 33/item 8"/>
    <m/>
    <s v=" Possibly a cut and paste error as the first two sentences don t make sense. "/>
    <m/>
    <m/>
    <s v=" No longer relevant as the corresponding rules have been removed. [JIB]"/>
    <m/>
    <m/>
    <x v="1"/>
    <x v="0"/>
  </r>
  <r>
    <x v="1"/>
    <m/>
    <x v="1"/>
    <s v=" 6.1.7"/>
    <s v=" 33/ N/A"/>
    <m/>
    <s v=" There appears to be some duplication/overlap between rules here: items 4 and 9, items 6 and 10, items 7 and 11."/>
    <m/>
    <m/>
    <s v=" This has been fixed. [JIB]"/>
    <m/>
    <m/>
    <x v="1"/>
    <x v="0"/>
  </r>
  <r>
    <x v="2"/>
    <m/>
    <x v="0"/>
    <s v=" 7.1.2"/>
    <s v=" 45/ N/A"/>
    <m/>
    <s v=" Static Semantics items 1-3: are these really legality rules?"/>
    <m/>
    <m/>
    <s v=" No longer relevant due to updates that have been made. [JIB]"/>
    <m/>
    <m/>
    <x v="1"/>
    <x v="0"/>
  </r>
  <r>
    <x v="2"/>
    <m/>
    <x v="0"/>
    <s v=" 7.1.4"/>
    <s v=" 47/Legality Rules"/>
    <m/>
    <s v=" Should this list not be more extensive, providing counterparts of some of the legality rules given in section 6.1.7?"/>
    <m/>
    <m/>
    <s v=" Text has now been updated to explicitly include those rules from subprogram Depends that are        relevant to package Depends. [JIB]"/>
    <m/>
    <m/>
    <x v="1"/>
    <x v="0"/>
  </r>
  <r>
    <x v="0"/>
    <m/>
    <x v="0"/>
    <s v=" 7.2.8"/>
    <s v=" 58/Legality Rules"/>
    <m/>
    <s v=" Item 2: I assume this means the legality rules defined in the Ada RM (since there are some rules defined under Global Aspects in this _x000a_document   section 6.1.5, p.29   that constrain preconditions)."/>
    <m/>
    <m/>
    <m/>
    <m/>
    <m/>
    <x v="0"/>
    <x v="0"/>
  </r>
  <r>
    <x v="0"/>
    <m/>
    <x v="0"/>
    <s v=" 7.2.9"/>
    <s v=" 59/Legality Rules"/>
    <m/>
    <s v=" Item 2: I assume this means the legality rules defined in the Ada RM (since there are some rules defined under Global Aspects in this_x000a_document   section 6.1.5, p.29   that constrain postconditions)."/>
    <m/>
    <m/>
    <m/>
    <m/>
    <m/>
    <x v="0"/>
    <x v="0"/>
  </r>
  <r>
    <x v="2"/>
    <m/>
    <x v="8"/>
    <s v=" A"/>
    <s v=" 78/6.2"/>
    <m/>
    <s v=" Strict_Modes is to be handled by flow analysis. Is checking by the flow analyser compatible with being specified as a pragma Restriction,_x000a_when a Restriction violation leads to a compile-time error?"/>
    <m/>
    <m/>
    <m/>
    <m/>
    <m/>
    <x v="0"/>
    <x v="0"/>
  </r>
  <r>
    <x v="2"/>
    <m/>
    <x v="8"/>
    <s v=" A"/>
    <s v=" 79/6.4.2"/>
    <m/>
    <s v=" Global_Aspects_Required, Global_Aspects_On_Procedure_Decalarations, Array_Elements_Assumed_To_Overlap,_x000a_Abstract_State_Aspects_Required and Initializes_Aspects_Required appear to be instructions to the flow analyser rather than_x000a_restrictions as such (since if the thing they require is absent then an assumption is made regarding what it should be, rather than_x000a_an error being flagged). Is it OK that they are handled as pragma Restrictions, when a Restriction violation leads to a compile-time_x000a_error? "/>
    <m/>
    <m/>
    <m/>
    <m/>
    <m/>
    <x v="0"/>
    <x v="0"/>
  </r>
  <r>
    <x v="2"/>
    <m/>
    <x v="4"/>
    <n v="1"/>
    <s v=" page 6. 1.8???"/>
    <m/>
    <s v=" there is a missing discussion about what we used to call &quot;alfa-friendly&quot; code. I don't think we want to reuse this concept but we need_x000a_to define precisely what are the characteristics of a non-s14 subprogram that can call or be called by a s14 one so that the formal_x000a_verif on the latter be meaningful. We also want to minimize (eliminate?) the restrictions on Ada code that has no influence on s14_x000a_code."/>
    <m/>
    <s v=" Capture high-level information about how SPARK_x000a_2014 is intended to be used - probably in chapter_x000a_1. This needs to include &quot;boundary issues&quot; and assumptions about non-SPARK 2014 subprograms that are called from SPARK 2014. Boundaries exist between (1) spec in SPARK and body not in SPARK and (2) declarations not in SPARK cannot be used within a SPARK body. Open TN to record this discussion."/>
    <m/>
    <m/>
    <m/>
    <x v="0"/>
    <x v="0"/>
  </r>
  <r>
    <x v="4"/>
    <m/>
    <x v="2"/>
    <s v=" n/a"/>
    <s v=" n/a"/>
    <m/>
    <s v=" Consider a mechanism (aspect?) by which developer can indicate that an entity is/is not supposed to be within SPARK 2014_x000a_(so that error messages can be generated appropriately)."/>
    <m/>
    <s v=" Already covered by TN LB15-032"/>
    <m/>
    <m/>
    <m/>
    <x v="0"/>
    <x v="0"/>
  </r>
  <r>
    <x v="2"/>
    <m/>
    <x v="4"/>
    <n v="1"/>
    <m/>
    <m/>
    <s v=" Section 1.5 says something about Verification Rules, but I think we need a section of the introduction dedicated to structure and a_x000a_definition of which rules appear in each subsection (Dynamic Semantics, Static Semantics, Verification Rules, ...). "/>
    <m/>
    <s v=" Add this description - probably to section 1.9._x000a_(NB. legality rules are different to verification rules because they cannot be ignored, whereas verification rules could be)"/>
    <m/>
    <m/>
    <m/>
    <x v="1"/>
    <x v="0"/>
  </r>
  <r>
    <x v="2"/>
    <m/>
    <x v="4"/>
    <n v="1"/>
    <m/>
    <m/>
    <s v=" The use of profiles needs to be highlighted in the introduction."/>
    <m/>
    <s v=" Add section to introduction to explain how profiles_x000a_can be used in different contexts by the developers."/>
    <m/>
    <m/>
    <m/>
    <x v="1"/>
    <x v="0"/>
  </r>
  <r>
    <x v="2"/>
    <m/>
    <x v="4"/>
    <n v="1"/>
    <m/>
    <m/>
    <s v=" Covers QO's comments 1-3"/>
    <m/>
    <s v=" consider addition of section 0/rationale which_x000a_presents vision and goals in the most sales-savvy way. Consider during review period."/>
    <m/>
    <m/>
    <m/>
    <x v="0"/>
    <x v="0"/>
  </r>
  <r>
    <x v="2"/>
    <m/>
    <x v="1"/>
    <m/>
    <m/>
    <m/>
    <s v=" need a better definition of &quot;side-effect free&quot;."/>
    <m/>
    <s v=" Add definition to Introduction (probably in same_x000a_section as boundary issues)."/>
    <m/>
    <m/>
    <m/>
    <x v="0"/>
    <x v="0"/>
  </r>
  <r>
    <x v="2"/>
    <m/>
    <x v="4"/>
    <s v="_x0009_1"/>
    <s v="_x0009_3/1"/>
    <m/>
    <s v="_x0009_&quot;SPARK 2014&quot;   Change later? When do we need the right language and tool names throughout?"/>
    <m/>
    <s v=" Leave as-is in this issue. The name is a macro so_x000a_it can easily be changed later for branding purposes."/>
    <m/>
    <s v="Rejected"/>
    <m/>
    <x v="1"/>
    <x v="0"/>
  </r>
  <r>
    <x v="2"/>
    <m/>
    <x v="4"/>
    <s v="_x0009_1.2"/>
    <s v="_x0009_3/Bullet 3"/>
    <m/>
    <s v="_x0009_Text implies compiler tie-in. We need to be carefult to consider clients who use SPARK but this other compilers. Reword?"/>
    <m/>
    <s v=" LRM should not be GNAT-specific; references to_x000a_GNAT should be removed."/>
    <m/>
    <m/>
    <m/>
    <x v="1"/>
    <x v="0"/>
  </r>
  <r>
    <x v="2"/>
    <m/>
    <x v="4"/>
    <s v="_x0009_1.2"/>
    <s v="_x0009_3/Bullet 4"/>
    <m/>
    <s v="_x0009_Not clear to me if (a) the language spec is complete, but the first tool release is not, or (b) the language spec is partial and_x000a_the tool release matches is, or (c) a hybrid. This bullet implies tasking is in the language spec, but it's not in the first tool release?"/>
    <m/>
    <s v=" In section 1.4 remove word &quot;currently&quot; from_x000a_Tasking bullet. Move comments/ToDos about rel2+ version of language to an appendix of future enhancements."/>
    <m/>
    <m/>
    <m/>
    <x v="1"/>
    <x v="0"/>
  </r>
  <r>
    <x v="2"/>
    <m/>
    <x v="5"/>
    <s v=" 2-14"/>
    <m/>
    <m/>
    <s v=" Currently we distinguish between verification rules checked by proof and those checked by flow analyis. Is this necessary in an LRM?"/>
    <m/>
    <s v=" This distinction should be removed from the_x000a_document but we should record elsewhere the ideas we have captured about what is implemented where."/>
    <m/>
    <m/>
    <m/>
    <x v="0"/>
    <x v="0"/>
  </r>
  <r>
    <x v="2"/>
    <m/>
    <x v="5"/>
    <s v=" 2-14"/>
    <m/>
    <m/>
    <s v=" Classification used so far not adequate. We also need to add Subset rules."/>
    <m/>
    <s v=" Add this subsection to 2-14 and document its_x000a_meaning in 1.9."/>
    <m/>
    <m/>
    <m/>
    <x v="0"/>
    <x v="0"/>
  </r>
  <r>
    <x v="2"/>
    <m/>
    <x v="10"/>
    <s v="_x0009_Appendix C.2.1"/>
    <s v="_x0009_99/Body of public child A in SPARK 2005"/>
    <m/>
    <s v="_x0009_General commnet, but thought of it here: I hope we can clear up the horror that is public/private SPARK children in 2014?_x000a_Most projects of any size ban them as unworkably confusing!"/>
    <m/>
    <s v=" Covered by Todo on page 98."/>
    <m/>
    <m/>
    <m/>
    <x v="0"/>
    <x v="0"/>
  </r>
  <r>
    <x v="2"/>
    <m/>
    <x v="1"/>
    <m/>
    <m/>
    <m/>
    <s v=" legality rules concerning param aspects &amp; conditional dependencies are hard to understand"/>
    <m/>
    <s v=" Keep the grammar. Keep the legality rules and_x000a_resolve specific issues where they are unclear. Find some way to distinguish rules we are implementing in release 1 from those we aren't."/>
    <s v=" Both have been removed from the LRM. [JIB]"/>
    <m/>
    <m/>
    <x v="1"/>
    <x v="0"/>
  </r>
  <r>
    <x v="2"/>
    <m/>
    <x v="1"/>
    <n v="6.2"/>
    <m/>
    <m/>
    <s v="A (6.2 Strict Modes) STT p. 78 The terms &quot;import&quot; and &quot;export&quot; are used here.  Don't we mean &quot;input&quot; and &quot;output&quot;?"/>
    <m/>
    <s v=" standardise on input/ouput for subprograms"/>
    <m/>
    <m/>
    <m/>
    <x v="0"/>
    <x v="0"/>
  </r>
  <r>
    <x v="0"/>
    <m/>
    <x v="13"/>
    <n v="3"/>
    <m/>
    <m/>
    <s v=" Static semantics of dynamic &amp; predicate subtypes unclear."/>
    <m/>
    <s v=" Explain static semantics of dynamic &amp; predicate_x000a_subtypes - FS to provide examples where clarification needed."/>
    <m/>
    <m/>
    <m/>
    <x v="0"/>
    <x v="0"/>
  </r>
  <r>
    <x v="2"/>
    <m/>
    <x v="1"/>
    <m/>
    <m/>
    <m/>
    <s v=" We need verification rules for aliasing in the context of object renaming."/>
    <m/>
    <s v=" Check the legality rule has been included."/>
    <m/>
    <m/>
    <m/>
    <x v="0"/>
    <x v="0"/>
  </r>
  <r>
    <x v="2"/>
    <m/>
    <x v="1"/>
    <m/>
    <m/>
    <m/>
    <s v=" check legality of renamings in global and depends apsects"/>
    <m/>
    <s v=" check and add if necessary"/>
    <s v=" Text updated to make this clearer. [JIB]"/>
    <m/>
    <m/>
    <x v="1"/>
    <x v="0"/>
  </r>
  <r>
    <x v="1"/>
    <m/>
    <x v="1"/>
    <m/>
    <s v=" page 32"/>
    <m/>
    <s v=" I have some doubts about the &quot;=&gt;+&quot; notation. It doesn't seem necessary and doesn't help particularly the reader... this is the first_x000a_instance of a particularly weird notation so far..."/>
    <m/>
    <s v=" No action."/>
    <s v=" No better alternative is currently available, so not proposed to change this at the moment. [JIB]"/>
    <m/>
    <m/>
    <x v="1"/>
    <x v="0"/>
  </r>
  <r>
    <x v="0"/>
    <m/>
    <x v="7"/>
    <n v="9"/>
    <m/>
    <m/>
    <s v=" absence of tasking seems like a major regression/omission."/>
    <m/>
    <s v=" RC to send RavenSPARK manual to STT. STT to_x000a_consider if a simple form of tasking can by included in time for release 1."/>
    <m/>
    <m/>
    <m/>
    <x v="0"/>
    <x v="0"/>
  </r>
  <r>
    <x v="0"/>
    <m/>
    <x v="12"/>
    <m/>
    <m/>
    <m/>
    <s v=" is unchecked conversion inlcuded in S2014?"/>
    <m/>
    <s v=" It should be. Check and include."/>
    <m/>
    <m/>
    <m/>
    <x v="0"/>
    <x v="0"/>
  </r>
  <r>
    <x v="2"/>
    <m/>
    <x v="3"/>
    <s v=" 5,6,7"/>
    <m/>
    <m/>
    <s v=" LRM is not yet stable enough to start implementation - in particular the wording of legality rules still has inconsistencies_x000a_(see YM's comments for detail)"/>
    <m/>
    <s v="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quot;operational requirements&quot;)"/>
    <s v="Addressed by updates to LRM."/>
    <m/>
    <m/>
    <x v="1"/>
    <x v="0"/>
  </r>
  <r>
    <x v="4"/>
    <s v="REQUIRED"/>
    <x v="2"/>
    <m/>
    <m/>
    <m/>
    <s v="Steve's comments on overloadable state abstractions. This effectively means typing of abstract state/referring_x000a_to abstract state in proof contexts/assertions. Plus his other comments in there."/>
    <m/>
    <m/>
    <m/>
    <m/>
    <m/>
    <x v="0"/>
    <x v="0"/>
  </r>
  <r>
    <x v="4"/>
    <s v="NOT REQUIRED"/>
    <x v="2"/>
    <m/>
    <m/>
    <m/>
    <s v="Steve's corner case in relation to unwith'ed private child. This relates to state refinement, but_x000a_fundamentally to the definition of hidden state."/>
    <m/>
    <m/>
    <m/>
    <m/>
    <m/>
    <x v="0"/>
    <x v="0"/>
  </r>
  <r>
    <x v="4"/>
    <s v="OPTIONAL"/>
    <x v="2"/>
    <m/>
    <m/>
    <m/>
    <s v="Contexts in which Abstract State aspect allowed: i.e. not allowed for a generic instantiation, but is allowed for a_x000a_generic package."/>
    <m/>
    <m/>
    <m/>
    <m/>
    <m/>
    <x v="0"/>
    <x v="0"/>
  </r>
  <r>
    <x v="4"/>
    <s v="NOT REQUIRED"/>
    <x v="2"/>
    <m/>
    <m/>
    <m/>
    <s v="Soundness of proof when combining SPARK 2014 with non-SPARK 2014."/>
    <m/>
    <m/>
    <m/>
    <m/>
    <m/>
    <x v="0"/>
    <x v="0"/>
  </r>
  <r>
    <x v="4"/>
    <s v="OPTIONAL"/>
    <x v="2"/>
    <m/>
    <m/>
    <m/>
    <s v="Abstract state in assertions and proof contexts (including specifying entities in general as only to be used_x000a_in assertions)"/>
    <m/>
    <m/>
    <m/>
    <m/>
    <m/>
    <x v="0"/>
    <x v="0"/>
  </r>
  <r>
    <x v="4"/>
    <s v="NOT REQUIRED"/>
    <x v="2"/>
    <m/>
    <m/>
    <m/>
    <s v="Refined Pre/Post and whether we need them."/>
    <m/>
    <m/>
    <m/>
    <m/>
    <m/>
    <x v="0"/>
    <x v="0"/>
  </r>
  <r>
    <x v="4"/>
    <s v="REQUIRED"/>
    <x v="2"/>
    <m/>
    <m/>
    <m/>
    <s v="Limited view of visible variables as abstract state (introduction of Abstract View). Action is just to check that all necessary updates have been_x000a_made in relation to introduction of Abstract Views."/>
    <m/>
    <s v="SB"/>
    <m/>
    <m/>
    <m/>
    <x v="0"/>
    <x v="0"/>
  </r>
  <r>
    <x v="4"/>
    <s v="NOT REQUIRED"/>
    <x v="2"/>
    <m/>
    <m/>
    <m/>
    <s v="State refinement of null (challenge to)"/>
    <m/>
    <m/>
    <m/>
    <m/>
    <s v="-"/>
    <x v="0"/>
    <x v="0"/>
  </r>
  <r>
    <x v="4"/>
    <s v="REQUIRED"/>
    <x v="2"/>
    <m/>
    <m/>
    <m/>
    <s v="Do visible (concrete) variables have to be covered by an Abstract State aspect? If so,_x000a_I don't think we have a rule to enforce this."/>
    <m/>
    <m/>
    <s v="They don't have to be covered."/>
    <m/>
    <m/>
    <x v="1"/>
    <x v="0"/>
  </r>
  <r>
    <x v="4"/>
    <s v="REQUIRED"/>
    <x v="2"/>
    <m/>
    <m/>
    <m/>
    <s v="Clarify whether visible variables have to appear in Abstract State aspect (and update LRM detail as necessary)."/>
    <m/>
    <m/>
    <s v="They don't appear"/>
    <m/>
    <s v="-"/>
    <x v="1"/>
    <x v="0"/>
  </r>
  <r>
    <x v="4"/>
    <s v="NOT REQUIRED"/>
    <x v="2"/>
    <m/>
    <m/>
    <m/>
    <s v="Determining whether visible variables are volatile in the limited view of a package. "/>
    <m/>
    <m/>
    <m/>
    <m/>
    <s v="-"/>
    <x v="0"/>
    <x v="0"/>
  </r>
  <r>
    <x v="4"/>
    <s v="REQUIRED"/>
    <x v="4"/>
    <m/>
    <m/>
    <m/>
    <s v="What do &quot;Static Semantics&quot; rules represent?"/>
    <m/>
    <m/>
    <s v="Duplicate"/>
    <m/>
    <s v="-"/>
    <x v="1"/>
    <x v="0"/>
  </r>
  <r>
    <x v="4"/>
    <s v="OPTIONAL"/>
    <x v="2"/>
    <m/>
    <m/>
    <m/>
    <s v="Initializing a constant declaration with a global from another package: how is that - or can it be - reflected in the aspects?"/>
    <m/>
    <m/>
    <m/>
    <m/>
    <s v="-"/>
    <x v="0"/>
    <x v="0"/>
  </r>
  <r>
    <x v="4"/>
    <s v="REQUIRED"/>
    <x v="2"/>
    <m/>
    <m/>
    <m/>
    <s v="The Ada RM restricts use of F'Result to within a post-condition expression for F. This impacts the syntax of Depends."/>
    <m/>
    <s v="TJJ"/>
    <m/>
    <m/>
    <s v="-"/>
    <x v="0"/>
    <x v="0"/>
  </r>
  <r>
    <x v="4"/>
    <s v="REQUIRED"/>
    <x v="2"/>
    <m/>
    <m/>
    <m/>
    <s v="General issue of certain rules working at multiple levels of abstraction: for example, Initialized aspect. The detail on_x000a_Initializes in the 2005 LRM is much more precise about handling both possible levels of abstraction (i.e. are we_x000a_talking about something declared in the visible part or something that is a refinement of abstract state)."/>
    <m/>
    <s v="JB"/>
    <m/>
    <m/>
    <s v="-"/>
    <x v="0"/>
    <x v="0"/>
  </r>
  <r>
    <x v="4"/>
    <s v="REQUIRED"/>
    <x v="2"/>
    <m/>
    <m/>
    <m/>
    <s v="Other things to discuss:_x000a_ Steve's suggestion on defining &quot;state name&quot; (and also implications for the definition of other aspects, since_x000a_for example we don't explicitly mention object renamings, while Steve's comment implies that they_x000a_aren't the same as variables._x000a_"/>
    <m/>
    <m/>
    <m/>
    <m/>
    <s v="-"/>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5:B20" firstHeaderRow="1" firstDataRow="1" firstDataCol="1"/>
  <pivotFields count="14">
    <pivotField axis="axisRow" showAll="0">
      <items count="7">
        <item sd="0" x="3"/>
        <item sd="0" x="2"/>
        <item sd="0" x="1"/>
        <item sd="0" x="0"/>
        <item sd="0" x="5"/>
        <item sd="0" x="4"/>
        <item t="default"/>
      </items>
    </pivotField>
    <pivotField showAll="0"/>
    <pivotField axis="axisRow" showAll="0">
      <items count="16">
        <item x="4"/>
        <item x="5"/>
        <item x="13"/>
        <item x="6"/>
        <item x="3"/>
        <item x="1"/>
        <item x="0"/>
        <item x="7"/>
        <item x="11"/>
        <item x="12"/>
        <item x="14"/>
        <item x="8"/>
        <item x="9"/>
        <item x="10"/>
        <item x="2"/>
        <item t="default"/>
      </items>
    </pivotField>
    <pivotField showAll="0"/>
    <pivotField showAll="0"/>
    <pivotField showAll="0"/>
    <pivotField dataField="1" showAll="0"/>
    <pivotField showAll="0"/>
    <pivotField showAll="0"/>
    <pivotField showAll="0"/>
    <pivotField showAll="0"/>
    <pivotField showAll="0"/>
    <pivotField axis="axisRow" showAll="0">
      <items count="5">
        <item m="1" x="2"/>
        <item m="1" x="3"/>
        <item x="0"/>
        <item x="1"/>
        <item t="default"/>
      </items>
    </pivotField>
    <pivotField axis="axisRow" showAll="0">
      <items count="3">
        <item m="1" x="1"/>
        <item x="0"/>
        <item t="default"/>
      </items>
    </pivotField>
  </pivotFields>
  <rowFields count="4">
    <field x="13"/>
    <field x="12"/>
    <field x="0"/>
    <field x="2"/>
  </rowFields>
  <rowItems count="15">
    <i>
      <x v="1"/>
    </i>
    <i r="1">
      <x v="2"/>
    </i>
    <i r="2">
      <x/>
    </i>
    <i r="2">
      <x v="1"/>
    </i>
    <i r="2">
      <x v="2"/>
    </i>
    <i r="2">
      <x v="3"/>
    </i>
    <i r="2">
      <x v="4"/>
    </i>
    <i r="2">
      <x v="5"/>
    </i>
    <i r="1">
      <x v="3"/>
    </i>
    <i r="2">
      <x/>
    </i>
    <i r="2">
      <x v="1"/>
    </i>
    <i r="2">
      <x v="2"/>
    </i>
    <i r="2">
      <x v="3"/>
    </i>
    <i r="2">
      <x v="5"/>
    </i>
    <i t="grand">
      <x/>
    </i>
  </rowItems>
  <colItems count="1">
    <i/>
  </colItems>
  <dataFields count="1">
    <dataField name="Count of Reviewer's Comment " fld="6"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10" sqref="B10"/>
    </sheetView>
  </sheetViews>
  <sheetFormatPr defaultRowHeight="13.5"/>
  <cols>
    <col min="2" max="2" width="70.25" customWidth="1"/>
  </cols>
  <sheetData>
    <row r="2" spans="2:2">
      <c r="B2" s="110" t="s">
        <v>603</v>
      </c>
    </row>
    <row r="3" spans="2:2">
      <c r="B3" s="110" t="s">
        <v>604</v>
      </c>
    </row>
    <row r="4" spans="2:2">
      <c r="B4" s="110" t="s">
        <v>607</v>
      </c>
    </row>
    <row r="5" spans="2:2">
      <c r="B5" s="110" t="s">
        <v>608</v>
      </c>
    </row>
    <row r="6" spans="2:2">
      <c r="B6" s="110" t="s">
        <v>609</v>
      </c>
    </row>
    <row r="8" spans="2:2">
      <c r="B8" s="110" t="s">
        <v>610</v>
      </c>
    </row>
    <row r="9" spans="2:2">
      <c r="B9" s="110" t="s">
        <v>612</v>
      </c>
    </row>
    <row r="10" spans="2:2">
      <c r="B10" s="110" t="s">
        <v>611</v>
      </c>
    </row>
    <row r="12" spans="2:2">
      <c r="B12" s="110" t="s">
        <v>620</v>
      </c>
    </row>
    <row r="13" spans="2:2">
      <c r="B13" s="110" t="s">
        <v>612</v>
      </c>
    </row>
    <row r="14" spans="2:2">
      <c r="B14" s="110" t="s">
        <v>621</v>
      </c>
    </row>
    <row r="15" spans="2:2">
      <c r="B15" s="110"/>
    </row>
    <row r="16" spans="2:2">
      <c r="B16" s="110" t="s">
        <v>614</v>
      </c>
    </row>
    <row r="18" spans="2:2">
      <c r="B18" s="110" t="s">
        <v>615</v>
      </c>
    </row>
    <row r="19" spans="2:2">
      <c r="B19" s="110" t="s">
        <v>616</v>
      </c>
    </row>
    <row r="20" spans="2:2">
      <c r="B20" s="110" t="s">
        <v>617</v>
      </c>
    </row>
    <row r="21" spans="2:2" ht="67.5">
      <c r="B21" s="26" t="s">
        <v>618</v>
      </c>
    </row>
    <row r="26" spans="2:2" ht="27">
      <c r="B26" s="26" t="s">
        <v>23</v>
      </c>
    </row>
    <row r="27" spans="2:2" ht="40.5">
      <c r="B27" s="26" t="s">
        <v>24</v>
      </c>
    </row>
    <row r="28" spans="2:2" ht="54">
      <c r="B28" s="26" t="s">
        <v>25</v>
      </c>
    </row>
    <row r="29" spans="2:2">
      <c r="B29" s="25"/>
    </row>
    <row r="30" spans="2:2">
      <c r="B30" s="25"/>
    </row>
    <row r="31" spans="2:2" ht="27">
      <c r="B31" s="26" t="s">
        <v>26</v>
      </c>
    </row>
    <row r="33" spans="2:2">
      <c r="B33" s="110" t="s">
        <v>613</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A62" sqref="A62"/>
    </sheetView>
  </sheetViews>
  <sheetFormatPr defaultRowHeight="13.5"/>
  <cols>
    <col min="1" max="1" width="28.125" style="27" customWidth="1"/>
    <col min="2" max="2" width="51.375" style="27" customWidth="1"/>
    <col min="3" max="3" width="1.625" style="27" bestFit="1" customWidth="1"/>
    <col min="4" max="16384" width="9" style="27"/>
  </cols>
  <sheetData>
    <row r="1" spans="1:3" s="42" customFormat="1" ht="21">
      <c r="A1" s="43" t="s">
        <v>57</v>
      </c>
    </row>
    <row r="2" spans="1:3" ht="30" customHeight="1">
      <c r="A2" s="251" t="s">
        <v>205</v>
      </c>
      <c r="B2" s="251"/>
      <c r="C2" s="135"/>
    </row>
    <row r="3" spans="1:3" ht="13.5" customHeight="1">
      <c r="A3" s="114" t="s">
        <v>56</v>
      </c>
      <c r="B3" s="37" t="s">
        <v>55</v>
      </c>
      <c r="C3" s="27" t="str">
        <f t="shared" ref="C3:C8" si="0">IF(OR(LEFT(B3,1)="&lt;",COUNTIF(Blanks,B3)&gt;0),CheckErr,CheckOK)</f>
        <v>!</v>
      </c>
    </row>
    <row r="4" spans="1:3">
      <c r="A4" s="115" t="s">
        <v>54</v>
      </c>
      <c r="B4" s="39" t="s">
        <v>53</v>
      </c>
      <c r="C4" s="27" t="str">
        <f t="shared" si="0"/>
        <v>!</v>
      </c>
    </row>
    <row r="5" spans="1:3">
      <c r="A5" s="115" t="s">
        <v>206</v>
      </c>
      <c r="B5" s="39" t="s">
        <v>207</v>
      </c>
      <c r="C5" s="27" t="str">
        <f t="shared" si="0"/>
        <v>!</v>
      </c>
    </row>
    <row r="6" spans="1:3">
      <c r="A6" s="115" t="s">
        <v>52</v>
      </c>
      <c r="B6" s="39" t="s">
        <v>51</v>
      </c>
      <c r="C6" s="27" t="str">
        <f t="shared" si="0"/>
        <v>!</v>
      </c>
    </row>
    <row r="7" spans="1:3">
      <c r="A7" s="115" t="s">
        <v>50</v>
      </c>
      <c r="B7" s="41" t="s">
        <v>41</v>
      </c>
      <c r="C7" s="27" t="str">
        <f t="shared" si="0"/>
        <v>!</v>
      </c>
    </row>
    <row r="8" spans="1:3">
      <c r="A8" s="115" t="s">
        <v>49</v>
      </c>
      <c r="B8" s="39" t="s">
        <v>48</v>
      </c>
      <c r="C8" s="27" t="str">
        <f t="shared" si="0"/>
        <v>!</v>
      </c>
    </row>
    <row r="9" spans="1:3" ht="13.5" hidden="1" customHeight="1">
      <c r="A9" s="115" t="s">
        <v>169</v>
      </c>
      <c r="B9" s="40" t="s">
        <v>47</v>
      </c>
      <c r="C9" s="27" t="str">
        <f>IF(OR(LEFT(B9,1)="&lt;",COUNTIF(Blanks,B9)&gt;0),IF(CaptureSizeMetrics,CheckErr,CheckOK),CheckOK)</f>
        <v/>
      </c>
    </row>
    <row r="10" spans="1:3" ht="13.5" hidden="1" customHeight="1">
      <c r="A10" s="115" t="s">
        <v>170</v>
      </c>
      <c r="B10" s="40" t="s">
        <v>47</v>
      </c>
      <c r="C10" s="27" t="str">
        <f>IF(OR(LEFT(B10,1)="&lt;",COUNTIF(Blanks,B10)&gt;0),IF(CaptureSizeMetrics,CheckErr,CheckOK),CheckOK)</f>
        <v/>
      </c>
    </row>
    <row r="11" spans="1:3" ht="13.5" hidden="1" customHeight="1">
      <c r="A11" s="115" t="s">
        <v>171</v>
      </c>
      <c r="B11" s="40" t="s">
        <v>47</v>
      </c>
      <c r="C11" s="27" t="str">
        <f>IF(OR(LEFT(B11,1)="&lt;",COUNTIF(Blanks,B11)&gt;0),IF(CaptureSizeMetrics,CheckErr,CheckOK),CheckOK)</f>
        <v/>
      </c>
    </row>
    <row r="12" spans="1:3" ht="13.5" hidden="1" customHeight="1">
      <c r="A12" s="115" t="s">
        <v>46</v>
      </c>
      <c r="B12" s="40" t="s">
        <v>45</v>
      </c>
      <c r="C12" s="27" t="str">
        <f>IF(OR(LEFT(B12,1)="&lt;",COUNTIF(Blanks,B12)&gt;0),IF(CaptureSizeMetrics,CheckErr,CheckOK),CheckOK)</f>
        <v/>
      </c>
    </row>
    <row r="13" spans="1:3">
      <c r="A13" s="115" t="s">
        <v>332</v>
      </c>
      <c r="B13" s="39" t="s">
        <v>44</v>
      </c>
    </row>
    <row r="15" spans="1:3" ht="21">
      <c r="A15" s="32" t="s">
        <v>43</v>
      </c>
    </row>
    <row r="17" spans="1:3">
      <c r="A17" s="114" t="s">
        <v>42</v>
      </c>
      <c r="B17" s="41" t="s">
        <v>41</v>
      </c>
      <c r="C17" s="27" t="str">
        <f>IF(OR(LEFT(B17,1)="&lt;",COUNTIF(Blanks,B17)&gt;0),CheckErr,CheckOK)</f>
        <v>!</v>
      </c>
    </row>
    <row r="18" spans="1:3">
      <c r="A18" s="114" t="s">
        <v>40</v>
      </c>
      <c r="B18" s="37" t="s">
        <v>39</v>
      </c>
    </row>
    <row r="19" spans="1:3">
      <c r="A19" s="114" t="str">
        <f>IF(B18="Offline Review (by Individual Reviewers)","Comments Required By", "Time/Date of Review Meeting")</f>
        <v>Comments Required By</v>
      </c>
      <c r="B19" s="174" t="s">
        <v>218</v>
      </c>
      <c r="C19" s="27" t="str">
        <f>IF(OR(LEFT(B19,1)="&lt;",COUNTIF(Blanks,B19)&gt;0),CheckErr,CheckOK)</f>
        <v>!</v>
      </c>
    </row>
    <row r="20" spans="1:3">
      <c r="A20" s="114" t="s">
        <v>214</v>
      </c>
      <c r="B20" s="37" t="s">
        <v>213</v>
      </c>
      <c r="C20" s="27" t="str">
        <f>IF(OR(LEFT(B20,1)="&lt;",COUNTIF(Blanks,B20)&gt;0),CheckErr,CheckOK)</f>
        <v>!</v>
      </c>
    </row>
    <row r="21" spans="1:3">
      <c r="A21" s="117" t="s">
        <v>335</v>
      </c>
      <c r="B21" s="37" t="s">
        <v>336</v>
      </c>
      <c r="C21" s="27" t="str">
        <f>IF(OR(LEFT(B21,1)="&lt;",COUNTIF(Blanks,B21)&gt;0),CheckErr,CheckOK)</f>
        <v>!</v>
      </c>
    </row>
    <row r="22" spans="1:3">
      <c r="A22" s="117" t="s">
        <v>38</v>
      </c>
      <c r="B22" s="37" t="s">
        <v>337</v>
      </c>
      <c r="C22" s="27" t="str">
        <f>IF(OR(LEFT(B22,1)="&lt;",COUNTIF(Blanks,B22)&gt;0),CheckErr,CheckOK)</f>
        <v>!</v>
      </c>
    </row>
    <row r="23" spans="1:3">
      <c r="A23" s="117" t="s">
        <v>37</v>
      </c>
      <c r="B23" s="36" t="s">
        <v>36</v>
      </c>
      <c r="C23" s="27" t="str">
        <f t="shared" ref="C23:C30" si="1">IF(OR(LEFT(B23,1)="&lt;",COUNTIF(Blanks,B23)&gt;0),CheckErr,CheckOK)</f>
        <v>!</v>
      </c>
    </row>
    <row r="24" spans="1:3" ht="27">
      <c r="A24" s="244" t="s">
        <v>35</v>
      </c>
      <c r="B24" s="35" t="s">
        <v>34</v>
      </c>
      <c r="C24" s="27" t="str">
        <f t="shared" si="1"/>
        <v>!</v>
      </c>
    </row>
    <row r="25" spans="1:3">
      <c r="A25" s="245"/>
      <c r="B25" s="34" t="s">
        <v>338</v>
      </c>
      <c r="C25" s="27" t="str">
        <f t="shared" si="1"/>
        <v>!</v>
      </c>
    </row>
    <row r="26" spans="1:3">
      <c r="A26" s="245"/>
      <c r="B26" s="175" t="s">
        <v>338</v>
      </c>
      <c r="C26" s="27" t="str">
        <f t="shared" si="1"/>
        <v>!</v>
      </c>
    </row>
    <row r="27" spans="1:3">
      <c r="A27" s="245"/>
      <c r="B27" s="34" t="s">
        <v>569</v>
      </c>
      <c r="C27" s="27" t="str">
        <f t="shared" si="1"/>
        <v/>
      </c>
    </row>
    <row r="28" spans="1:3">
      <c r="A28" s="245"/>
      <c r="B28" s="34" t="s">
        <v>570</v>
      </c>
      <c r="C28" s="27" t="str">
        <f t="shared" si="1"/>
        <v/>
      </c>
    </row>
    <row r="29" spans="1:3">
      <c r="A29" s="245"/>
      <c r="B29" s="34"/>
      <c r="C29" s="27" t="str">
        <f t="shared" si="1"/>
        <v/>
      </c>
    </row>
    <row r="30" spans="1:3" ht="38.25">
      <c r="A30" s="245"/>
      <c r="B30" s="33" t="s">
        <v>425</v>
      </c>
      <c r="C30" s="27" t="str">
        <f t="shared" si="1"/>
        <v/>
      </c>
    </row>
    <row r="31" spans="1:3" s="31" customFormat="1"/>
    <row r="32" spans="1:3" s="31" customFormat="1" ht="21">
      <c r="A32" s="32" t="s">
        <v>33</v>
      </c>
    </row>
    <row r="34" spans="1:3">
      <c r="A34" s="246" t="s">
        <v>32</v>
      </c>
      <c r="B34" s="30" t="s">
        <v>548</v>
      </c>
      <c r="C34" s="27" t="str">
        <f>IF(OR(LEFT(B34,1)="&lt;",COUNTIF(Blanks,B34)&gt;0),CheckErr,CheckOK)</f>
        <v/>
      </c>
    </row>
    <row r="35" spans="1:3">
      <c r="A35" s="247"/>
      <c r="B35" s="187"/>
    </row>
    <row r="36" spans="1:3">
      <c r="A36" s="247"/>
      <c r="B36" s="187"/>
    </row>
    <row r="37" spans="1:3">
      <c r="A37" s="247"/>
      <c r="B37" s="187"/>
    </row>
    <row r="38" spans="1:3">
      <c r="A38" s="247"/>
      <c r="B38" s="187"/>
    </row>
    <row r="39" spans="1:3">
      <c r="A39" s="247"/>
      <c r="B39" s="187"/>
    </row>
    <row r="40" spans="1:3">
      <c r="A40" s="247"/>
      <c r="B40" s="187"/>
    </row>
    <row r="41" spans="1:3">
      <c r="A41" s="247"/>
      <c r="B41" s="187"/>
    </row>
    <row r="42" spans="1:3">
      <c r="A42" s="248"/>
      <c r="B42" s="188"/>
    </row>
    <row r="44" spans="1:3">
      <c r="A44" s="249" t="s">
        <v>31</v>
      </c>
      <c r="B44" s="30" t="s">
        <v>30</v>
      </c>
      <c r="C44" s="27" t="str">
        <f>IF(OR(LEFT(B44,1)="&lt;",COUNTIF(Blanks,B44)&gt;0),CheckErr,CheckOK)</f>
        <v>!</v>
      </c>
    </row>
    <row r="45" spans="1:3">
      <c r="A45" s="250"/>
      <c r="B45" s="29"/>
      <c r="C45" s="27" t="str">
        <f>IF(OR(LEFT(B45,1)="&lt;",COUNTIF(Blanks,B45)&gt;0),CheckErr,CheckOK)</f>
        <v/>
      </c>
    </row>
    <row r="47" spans="1:3">
      <c r="A47" s="249" t="s">
        <v>29</v>
      </c>
      <c r="B47" s="30" t="s">
        <v>28</v>
      </c>
      <c r="C47" s="27" t="str">
        <f>IF(OR(LEFT(B47,1)="&lt;",COUNTIF(Blanks,B47)&gt;0),CheckErr,CheckOK)</f>
        <v>!</v>
      </c>
    </row>
    <row r="48" spans="1:3">
      <c r="A48" s="250"/>
      <c r="B48" s="29"/>
      <c r="C48" s="27" t="str">
        <f>IF(OR(LEFT(B48,1)="&lt;",COUNTIF(Blanks,B48)&gt;0),CheckErr,CheckOK)</f>
        <v/>
      </c>
    </row>
    <row r="50" spans="1:3" ht="54">
      <c r="A50" s="116" t="s">
        <v>27</v>
      </c>
      <c r="B50" s="28" t="s">
        <v>212</v>
      </c>
      <c r="C50" s="27" t="str">
        <f>IF(OR(LEFT(B50,1)="&lt;",COUNTIF(Blanks,LEFT(B50, 255))&gt;0),CheckErr,CheckOK)</f>
        <v>!</v>
      </c>
    </row>
  </sheetData>
  <mergeCells count="5">
    <mergeCell ref="A24:A30"/>
    <mergeCell ref="A34:A42"/>
    <mergeCell ref="A44:A45"/>
    <mergeCell ref="A47:A48"/>
    <mergeCell ref="A2:B2"/>
  </mergeCells>
  <conditionalFormatting sqref="C1:C1048576">
    <cfRule type="cellIs" dxfId="24" priority="7" stopIfTrue="1" operator="equal">
      <formula>CheckErr</formula>
    </cfRule>
  </conditionalFormatting>
  <conditionalFormatting sqref="B1:B1048576">
    <cfRule type="expression" dxfId="23"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dimension ref="A3:G120"/>
  <sheetViews>
    <sheetView workbookViewId="0">
      <selection activeCell="D60" sqref="D60"/>
    </sheetView>
  </sheetViews>
  <sheetFormatPr defaultRowHeight="13.5"/>
  <cols>
    <col min="1" max="1" width="25.5" customWidth="1"/>
    <col min="2" max="2" width="26.375" customWidth="1"/>
    <col min="3" max="3" width="15.875" customWidth="1"/>
    <col min="4" max="4" width="15.375" customWidth="1"/>
    <col min="5" max="5" width="11.375" customWidth="1"/>
    <col min="6" max="6" width="12" customWidth="1"/>
    <col min="7" max="7" width="12.5" customWidth="1"/>
  </cols>
  <sheetData>
    <row r="3" spans="1:3">
      <c r="A3" s="24" t="s">
        <v>1616</v>
      </c>
    </row>
    <row r="5" spans="1:3">
      <c r="A5" s="231" t="s">
        <v>1577</v>
      </c>
      <c r="B5" t="s">
        <v>1579</v>
      </c>
      <c r="C5" s="24"/>
    </row>
    <row r="6" spans="1:3">
      <c r="A6" s="232" t="s">
        <v>1580</v>
      </c>
      <c r="B6" s="235">
        <v>332</v>
      </c>
    </row>
    <row r="7" spans="1:3">
      <c r="A7" s="233" t="s">
        <v>1581</v>
      </c>
      <c r="B7" s="235">
        <v>186</v>
      </c>
    </row>
    <row r="8" spans="1:3">
      <c r="A8" s="234" t="s">
        <v>638</v>
      </c>
      <c r="B8" s="235">
        <v>14</v>
      </c>
    </row>
    <row r="9" spans="1:3">
      <c r="A9" s="234" t="s">
        <v>627</v>
      </c>
      <c r="B9" s="235">
        <v>54</v>
      </c>
    </row>
    <row r="10" spans="1:3">
      <c r="A10" s="234" t="s">
        <v>635</v>
      </c>
      <c r="B10" s="235">
        <v>30</v>
      </c>
    </row>
    <row r="11" spans="1:3">
      <c r="A11" s="234" t="s">
        <v>631</v>
      </c>
      <c r="B11" s="235">
        <v>67</v>
      </c>
    </row>
    <row r="12" spans="1:3">
      <c r="A12" s="234" t="s">
        <v>648</v>
      </c>
      <c r="B12" s="235">
        <v>1</v>
      </c>
    </row>
    <row r="13" spans="1:3">
      <c r="A13" s="234" t="s">
        <v>650</v>
      </c>
      <c r="B13" s="235">
        <v>20</v>
      </c>
    </row>
    <row r="14" spans="1:3">
      <c r="A14" s="233" t="s">
        <v>1647</v>
      </c>
      <c r="B14" s="235">
        <v>146</v>
      </c>
    </row>
    <row r="15" spans="1:3">
      <c r="A15" s="234" t="s">
        <v>638</v>
      </c>
      <c r="B15" s="235">
        <v>16</v>
      </c>
    </row>
    <row r="16" spans="1:3">
      <c r="A16" s="234" t="s">
        <v>627</v>
      </c>
      <c r="B16" s="235">
        <v>97</v>
      </c>
    </row>
    <row r="17" spans="1:2">
      <c r="A17" s="234" t="s">
        <v>635</v>
      </c>
      <c r="B17" s="235">
        <v>23</v>
      </c>
    </row>
    <row r="18" spans="1:2">
      <c r="A18" s="234" t="s">
        <v>631</v>
      </c>
      <c r="B18" s="235">
        <v>2</v>
      </c>
    </row>
    <row r="19" spans="1:2">
      <c r="A19" s="234" t="s">
        <v>650</v>
      </c>
      <c r="B19" s="235">
        <v>8</v>
      </c>
    </row>
    <row r="20" spans="1:2">
      <c r="A20" s="232" t="s">
        <v>1578</v>
      </c>
      <c r="B20" s="235">
        <v>332</v>
      </c>
    </row>
    <row r="59" spans="1:7" ht="27">
      <c r="B59" s="236" t="s">
        <v>1589</v>
      </c>
      <c r="C59" s="236" t="s">
        <v>1605</v>
      </c>
      <c r="D59" s="236" t="s">
        <v>1590</v>
      </c>
      <c r="E59" s="236" t="s">
        <v>1591</v>
      </c>
      <c r="F59" s="24" t="s">
        <v>1588</v>
      </c>
      <c r="G59" s="24" t="s">
        <v>1628</v>
      </c>
    </row>
    <row r="60" spans="1:7" ht="27">
      <c r="A60" s="236" t="s">
        <v>1641</v>
      </c>
      <c r="G60" s="24" t="s">
        <v>1631</v>
      </c>
    </row>
    <row r="61" spans="1:7">
      <c r="A61" s="110" t="s">
        <v>1587</v>
      </c>
      <c r="B61">
        <v>10</v>
      </c>
      <c r="C61">
        <v>10</v>
      </c>
      <c r="D61">
        <f>(B61-C61)</f>
        <v>0</v>
      </c>
      <c r="E61">
        <v>2.5</v>
      </c>
      <c r="F61">
        <f>(D61/E61)</f>
        <v>0</v>
      </c>
    </row>
    <row r="62" spans="1:7">
      <c r="A62" s="110" t="s">
        <v>1593</v>
      </c>
      <c r="B62">
        <v>1</v>
      </c>
      <c r="C62">
        <v>1</v>
      </c>
      <c r="D62">
        <f t="shared" ref="D62:D70" si="0">(B62-C62)</f>
        <v>0</v>
      </c>
      <c r="E62">
        <v>1</v>
      </c>
      <c r="F62">
        <f t="shared" ref="F62:F70" si="1">(D62/E62)</f>
        <v>0</v>
      </c>
      <c r="G62" s="24" t="s">
        <v>1629</v>
      </c>
    </row>
    <row r="63" spans="1:7">
      <c r="A63" s="110" t="s">
        <v>1592</v>
      </c>
      <c r="B63">
        <v>5</v>
      </c>
      <c r="C63">
        <v>4</v>
      </c>
      <c r="D63">
        <f t="shared" si="0"/>
        <v>1</v>
      </c>
      <c r="E63">
        <v>1</v>
      </c>
      <c r="F63">
        <f t="shared" si="1"/>
        <v>1</v>
      </c>
    </row>
    <row r="64" spans="1:7">
      <c r="A64" s="110" t="s">
        <v>1609</v>
      </c>
      <c r="B64">
        <v>10.5</v>
      </c>
      <c r="C64">
        <v>10.5</v>
      </c>
      <c r="D64">
        <f t="shared" si="0"/>
        <v>0</v>
      </c>
      <c r="E64">
        <v>2</v>
      </c>
      <c r="F64">
        <f t="shared" si="1"/>
        <v>0</v>
      </c>
    </row>
    <row r="65" spans="1:7">
      <c r="A65" s="110" t="s">
        <v>1610</v>
      </c>
      <c r="B65">
        <v>7</v>
      </c>
      <c r="C65">
        <v>7</v>
      </c>
      <c r="D65">
        <f t="shared" si="0"/>
        <v>0</v>
      </c>
      <c r="E65">
        <v>2</v>
      </c>
      <c r="F65">
        <f t="shared" si="1"/>
        <v>0</v>
      </c>
      <c r="G65" s="24" t="s">
        <v>1687</v>
      </c>
    </row>
    <row r="66" spans="1:7" ht="148.5">
      <c r="A66" s="238" t="s">
        <v>1680</v>
      </c>
      <c r="B66">
        <v>6</v>
      </c>
      <c r="C66">
        <v>2</v>
      </c>
      <c r="D66">
        <f t="shared" si="0"/>
        <v>4</v>
      </c>
      <c r="E66">
        <v>2</v>
      </c>
      <c r="F66">
        <f t="shared" si="1"/>
        <v>2</v>
      </c>
    </row>
    <row r="67" spans="1:7" ht="27">
      <c r="A67" s="236" t="s">
        <v>1632</v>
      </c>
      <c r="D67">
        <f t="shared" si="0"/>
        <v>0</v>
      </c>
      <c r="E67">
        <v>1</v>
      </c>
      <c r="F67">
        <f t="shared" si="1"/>
        <v>0</v>
      </c>
    </row>
    <row r="68" spans="1:7" ht="67.5">
      <c r="A68" s="223" t="s">
        <v>1615</v>
      </c>
      <c r="B68">
        <v>2</v>
      </c>
      <c r="C68">
        <v>2</v>
      </c>
      <c r="D68">
        <f t="shared" si="0"/>
        <v>0</v>
      </c>
      <c r="E68">
        <v>1</v>
      </c>
      <c r="F68">
        <f t="shared" si="1"/>
        <v>0</v>
      </c>
      <c r="G68" s="24" t="s">
        <v>1679</v>
      </c>
    </row>
    <row r="69" spans="1:7">
      <c r="D69">
        <f t="shared" si="0"/>
        <v>0</v>
      </c>
      <c r="E69">
        <v>1</v>
      </c>
      <c r="F69">
        <f t="shared" si="1"/>
        <v>0</v>
      </c>
    </row>
    <row r="70" spans="1:7">
      <c r="A70" s="24" t="s">
        <v>1642</v>
      </c>
      <c r="D70">
        <f t="shared" si="0"/>
        <v>0</v>
      </c>
      <c r="E70">
        <v>1</v>
      </c>
      <c r="F70">
        <f t="shared" si="1"/>
        <v>0</v>
      </c>
    </row>
    <row r="72" spans="1:7">
      <c r="E72" s="24" t="s">
        <v>1606</v>
      </c>
      <c r="F72">
        <f>SUM(F61:F70)</f>
        <v>3</v>
      </c>
    </row>
    <row r="76" spans="1:7" ht="27">
      <c r="A76" s="110"/>
      <c r="B76" s="24" t="s">
        <v>1594</v>
      </c>
      <c r="C76" s="24" t="s">
        <v>1600</v>
      </c>
      <c r="D76" s="24" t="s">
        <v>1601</v>
      </c>
      <c r="E76" s="24" t="s">
        <v>1602</v>
      </c>
      <c r="F76" s="236" t="s">
        <v>1613</v>
      </c>
      <c r="G76" s="236" t="s">
        <v>1614</v>
      </c>
    </row>
    <row r="78" spans="1:7">
      <c r="A78" s="110" t="s">
        <v>1595</v>
      </c>
      <c r="B78">
        <v>0</v>
      </c>
      <c r="C78">
        <v>0</v>
      </c>
      <c r="D78">
        <v>0</v>
      </c>
      <c r="E78">
        <v>0</v>
      </c>
      <c r="F78">
        <v>0</v>
      </c>
    </row>
    <row r="79" spans="1:7">
      <c r="A79" s="110" t="s">
        <v>1596</v>
      </c>
      <c r="B79">
        <v>0</v>
      </c>
      <c r="C79">
        <v>0</v>
      </c>
      <c r="D79">
        <v>0</v>
      </c>
      <c r="E79">
        <v>0</v>
      </c>
      <c r="F79">
        <v>0</v>
      </c>
    </row>
    <row r="80" spans="1:7">
      <c r="A80" s="110" t="s">
        <v>1597</v>
      </c>
      <c r="B80">
        <v>0</v>
      </c>
      <c r="C80">
        <v>0</v>
      </c>
      <c r="D80">
        <v>0</v>
      </c>
      <c r="E80">
        <v>0</v>
      </c>
      <c r="F80">
        <v>0</v>
      </c>
    </row>
    <row r="81" spans="1:7">
      <c r="A81" s="110" t="s">
        <v>1598</v>
      </c>
      <c r="B81">
        <v>5</v>
      </c>
      <c r="C81">
        <v>1</v>
      </c>
      <c r="D81">
        <v>2</v>
      </c>
      <c r="E81">
        <v>2.5</v>
      </c>
      <c r="F81">
        <v>0</v>
      </c>
    </row>
    <row r="82" spans="1:7">
      <c r="A82" s="110" t="s">
        <v>1599</v>
      </c>
      <c r="B82">
        <v>3</v>
      </c>
      <c r="C82">
        <v>1</v>
      </c>
      <c r="D82">
        <v>1</v>
      </c>
      <c r="E82">
        <v>2.5</v>
      </c>
      <c r="F82">
        <v>0</v>
      </c>
    </row>
    <row r="84" spans="1:7">
      <c r="A84" s="24" t="s">
        <v>1604</v>
      </c>
      <c r="C84">
        <f>((B78-C78)+(B79-C79)+(B80-C80)+(B81-C81)+(B82-C82))</f>
        <v>6</v>
      </c>
      <c r="D84">
        <f>((B78-D78)+(B79-D79)+(B80-D80)+(B81-D81)+(B82-D82))</f>
        <v>5</v>
      </c>
      <c r="E84">
        <f>((B78-E78)+(B79-E79)+(B80-E80)+(B81-E81)+(B82-E82))</f>
        <v>3</v>
      </c>
      <c r="F84">
        <f>((B78-F78)+(B79-F79)+(B80-F80)+(B81-F81)+(B82-F82))</f>
        <v>8</v>
      </c>
      <c r="G84">
        <f>SUM(C84:E84)</f>
        <v>14</v>
      </c>
    </row>
    <row r="85" spans="1:7">
      <c r="A85" s="24"/>
    </row>
    <row r="86" spans="1:7">
      <c r="A86" s="24" t="s">
        <v>1624</v>
      </c>
    </row>
    <row r="87" spans="1:7">
      <c r="A87" s="110" t="s">
        <v>1623</v>
      </c>
    </row>
    <row r="88" spans="1:7">
      <c r="A88" s="110"/>
    </row>
    <row r="89" spans="1:7">
      <c r="A89" s="24" t="s">
        <v>1625</v>
      </c>
    </row>
    <row r="90" spans="1:7">
      <c r="A90" s="24"/>
    </row>
    <row r="91" spans="1:7">
      <c r="A91" s="110" t="s">
        <v>1634</v>
      </c>
    </row>
    <row r="92" spans="1:7">
      <c r="A92" s="110" t="s">
        <v>1617</v>
      </c>
    </row>
    <row r="93" spans="1:7">
      <c r="A93" s="110" t="s">
        <v>1618</v>
      </c>
    </row>
    <row r="94" spans="1:7">
      <c r="A94" s="110" t="s">
        <v>1608</v>
      </c>
    </row>
    <row r="95" spans="1:7">
      <c r="A95" s="110"/>
    </row>
    <row r="96" spans="1:7">
      <c r="A96" s="24" t="s">
        <v>1626</v>
      </c>
    </row>
    <row r="97" spans="1:1">
      <c r="A97" s="24"/>
    </row>
    <row r="98" spans="1:1">
      <c r="A98" s="110" t="s">
        <v>1630</v>
      </c>
    </row>
    <row r="99" spans="1:1">
      <c r="A99" s="110" t="s">
        <v>1633</v>
      </c>
    </row>
    <row r="100" spans="1:1">
      <c r="A100" s="110"/>
    </row>
    <row r="101" spans="1:1">
      <c r="A101" s="110" t="s">
        <v>1603</v>
      </c>
    </row>
    <row r="102" spans="1:1">
      <c r="A102" s="110" t="s">
        <v>1607</v>
      </c>
    </row>
    <row r="103" spans="1:1">
      <c r="A103" s="110" t="s">
        <v>1611</v>
      </c>
    </row>
    <row r="104" spans="1:1">
      <c r="A104" s="110" t="s">
        <v>1612</v>
      </c>
    </row>
    <row r="107" spans="1:1">
      <c r="A107" s="24" t="s">
        <v>1619</v>
      </c>
    </row>
    <row r="108" spans="1:1">
      <c r="A108" s="24"/>
    </row>
    <row r="109" spans="1:1">
      <c r="A109" s="110" t="s">
        <v>1627</v>
      </c>
    </row>
    <row r="110" spans="1:1">
      <c r="A110" s="110" t="s">
        <v>1620</v>
      </c>
    </row>
    <row r="111" spans="1:1">
      <c r="A111" s="110" t="s">
        <v>1621</v>
      </c>
    </row>
    <row r="112" spans="1:1">
      <c r="A112" s="110" t="s">
        <v>1622</v>
      </c>
    </row>
    <row r="113" spans="1:1">
      <c r="A113" s="110" t="s">
        <v>1635</v>
      </c>
    </row>
    <row r="114" spans="1:1">
      <c r="A114" s="110" t="s">
        <v>1636</v>
      </c>
    </row>
    <row r="115" spans="1:1">
      <c r="A115" s="110" t="s">
        <v>1640</v>
      </c>
    </row>
    <row r="117" spans="1:1">
      <c r="A117" s="24" t="s">
        <v>1637</v>
      </c>
    </row>
    <row r="119" spans="1:1">
      <c r="A119" s="110" t="s">
        <v>1638</v>
      </c>
    </row>
    <row r="120" spans="1:1">
      <c r="A120" s="110" t="s">
        <v>1639</v>
      </c>
    </row>
  </sheetData>
  <pageMargins left="0.7" right="0.7" top="0.75" bottom="0.75" header="0.3" footer="0.3"/>
  <pageSetup paperSize="9" orientation="landscape" r:id="rId2"/>
</worksheet>
</file>

<file path=xl/worksheets/sheet4.xml><?xml version="1.0" encoding="utf-8"?>
<worksheet xmlns="http://schemas.openxmlformats.org/spreadsheetml/2006/main" xmlns:r="http://schemas.openxmlformats.org/officeDocument/2006/relationships">
  <sheetPr codeName="Sheet10" filterMode="1">
    <outlinePr summaryRight="0"/>
    <pageSetUpPr fitToPage="1"/>
  </sheetPr>
  <dimension ref="A1:W355"/>
  <sheetViews>
    <sheetView tabSelected="1" topLeftCell="M1" zoomScaleNormal="100" workbookViewId="0">
      <pane ySplit="20" topLeftCell="A75" activePane="bottomLeft" state="frozen"/>
      <selection activeCell="A6" sqref="A6"/>
      <selection pane="bottomLeft" activeCell="R75" sqref="R75"/>
    </sheetView>
  </sheetViews>
  <sheetFormatPr defaultColWidth="9.5" defaultRowHeight="13.5" outlineLevelRow="2" outlineLevelCol="1"/>
  <cols>
    <col min="1" max="1" width="4.125" style="76" customWidth="1"/>
    <col min="2" max="2" width="18" style="76" customWidth="1"/>
    <col min="3" max="3" width="3.875" style="76" customWidth="1"/>
    <col min="4" max="4" width="15.125" style="76" customWidth="1" outlineLevel="1"/>
    <col min="5" max="5" width="9.5" style="76" customWidth="1"/>
    <col min="6" max="7" width="30" style="76" customWidth="1"/>
    <col min="8" max="8" width="13" style="79" customWidth="1"/>
    <col min="9" max="9" width="24.625" style="79" customWidth="1"/>
    <col min="10" max="10" width="17.75" style="182" hidden="1" customWidth="1"/>
    <col min="11" max="11" width="102.875" style="76" customWidth="1" outlineLevel="1"/>
    <col min="12" max="12" width="5.25" style="76" hidden="1" customWidth="1" collapsed="1"/>
    <col min="13" max="13" width="35.625" style="76" customWidth="1"/>
    <col min="14" max="14" width="16.875" style="182" customWidth="1"/>
    <col min="15" max="15" width="7.625" style="77" customWidth="1"/>
    <col min="16" max="16" width="3" style="76" hidden="1" customWidth="1"/>
    <col min="17" max="17" width="7.5" style="76" bestFit="1" customWidth="1"/>
    <col min="18" max="18" width="17.875" style="76" customWidth="1" outlineLevel="1"/>
    <col min="19" max="19" width="2.25" style="78" customWidth="1" outlineLevel="1"/>
    <col min="20" max="20" width="3" style="76" customWidth="1" outlineLevel="1"/>
    <col min="21" max="21" width="5.25" style="76" customWidth="1" outlineLevel="1"/>
    <col min="22" max="16384" width="9.5" style="76"/>
  </cols>
  <sheetData>
    <row r="1" spans="1:23" s="85" customFormat="1" ht="21" outlineLevel="1">
      <c r="A1" s="97" t="s">
        <v>43</v>
      </c>
      <c r="B1" s="97"/>
      <c r="C1" s="97"/>
      <c r="H1" s="88"/>
      <c r="I1" s="88"/>
      <c r="J1" s="178"/>
      <c r="N1" s="178"/>
      <c r="O1" s="86"/>
      <c r="S1" s="87"/>
      <c r="V1" s="96"/>
      <c r="W1" s="95"/>
    </row>
    <row r="2" spans="1:23" s="85" customFormat="1" outlineLevel="1">
      <c r="H2" s="88"/>
      <c r="I2" s="88"/>
      <c r="J2" s="178"/>
      <c r="N2" s="178"/>
      <c r="O2" s="86"/>
      <c r="S2" s="87"/>
    </row>
    <row r="3" spans="1:23" s="85" customFormat="1" ht="12.75" customHeight="1" outlineLevel="1">
      <c r="A3" s="259" t="s">
        <v>103</v>
      </c>
      <c r="B3" s="260"/>
      <c r="C3" s="260"/>
      <c r="D3" s="272"/>
      <c r="E3" s="268" t="str">
        <f>CONCATENATE('Calling Notice'!$B$3,", ",'Calling Notice'!$B$4,", ",'Calling Notice'!$B$5," ",'Calling Notice'!$B$6,", ",TEXT('Calling Notice'!$B$7,"dd MMMM "))</f>
        <v>&lt;Title&gt;, &lt;S.Pnnnn.nn.n&gt; or &lt;CM System path&gt;, &lt;Issue n.n&gt; or &lt;CM System revision number&gt; &lt;Status&gt;, dd MMMM yyyy</v>
      </c>
      <c r="F3" s="269"/>
      <c r="G3" s="269"/>
      <c r="H3" s="269"/>
      <c r="I3" s="269"/>
      <c r="J3" s="269"/>
      <c r="K3" s="269"/>
      <c r="L3" s="269"/>
      <c r="M3" s="269"/>
      <c r="N3" s="269"/>
      <c r="O3" s="270"/>
      <c r="S3" s="210"/>
    </row>
    <row r="4" spans="1:23" s="85" customFormat="1" ht="12.75" customHeight="1" outlineLevel="1">
      <c r="A4" s="273" t="s">
        <v>137</v>
      </c>
      <c r="B4" s="274"/>
      <c r="C4" s="274"/>
      <c r="D4" s="274"/>
      <c r="E4" s="255" t="s">
        <v>173</v>
      </c>
      <c r="F4" s="256"/>
      <c r="G4" s="256"/>
      <c r="H4" s="256"/>
      <c r="I4" s="256"/>
      <c r="J4" s="257"/>
      <c r="K4" s="94"/>
      <c r="L4" s="94"/>
      <c r="M4" s="94"/>
      <c r="N4" s="183"/>
      <c r="O4" s="94"/>
      <c r="S4" s="73" t="str">
        <f>IF(AND(OR(LEFT(E4,1)="&lt;",COUNTIF(Blanks,E4)&gt;0)),CheckErr,CheckOK)</f>
        <v>!</v>
      </c>
    </row>
    <row r="5" spans="1:23" ht="12.75" customHeight="1" outlineLevel="1">
      <c r="A5" s="266" t="s">
        <v>130</v>
      </c>
      <c r="B5" s="267"/>
      <c r="C5" s="267"/>
      <c r="D5" s="267"/>
      <c r="E5" s="255" t="s">
        <v>41</v>
      </c>
      <c r="F5" s="256"/>
      <c r="G5" s="256"/>
      <c r="H5" s="256"/>
      <c r="I5" s="256"/>
      <c r="J5" s="257"/>
      <c r="K5" s="93"/>
      <c r="L5" s="93"/>
      <c r="M5" s="93"/>
      <c r="N5" s="184"/>
      <c r="O5" s="93"/>
      <c r="S5" s="73" t="str">
        <f>IF(AND(OR(LEFT(E5,1)="&lt;",COUNTIF(Blanks,E5)&gt;0)),CheckErr,CheckOK)</f>
        <v>!</v>
      </c>
    </row>
    <row r="6" spans="1:23" s="85" customFormat="1" hidden="1" outlineLevel="2">
      <c r="A6" s="259" t="s">
        <v>113</v>
      </c>
      <c r="B6" s="260"/>
      <c r="C6" s="260"/>
      <c r="D6" s="260"/>
      <c r="E6" s="258">
        <f>Metrics!C10</f>
        <v>0</v>
      </c>
      <c r="F6" s="258"/>
      <c r="G6" s="258"/>
      <c r="H6" s="258"/>
      <c r="I6" s="258"/>
      <c r="J6" s="258"/>
      <c r="K6" s="92"/>
      <c r="L6" s="92"/>
      <c r="M6" s="92"/>
      <c r="N6" s="185"/>
      <c r="O6" s="92"/>
      <c r="S6" s="73"/>
    </row>
    <row r="7" spans="1:23" s="85" customFormat="1" hidden="1" outlineLevel="2">
      <c r="A7" s="259" t="s">
        <v>138</v>
      </c>
      <c r="B7" s="260"/>
      <c r="C7" s="260"/>
      <c r="D7" s="260"/>
      <c r="E7" s="258">
        <f>Metrics!C28</f>
        <v>0</v>
      </c>
      <c r="F7" s="258"/>
      <c r="G7" s="258"/>
      <c r="H7" s="258"/>
      <c r="I7" s="258"/>
      <c r="J7" s="258"/>
      <c r="K7" s="92"/>
      <c r="L7" s="92"/>
      <c r="M7" s="92"/>
      <c r="N7" s="185"/>
      <c r="O7" s="92"/>
      <c r="T7" s="73"/>
    </row>
    <row r="8" spans="1:23" s="85" customFormat="1" hidden="1" outlineLevel="2">
      <c r="A8" s="259" t="s">
        <v>139</v>
      </c>
      <c r="B8" s="260"/>
      <c r="C8" s="260"/>
      <c r="D8" s="260"/>
      <c r="E8" s="258">
        <f>Metrics!C42</f>
        <v>0</v>
      </c>
      <c r="F8" s="258"/>
      <c r="G8" s="258"/>
      <c r="H8" s="258"/>
      <c r="I8" s="258"/>
      <c r="J8" s="258"/>
      <c r="K8" s="92"/>
      <c r="L8" s="92"/>
      <c r="M8" s="92"/>
      <c r="N8" s="185"/>
      <c r="O8" s="92"/>
      <c r="U8" s="73"/>
    </row>
    <row r="9" spans="1:23" s="85" customFormat="1" ht="12.75" customHeight="1" outlineLevel="1" collapsed="1">
      <c r="A9" s="254" t="s">
        <v>136</v>
      </c>
      <c r="B9" s="254"/>
      <c r="C9" s="254"/>
      <c r="D9" s="254"/>
      <c r="E9" s="253"/>
      <c r="F9" s="253"/>
      <c r="G9" s="209"/>
      <c r="H9" s="205"/>
      <c r="I9" s="205"/>
      <c r="J9" s="205"/>
      <c r="K9" s="205"/>
      <c r="L9" s="205"/>
      <c r="M9" s="205"/>
      <c r="N9" s="205"/>
      <c r="O9" s="205"/>
      <c r="S9" s="205"/>
    </row>
    <row r="10" spans="1:23" s="85" customFormat="1" ht="12.75" customHeight="1" outlineLevel="1">
      <c r="E10" s="271" t="s">
        <v>144</v>
      </c>
      <c r="F10" s="271"/>
      <c r="G10" s="271"/>
      <c r="H10" s="271"/>
      <c r="I10" s="271"/>
      <c r="J10" s="271"/>
      <c r="K10" s="271"/>
      <c r="L10" s="271"/>
      <c r="M10" s="271"/>
      <c r="N10" s="271"/>
      <c r="O10" s="271"/>
      <c r="S10" s="208"/>
    </row>
    <row r="11" spans="1:23" s="85" customFormat="1" ht="15.75" customHeight="1" outlineLevel="1">
      <c r="A11" s="91"/>
      <c r="B11" s="91"/>
      <c r="C11" s="91"/>
      <c r="D11" s="90" t="s">
        <v>135</v>
      </c>
      <c r="E11" s="261" t="str">
        <f>"Comments raised: " &amp;CommentsRaised</f>
        <v>Comments raised: 0</v>
      </c>
      <c r="F11" s="261"/>
      <c r="G11" s="261"/>
      <c r="H11" s="261"/>
      <c r="I11" s="220"/>
      <c r="J11" s="206" t="str">
        <f>"Comments to action: "&amp;CommentsToAction</f>
        <v>Comments to action: 0</v>
      </c>
      <c r="K11" s="207"/>
      <c r="L11" s="262" t="str">
        <f>"Comments to sign-off: " &amp; CommentsToSignOff</f>
        <v>Comments to sign-off: 0</v>
      </c>
      <c r="M11" s="263"/>
      <c r="N11" s="264"/>
      <c r="O11" s="265"/>
      <c r="R11" s="208"/>
      <c r="S11" s="209"/>
      <c r="T11" s="208"/>
      <c r="U11" s="208"/>
    </row>
    <row r="12" spans="1:23" s="85" customFormat="1" ht="27" customHeight="1" outlineLevel="1">
      <c r="A12" s="89" t="s">
        <v>129</v>
      </c>
      <c r="B12" s="89"/>
      <c r="C12" s="89"/>
      <c r="H12" s="88"/>
      <c r="I12" s="88"/>
      <c r="J12" s="179">
        <f>COUNTA(J21:J1191)</f>
        <v>0</v>
      </c>
      <c r="K12" s="129"/>
      <c r="L12" s="129"/>
      <c r="M12" s="129"/>
      <c r="N12" s="179"/>
      <c r="O12" s="131"/>
      <c r="P12" s="129">
        <f>COUNTIF($T21:$T1191,CheckErr)</f>
        <v>0</v>
      </c>
      <c r="Q12" s="129"/>
      <c r="R12" s="129">
        <f>COUNTIF($U21:$U1191,CheckErr)</f>
        <v>0</v>
      </c>
      <c r="S12" s="130"/>
      <c r="T12" s="129"/>
    </row>
    <row r="13" spans="1:23" s="85" customFormat="1" ht="16.5" outlineLevel="1">
      <c r="A13" s="224"/>
      <c r="B13" s="228" t="s">
        <v>1569</v>
      </c>
      <c r="C13" s="227"/>
      <c r="D13" s="228" t="s">
        <v>1570</v>
      </c>
      <c r="E13" s="225"/>
      <c r="F13" s="225"/>
      <c r="G13" s="225"/>
      <c r="H13" s="226"/>
      <c r="I13" s="88"/>
      <c r="J13" s="179"/>
      <c r="K13" s="129"/>
      <c r="L13" s="129"/>
      <c r="M13" s="129"/>
      <c r="N13" s="179"/>
      <c r="O13" s="131"/>
      <c r="P13" s="129"/>
      <c r="Q13" s="129"/>
      <c r="R13" s="129"/>
      <c r="S13" s="130"/>
      <c r="T13" s="129"/>
    </row>
    <row r="14" spans="1:23" s="85" customFormat="1" ht="16.5" outlineLevel="1">
      <c r="A14" s="224"/>
      <c r="B14" s="228">
        <v>1</v>
      </c>
      <c r="C14" s="227"/>
      <c r="D14" s="228" t="s">
        <v>1571</v>
      </c>
      <c r="E14" s="225"/>
      <c r="F14" s="225"/>
      <c r="G14" s="225"/>
      <c r="H14" s="226"/>
      <c r="I14" s="88"/>
      <c r="J14" s="179"/>
      <c r="K14" s="129"/>
      <c r="L14" s="129"/>
      <c r="M14" s="129"/>
      <c r="N14" s="179"/>
      <c r="O14" s="131"/>
      <c r="P14" s="129"/>
      <c r="Q14" s="129"/>
      <c r="R14" s="129"/>
      <c r="S14" s="130"/>
      <c r="T14" s="129"/>
    </row>
    <row r="15" spans="1:23" s="85" customFormat="1" ht="16.5" outlineLevel="1">
      <c r="A15" s="224"/>
      <c r="B15" s="228">
        <v>2</v>
      </c>
      <c r="C15" s="227"/>
      <c r="D15" s="228" t="s">
        <v>1571</v>
      </c>
      <c r="E15" s="225"/>
      <c r="F15" s="225"/>
      <c r="G15" s="225"/>
      <c r="H15" s="226"/>
      <c r="I15" s="88"/>
      <c r="J15" s="179"/>
      <c r="K15" s="129"/>
      <c r="L15" s="129"/>
      <c r="M15" s="129"/>
      <c r="N15" s="179"/>
      <c r="O15" s="131"/>
      <c r="P15" s="129"/>
      <c r="Q15" s="129"/>
      <c r="R15" s="129"/>
      <c r="S15" s="130"/>
      <c r="T15" s="129"/>
    </row>
    <row r="16" spans="1:23" s="85" customFormat="1" ht="16.5" outlineLevel="1">
      <c r="A16" s="224"/>
      <c r="B16" s="228">
        <v>3</v>
      </c>
      <c r="C16" s="227"/>
      <c r="D16" s="228" t="s">
        <v>1571</v>
      </c>
      <c r="E16" s="225"/>
      <c r="F16" s="225"/>
      <c r="G16" s="225"/>
      <c r="H16" s="226"/>
      <c r="I16" s="88"/>
      <c r="J16" s="179"/>
      <c r="K16" s="129"/>
      <c r="L16" s="129"/>
      <c r="M16" s="129"/>
      <c r="N16" s="179"/>
      <c r="O16" s="131"/>
      <c r="P16" s="129"/>
      <c r="Q16" s="129"/>
      <c r="R16" s="129"/>
      <c r="S16" s="130"/>
      <c r="T16" s="129"/>
    </row>
    <row r="17" spans="1:22" s="85" customFormat="1" ht="16.5" outlineLevel="1">
      <c r="A17" s="224"/>
      <c r="B17" s="228">
        <v>4</v>
      </c>
      <c r="C17" s="227"/>
      <c r="D17" s="228" t="s">
        <v>1573</v>
      </c>
      <c r="E17" s="225"/>
      <c r="F17" s="225"/>
      <c r="G17" s="225"/>
      <c r="H17" s="226"/>
      <c r="I17" s="88"/>
      <c r="J17" s="179"/>
      <c r="K17" s="129"/>
      <c r="L17" s="129"/>
      <c r="M17" s="129"/>
      <c r="N17" s="179"/>
      <c r="O17" s="131"/>
      <c r="P17" s="129"/>
      <c r="Q17" s="129"/>
      <c r="R17" s="129"/>
      <c r="S17" s="130"/>
      <c r="T17" s="129"/>
    </row>
    <row r="18" spans="1:22" s="85" customFormat="1" ht="27" customHeight="1" outlineLevel="1">
      <c r="A18" s="224"/>
      <c r="B18" s="228" t="s">
        <v>1572</v>
      </c>
      <c r="C18" s="224"/>
      <c r="D18" s="228" t="s">
        <v>1573</v>
      </c>
      <c r="E18" s="225"/>
      <c r="F18" s="225"/>
      <c r="G18" s="225"/>
      <c r="H18" s="226"/>
      <c r="I18" s="88"/>
      <c r="J18" s="179"/>
      <c r="K18" s="129"/>
      <c r="L18" s="129"/>
      <c r="M18" s="129"/>
      <c r="N18" s="179"/>
      <c r="O18" s="131"/>
      <c r="P18" s="129"/>
      <c r="Q18" s="129"/>
      <c r="R18" s="129"/>
      <c r="S18" s="130"/>
      <c r="T18" s="129"/>
    </row>
    <row r="19" spans="1:22" s="85" customFormat="1" ht="27" customHeight="1" outlineLevel="1">
      <c r="A19" s="224" t="s">
        <v>1568</v>
      </c>
      <c r="B19" s="224"/>
      <c r="C19" s="224"/>
      <c r="D19" s="225"/>
      <c r="E19" s="225"/>
      <c r="F19" s="225"/>
      <c r="G19" s="225"/>
      <c r="H19" s="226"/>
      <c r="I19" s="88"/>
      <c r="J19" s="179"/>
      <c r="K19" s="129"/>
      <c r="L19" s="129"/>
      <c r="M19" s="129"/>
      <c r="N19" s="179"/>
      <c r="O19" s="131"/>
      <c r="P19" s="129"/>
      <c r="Q19" s="129"/>
      <c r="R19" s="129"/>
      <c r="S19" s="130"/>
      <c r="T19" s="129"/>
    </row>
    <row r="20" spans="1:22" ht="68.25" customHeight="1">
      <c r="A20" s="84" t="s">
        <v>128</v>
      </c>
      <c r="B20" s="102" t="s">
        <v>143</v>
      </c>
      <c r="C20" s="102" t="s">
        <v>142</v>
      </c>
      <c r="D20" s="120" t="s">
        <v>623</v>
      </c>
      <c r="E20" s="120" t="s">
        <v>1529</v>
      </c>
      <c r="F20" s="222" t="s">
        <v>1551</v>
      </c>
      <c r="G20" s="222" t="s">
        <v>1574</v>
      </c>
      <c r="H20" s="121" t="s">
        <v>134</v>
      </c>
      <c r="I20" s="121" t="s">
        <v>830</v>
      </c>
      <c r="J20" s="122" t="s">
        <v>127</v>
      </c>
      <c r="K20" s="180" t="s">
        <v>133</v>
      </c>
      <c r="L20" s="104" t="s">
        <v>132</v>
      </c>
      <c r="M20" s="104" t="s">
        <v>1374</v>
      </c>
      <c r="N20" s="103" t="s">
        <v>640</v>
      </c>
      <c r="O20" s="186" t="s">
        <v>125</v>
      </c>
      <c r="P20" s="118" t="s">
        <v>124</v>
      </c>
      <c r="Q20" s="119" t="s">
        <v>123</v>
      </c>
      <c r="R20" s="100" t="s">
        <v>131</v>
      </c>
      <c r="S20" s="101" t="s">
        <v>122</v>
      </c>
      <c r="T20" s="128" t="s">
        <v>126</v>
      </c>
      <c r="U20" s="127" t="s">
        <v>107</v>
      </c>
      <c r="V20" s="127" t="s">
        <v>121</v>
      </c>
    </row>
    <row r="21" spans="1:22" ht="409.5" hidden="1" customHeight="1">
      <c r="A21" s="83">
        <v>1</v>
      </c>
      <c r="B21" s="219" t="s">
        <v>625</v>
      </c>
      <c r="C21" s="219">
        <v>1</v>
      </c>
      <c r="D21" s="219" t="s">
        <v>624</v>
      </c>
      <c r="E21" s="219" t="s">
        <v>631</v>
      </c>
      <c r="F21" s="83"/>
      <c r="G21" s="83">
        <v>7</v>
      </c>
      <c r="H21" s="219"/>
      <c r="I21" s="219"/>
      <c r="J21" s="219"/>
      <c r="K21" s="219" t="s">
        <v>626</v>
      </c>
      <c r="L21" s="80"/>
      <c r="M21" s="80"/>
      <c r="N21" s="181"/>
      <c r="O21" s="80"/>
      <c r="P21" s="80" t="s">
        <v>120</v>
      </c>
      <c r="Q21" s="134" t="s">
        <v>1581</v>
      </c>
      <c r="R21" s="75" t="s">
        <v>1580</v>
      </c>
      <c r="S21" s="81" t="str">
        <f t="shared" ref="S21:S84" si="0">IF(OR(AND(CodeFileListUsed="Yes",D21="",COUNTA(B21:C21,E21:J21)&lt;&gt;0),AND(COUNTA(B21:C21,E21:J21)&lt;&gt;0, COUNTA(B21:C21,E21:J21)&lt;&gt;COUNTA(B$20:C$20,F$20:K$20))),CheckErr,CheckOK)</f>
        <v>!</v>
      </c>
      <c r="T21" s="72" t="str">
        <f t="shared" ref="T21:T84" si="1">IF(OR(ISBLANK(J21), AND(NOT(ISBLANK(L21)),OR(AND(O21="Accepted",OR(P21="Y",P21="y")),O21="Noted",O21="Duplicate",AND(O21="Rejected",NOT(ISBLANK(N21)))))),CheckOK,CheckErr)</f>
        <v/>
      </c>
      <c r="U21" s="72" t="str">
        <f t="shared" ref="U21:U84" si="2">IF(OR(ISBLANK(J21),NOT(ISBLANK(Q21))),CheckOK,CheckErr)</f>
        <v/>
      </c>
    </row>
    <row r="22" spans="1:22" ht="174" hidden="1" customHeight="1">
      <c r="A22" s="83">
        <f t="shared" ref="A22:A53" si="3">A21+1</f>
        <v>2</v>
      </c>
      <c r="B22" s="219" t="s">
        <v>625</v>
      </c>
      <c r="C22" s="219">
        <v>2</v>
      </c>
      <c r="D22" s="219" t="s">
        <v>624</v>
      </c>
      <c r="E22" s="219" t="s">
        <v>631</v>
      </c>
      <c r="F22" s="83"/>
      <c r="G22" s="83">
        <v>7</v>
      </c>
      <c r="H22" s="219"/>
      <c r="I22" s="219"/>
      <c r="J22" s="219"/>
      <c r="K22" s="219" t="s">
        <v>628</v>
      </c>
      <c r="L22" s="80"/>
      <c r="M22" s="80"/>
      <c r="N22" s="181"/>
      <c r="O22" s="176"/>
      <c r="P22" s="80" t="s">
        <v>120</v>
      </c>
      <c r="Q22" s="134" t="s">
        <v>1581</v>
      </c>
      <c r="R22" s="75" t="s">
        <v>1580</v>
      </c>
      <c r="S22" s="81" t="str">
        <f t="shared" si="0"/>
        <v>!</v>
      </c>
      <c r="T22" s="72" t="str">
        <f t="shared" si="1"/>
        <v/>
      </c>
      <c r="U22" s="72" t="str">
        <f t="shared" si="2"/>
        <v/>
      </c>
    </row>
    <row r="23" spans="1:22" ht="162" hidden="1">
      <c r="A23" s="74">
        <f t="shared" si="3"/>
        <v>3</v>
      </c>
      <c r="B23" s="219" t="s">
        <v>625</v>
      </c>
      <c r="C23" s="219">
        <v>3</v>
      </c>
      <c r="D23" s="219" t="s">
        <v>624</v>
      </c>
      <c r="E23" s="219" t="s">
        <v>631</v>
      </c>
      <c r="F23" s="83"/>
      <c r="G23" s="83">
        <v>7</v>
      </c>
      <c r="H23" s="219"/>
      <c r="I23" s="219"/>
      <c r="J23" s="219"/>
      <c r="K23" s="219" t="s">
        <v>629</v>
      </c>
      <c r="L23" s="80"/>
      <c r="M23" s="80"/>
      <c r="N23" s="181"/>
      <c r="O23" s="176"/>
      <c r="P23" s="80" t="s">
        <v>120</v>
      </c>
      <c r="Q23" s="134" t="s">
        <v>1581</v>
      </c>
      <c r="R23" s="75" t="s">
        <v>1580</v>
      </c>
      <c r="S23" s="81" t="str">
        <f t="shared" si="0"/>
        <v>!</v>
      </c>
      <c r="T23" s="72" t="str">
        <f t="shared" si="1"/>
        <v/>
      </c>
      <c r="U23" s="72" t="str">
        <f t="shared" si="2"/>
        <v/>
      </c>
    </row>
    <row r="24" spans="1:22" ht="216" hidden="1">
      <c r="A24" s="74">
        <f t="shared" si="3"/>
        <v>4</v>
      </c>
      <c r="B24" s="219" t="s">
        <v>625</v>
      </c>
      <c r="C24" s="219">
        <v>4</v>
      </c>
      <c r="D24" s="219" t="s">
        <v>624</v>
      </c>
      <c r="E24" s="219" t="s">
        <v>631</v>
      </c>
      <c r="F24" s="83"/>
      <c r="G24" s="83">
        <v>7</v>
      </c>
      <c r="H24" s="219"/>
      <c r="I24" s="219"/>
      <c r="J24" s="219"/>
      <c r="K24" s="219" t="s">
        <v>630</v>
      </c>
      <c r="L24" s="80"/>
      <c r="M24" s="80"/>
      <c r="N24" s="181"/>
      <c r="O24" s="176"/>
      <c r="P24" s="80"/>
      <c r="Q24" s="134" t="s">
        <v>1581</v>
      </c>
      <c r="R24" s="75" t="s">
        <v>1580</v>
      </c>
      <c r="S24" s="81" t="str">
        <f t="shared" si="0"/>
        <v>!</v>
      </c>
      <c r="T24" s="72" t="str">
        <f t="shared" si="1"/>
        <v/>
      </c>
      <c r="U24" s="72" t="str">
        <f t="shared" si="2"/>
        <v/>
      </c>
    </row>
    <row r="25" spans="1:22" ht="270" hidden="1">
      <c r="A25" s="74">
        <f t="shared" si="3"/>
        <v>5</v>
      </c>
      <c r="B25" s="219" t="s">
        <v>625</v>
      </c>
      <c r="C25" s="219">
        <v>5</v>
      </c>
      <c r="D25" s="219" t="s">
        <v>624</v>
      </c>
      <c r="E25" s="219" t="s">
        <v>631</v>
      </c>
      <c r="F25" s="83"/>
      <c r="G25" s="83">
        <v>7</v>
      </c>
      <c r="H25" s="219"/>
      <c r="I25" s="219"/>
      <c r="J25" s="219"/>
      <c r="K25" s="219" t="s">
        <v>1508</v>
      </c>
      <c r="L25" s="80"/>
      <c r="M25" s="80"/>
      <c r="N25" s="181"/>
      <c r="O25" s="80"/>
      <c r="P25" s="80" t="s">
        <v>120</v>
      </c>
      <c r="Q25" s="134" t="s">
        <v>1581</v>
      </c>
      <c r="R25" s="75" t="s">
        <v>1580</v>
      </c>
      <c r="S25" s="81" t="str">
        <f t="shared" si="0"/>
        <v>!</v>
      </c>
      <c r="T25" s="72" t="str">
        <f t="shared" si="1"/>
        <v/>
      </c>
      <c r="U25" s="72" t="str">
        <f t="shared" si="2"/>
        <v/>
      </c>
    </row>
    <row r="26" spans="1:22" ht="175.5" hidden="1">
      <c r="A26" s="74">
        <f t="shared" si="3"/>
        <v>6</v>
      </c>
      <c r="B26" s="219" t="s">
        <v>625</v>
      </c>
      <c r="C26" s="219">
        <v>6</v>
      </c>
      <c r="D26" s="219" t="s">
        <v>624</v>
      </c>
      <c r="E26" s="219" t="s">
        <v>631</v>
      </c>
      <c r="F26" s="83"/>
      <c r="G26" s="83">
        <v>7</v>
      </c>
      <c r="H26" s="219"/>
      <c r="I26" s="219"/>
      <c r="J26" s="219"/>
      <c r="K26" s="219" t="s">
        <v>1509</v>
      </c>
      <c r="L26" s="80"/>
      <c r="M26" s="80"/>
      <c r="N26" s="181"/>
      <c r="O26" s="80"/>
      <c r="P26" s="80" t="s">
        <v>120</v>
      </c>
      <c r="Q26" s="134" t="s">
        <v>1581</v>
      </c>
      <c r="R26" s="75" t="s">
        <v>1580</v>
      </c>
      <c r="S26" s="81" t="str">
        <f t="shared" si="0"/>
        <v>!</v>
      </c>
      <c r="T26" s="72" t="str">
        <f t="shared" si="1"/>
        <v/>
      </c>
      <c r="U26" s="72" t="str">
        <f t="shared" si="2"/>
        <v/>
      </c>
    </row>
    <row r="27" spans="1:22" ht="189" hidden="1">
      <c r="A27" s="74">
        <f t="shared" si="3"/>
        <v>7</v>
      </c>
      <c r="B27" s="219" t="s">
        <v>625</v>
      </c>
      <c r="C27" s="219">
        <v>7</v>
      </c>
      <c r="D27" s="219"/>
      <c r="E27" s="83" t="s">
        <v>631</v>
      </c>
      <c r="F27" s="83"/>
      <c r="G27" s="83">
        <v>7</v>
      </c>
      <c r="H27" s="219"/>
      <c r="I27" s="219"/>
      <c r="J27" s="219"/>
      <c r="K27" s="219" t="s">
        <v>1510</v>
      </c>
      <c r="L27" s="80"/>
      <c r="M27" s="80"/>
      <c r="N27" s="181"/>
      <c r="O27" s="80"/>
      <c r="P27" s="80" t="s">
        <v>120</v>
      </c>
      <c r="Q27" s="134" t="s">
        <v>1581</v>
      </c>
      <c r="R27" s="75" t="s">
        <v>1580</v>
      </c>
      <c r="S27" s="81" t="str">
        <f t="shared" si="0"/>
        <v>!</v>
      </c>
      <c r="T27" s="72" t="str">
        <f t="shared" si="1"/>
        <v/>
      </c>
      <c r="U27" s="72" t="str">
        <f t="shared" si="2"/>
        <v/>
      </c>
    </row>
    <row r="28" spans="1:22" ht="121.5" hidden="1">
      <c r="A28" s="74">
        <f t="shared" si="3"/>
        <v>8</v>
      </c>
      <c r="B28" s="219" t="s">
        <v>625</v>
      </c>
      <c r="C28" s="219">
        <v>8</v>
      </c>
      <c r="D28" s="219"/>
      <c r="E28" s="83" t="s">
        <v>635</v>
      </c>
      <c r="F28" s="83"/>
      <c r="G28" s="83">
        <v>6</v>
      </c>
      <c r="H28" s="219"/>
      <c r="I28" s="219"/>
      <c r="J28" s="219"/>
      <c r="K28" s="219" t="s">
        <v>632</v>
      </c>
      <c r="L28" s="80"/>
      <c r="M28" s="80"/>
      <c r="N28" s="181" t="s">
        <v>1708</v>
      </c>
      <c r="O28" s="80"/>
      <c r="P28" s="80" t="s">
        <v>120</v>
      </c>
      <c r="Q28" s="134" t="s">
        <v>1647</v>
      </c>
      <c r="R28" s="75" t="s">
        <v>1580</v>
      </c>
      <c r="S28" s="81" t="str">
        <f t="shared" si="0"/>
        <v>!</v>
      </c>
      <c r="T28" s="72" t="str">
        <f t="shared" si="1"/>
        <v/>
      </c>
      <c r="U28" s="72" t="str">
        <f t="shared" si="2"/>
        <v/>
      </c>
    </row>
    <row r="29" spans="1:22" ht="40.5" hidden="1">
      <c r="A29" s="74">
        <f t="shared" si="3"/>
        <v>9</v>
      </c>
      <c r="B29" s="219" t="s">
        <v>625</v>
      </c>
      <c r="C29" s="219">
        <v>9</v>
      </c>
      <c r="D29" s="219"/>
      <c r="E29" s="83" t="s">
        <v>635</v>
      </c>
      <c r="F29" s="83"/>
      <c r="G29" s="83" t="s">
        <v>476</v>
      </c>
      <c r="H29" s="219"/>
      <c r="I29" s="219"/>
      <c r="J29" s="219"/>
      <c r="K29" s="219" t="s">
        <v>633</v>
      </c>
      <c r="L29" s="80"/>
      <c r="M29" s="80"/>
      <c r="N29" s="181" t="s">
        <v>1709</v>
      </c>
      <c r="O29" s="80"/>
      <c r="P29" s="80" t="s">
        <v>120</v>
      </c>
      <c r="Q29" s="134" t="s">
        <v>1647</v>
      </c>
      <c r="R29" s="75" t="s">
        <v>1580</v>
      </c>
      <c r="S29" s="81" t="str">
        <f t="shared" si="0"/>
        <v>!</v>
      </c>
      <c r="T29" s="72" t="str">
        <f t="shared" si="1"/>
        <v/>
      </c>
      <c r="U29" s="72" t="str">
        <f t="shared" si="2"/>
        <v/>
      </c>
    </row>
    <row r="30" spans="1:22" ht="243" hidden="1">
      <c r="A30" s="74">
        <f t="shared" si="3"/>
        <v>10</v>
      </c>
      <c r="B30" s="219" t="s">
        <v>625</v>
      </c>
      <c r="C30" s="219">
        <v>10</v>
      </c>
      <c r="D30" s="219"/>
      <c r="E30" s="83" t="s">
        <v>635</v>
      </c>
      <c r="F30" s="83"/>
      <c r="G30" s="83">
        <v>6</v>
      </c>
      <c r="H30" s="219"/>
      <c r="I30" s="219"/>
      <c r="J30" s="219"/>
      <c r="K30" s="219" t="s">
        <v>634</v>
      </c>
      <c r="L30" s="80"/>
      <c r="M30" s="80" t="s">
        <v>1739</v>
      </c>
      <c r="N30" s="181"/>
      <c r="O30" s="80"/>
      <c r="P30" s="80" t="s">
        <v>120</v>
      </c>
      <c r="Q30" s="134" t="s">
        <v>1581</v>
      </c>
      <c r="R30" s="75" t="s">
        <v>1580</v>
      </c>
      <c r="S30" s="81" t="str">
        <f t="shared" si="0"/>
        <v>!</v>
      </c>
      <c r="T30" s="72" t="str">
        <f t="shared" si="1"/>
        <v/>
      </c>
      <c r="U30" s="72" t="str">
        <f t="shared" si="2"/>
        <v/>
      </c>
    </row>
    <row r="31" spans="1:22" ht="189" hidden="1">
      <c r="A31" s="74">
        <f t="shared" si="3"/>
        <v>11</v>
      </c>
      <c r="B31" s="219" t="s">
        <v>625</v>
      </c>
      <c r="C31" s="219">
        <v>11</v>
      </c>
      <c r="D31" s="219"/>
      <c r="E31" s="83" t="s">
        <v>631</v>
      </c>
      <c r="F31" s="83"/>
      <c r="G31" s="83">
        <v>6</v>
      </c>
      <c r="H31" s="219"/>
      <c r="I31" s="219"/>
      <c r="J31" s="219"/>
      <c r="K31" s="219" t="s">
        <v>1511</v>
      </c>
      <c r="L31" s="80"/>
      <c r="M31" s="80"/>
      <c r="N31" s="181"/>
      <c r="O31" s="80"/>
      <c r="P31" s="80" t="s">
        <v>120</v>
      </c>
      <c r="Q31" s="134" t="s">
        <v>1581</v>
      </c>
      <c r="R31" s="75" t="s">
        <v>1580</v>
      </c>
      <c r="S31" s="81" t="str">
        <f t="shared" si="0"/>
        <v>!</v>
      </c>
      <c r="T31" s="72" t="str">
        <f t="shared" si="1"/>
        <v/>
      </c>
      <c r="U31" s="72" t="str">
        <f t="shared" si="2"/>
        <v/>
      </c>
    </row>
    <row r="32" spans="1:22" ht="175.5" hidden="1">
      <c r="A32" s="74">
        <f t="shared" si="3"/>
        <v>12</v>
      </c>
      <c r="B32" s="219" t="s">
        <v>625</v>
      </c>
      <c r="C32" s="219">
        <v>12</v>
      </c>
      <c r="D32" s="219"/>
      <c r="E32" s="83" t="s">
        <v>631</v>
      </c>
      <c r="F32" s="83"/>
      <c r="G32" s="83">
        <v>6</v>
      </c>
      <c r="H32" s="219"/>
      <c r="I32" s="219"/>
      <c r="J32" s="219"/>
      <c r="K32" s="219" t="s">
        <v>1512</v>
      </c>
      <c r="L32" s="80"/>
      <c r="M32" s="80"/>
      <c r="N32" s="181"/>
      <c r="O32" s="80"/>
      <c r="P32" s="80" t="s">
        <v>120</v>
      </c>
      <c r="Q32" s="134" t="s">
        <v>1581</v>
      </c>
      <c r="R32" s="75" t="s">
        <v>1580</v>
      </c>
      <c r="S32" s="81" t="str">
        <f t="shared" si="0"/>
        <v>!</v>
      </c>
      <c r="T32" s="72" t="str">
        <f t="shared" si="1"/>
        <v/>
      </c>
      <c r="U32" s="72" t="str">
        <f t="shared" si="2"/>
        <v/>
      </c>
    </row>
    <row r="33" spans="1:21" ht="40.5" hidden="1">
      <c r="A33" s="74">
        <f t="shared" si="3"/>
        <v>13</v>
      </c>
      <c r="B33" s="219" t="s">
        <v>625</v>
      </c>
      <c r="C33" s="219">
        <v>13</v>
      </c>
      <c r="D33" s="219"/>
      <c r="E33" s="83" t="s">
        <v>631</v>
      </c>
      <c r="F33" s="83"/>
      <c r="G33" s="83" t="s">
        <v>476</v>
      </c>
      <c r="H33" s="219"/>
      <c r="I33" s="219"/>
      <c r="J33" s="219"/>
      <c r="K33" s="219" t="s">
        <v>1513</v>
      </c>
      <c r="L33" s="80"/>
      <c r="M33" s="80"/>
      <c r="N33" s="181"/>
      <c r="O33" s="80"/>
      <c r="P33" s="80" t="s">
        <v>120</v>
      </c>
      <c r="Q33" s="134" t="s">
        <v>1581</v>
      </c>
      <c r="R33" s="75" t="s">
        <v>1580</v>
      </c>
      <c r="S33" s="81" t="str">
        <f t="shared" si="0"/>
        <v>!</v>
      </c>
      <c r="T33" s="72" t="str">
        <f t="shared" si="1"/>
        <v/>
      </c>
      <c r="U33" s="72" t="str">
        <f t="shared" si="2"/>
        <v/>
      </c>
    </row>
    <row r="34" spans="1:21" ht="67.5" hidden="1">
      <c r="A34" s="74">
        <f t="shared" si="3"/>
        <v>14</v>
      </c>
      <c r="B34" s="219" t="s">
        <v>625</v>
      </c>
      <c r="C34" s="219">
        <v>14</v>
      </c>
      <c r="D34" s="219"/>
      <c r="E34" s="83" t="s">
        <v>627</v>
      </c>
      <c r="F34" s="83"/>
      <c r="G34" s="83">
        <v>7</v>
      </c>
      <c r="H34" s="219"/>
      <c r="I34" s="219"/>
      <c r="J34" s="219"/>
      <c r="K34" s="219" t="s">
        <v>1514</v>
      </c>
      <c r="L34" s="80"/>
      <c r="M34" s="80" t="s">
        <v>1739</v>
      </c>
      <c r="N34" s="181"/>
      <c r="O34" s="80"/>
      <c r="P34" s="80" t="s">
        <v>120</v>
      </c>
      <c r="Q34" s="134" t="s">
        <v>1581</v>
      </c>
      <c r="R34" s="75" t="s">
        <v>1580</v>
      </c>
      <c r="S34" s="81" t="str">
        <f t="shared" si="0"/>
        <v>!</v>
      </c>
      <c r="T34" s="72" t="str">
        <f t="shared" si="1"/>
        <v/>
      </c>
      <c r="U34" s="72" t="str">
        <f t="shared" si="2"/>
        <v/>
      </c>
    </row>
    <row r="35" spans="1:21" ht="324" hidden="1">
      <c r="A35" s="74">
        <f t="shared" si="3"/>
        <v>15</v>
      </c>
      <c r="B35" s="219" t="s">
        <v>625</v>
      </c>
      <c r="C35" s="219">
        <v>15</v>
      </c>
      <c r="D35" s="219"/>
      <c r="E35" s="83" t="s">
        <v>631</v>
      </c>
      <c r="F35" s="83"/>
      <c r="G35" s="83">
        <v>7</v>
      </c>
      <c r="H35" s="219"/>
      <c r="I35" s="219"/>
      <c r="J35" s="219"/>
      <c r="K35" s="219" t="s">
        <v>1515</v>
      </c>
      <c r="L35" s="80"/>
      <c r="M35" s="80"/>
      <c r="N35" s="181"/>
      <c r="O35" s="80"/>
      <c r="P35" s="80" t="s">
        <v>120</v>
      </c>
      <c r="Q35" s="134" t="s">
        <v>1581</v>
      </c>
      <c r="R35" s="75" t="s">
        <v>1580</v>
      </c>
      <c r="S35" s="81" t="str">
        <f t="shared" si="0"/>
        <v>!</v>
      </c>
      <c r="T35" s="72" t="str">
        <f t="shared" si="1"/>
        <v/>
      </c>
      <c r="U35" s="72" t="str">
        <f t="shared" si="2"/>
        <v/>
      </c>
    </row>
    <row r="36" spans="1:21" ht="270" hidden="1">
      <c r="A36" s="74">
        <f t="shared" si="3"/>
        <v>16</v>
      </c>
      <c r="B36" s="219" t="s">
        <v>625</v>
      </c>
      <c r="C36" s="219">
        <v>16</v>
      </c>
      <c r="D36" s="219"/>
      <c r="E36" s="83" t="s">
        <v>627</v>
      </c>
      <c r="F36" s="83"/>
      <c r="G36" s="83" t="s">
        <v>476</v>
      </c>
      <c r="H36" s="219"/>
      <c r="I36" s="219"/>
      <c r="J36" s="219"/>
      <c r="K36" s="219" t="s">
        <v>636</v>
      </c>
      <c r="L36" s="80"/>
      <c r="M36" s="80" t="s">
        <v>1739</v>
      </c>
      <c r="N36" s="181"/>
      <c r="O36" s="80"/>
      <c r="P36" s="80" t="s">
        <v>120</v>
      </c>
      <c r="Q36" s="134" t="s">
        <v>1581</v>
      </c>
      <c r="R36" s="75" t="s">
        <v>1580</v>
      </c>
      <c r="S36" s="81" t="str">
        <f t="shared" si="0"/>
        <v>!</v>
      </c>
      <c r="T36" s="72" t="str">
        <f t="shared" si="1"/>
        <v/>
      </c>
      <c r="U36" s="72" t="str">
        <f t="shared" si="2"/>
        <v/>
      </c>
    </row>
    <row r="37" spans="1:21" ht="256.5" hidden="1">
      <c r="A37" s="74">
        <f t="shared" si="3"/>
        <v>17</v>
      </c>
      <c r="B37" s="219" t="s">
        <v>625</v>
      </c>
      <c r="C37" s="219">
        <v>17</v>
      </c>
      <c r="D37" s="219"/>
      <c r="E37" s="83" t="s">
        <v>638</v>
      </c>
      <c r="F37" s="83"/>
      <c r="G37" s="83">
        <v>6</v>
      </c>
      <c r="H37" s="219"/>
      <c r="I37" s="219"/>
      <c r="J37" s="219"/>
      <c r="K37" s="219" t="s">
        <v>637</v>
      </c>
      <c r="L37" s="80"/>
      <c r="M37" s="80"/>
      <c r="N37" s="181" t="s">
        <v>639</v>
      </c>
      <c r="O37" s="80"/>
      <c r="P37" s="80" t="s">
        <v>120</v>
      </c>
      <c r="Q37" s="134" t="s">
        <v>1647</v>
      </c>
      <c r="R37" s="75" t="s">
        <v>1580</v>
      </c>
      <c r="S37" s="81" t="str">
        <f t="shared" si="0"/>
        <v>!</v>
      </c>
      <c r="T37" s="72" t="str">
        <f t="shared" si="1"/>
        <v/>
      </c>
      <c r="U37" s="72" t="str">
        <f t="shared" si="2"/>
        <v/>
      </c>
    </row>
    <row r="38" spans="1:21" ht="216" hidden="1">
      <c r="A38" s="74">
        <f t="shared" si="3"/>
        <v>18</v>
      </c>
      <c r="B38" s="219" t="s">
        <v>625</v>
      </c>
      <c r="C38" s="219">
        <v>18</v>
      </c>
      <c r="D38" s="219"/>
      <c r="E38" s="83" t="s">
        <v>638</v>
      </c>
      <c r="F38" s="83"/>
      <c r="G38" s="83">
        <v>6</v>
      </c>
      <c r="H38" s="219"/>
      <c r="I38" s="219"/>
      <c r="J38" s="219"/>
      <c r="K38" s="219" t="s">
        <v>1516</v>
      </c>
      <c r="L38" s="80"/>
      <c r="M38" s="80" t="s">
        <v>1739</v>
      </c>
      <c r="N38" s="181"/>
      <c r="O38" s="80"/>
      <c r="P38" s="80" t="s">
        <v>120</v>
      </c>
      <c r="Q38" s="134" t="s">
        <v>1581</v>
      </c>
      <c r="R38" s="75" t="s">
        <v>1580</v>
      </c>
      <c r="S38" s="81" t="str">
        <f t="shared" si="0"/>
        <v>!</v>
      </c>
      <c r="T38" s="72" t="str">
        <f t="shared" si="1"/>
        <v/>
      </c>
      <c r="U38" s="72" t="str">
        <f t="shared" si="2"/>
        <v/>
      </c>
    </row>
    <row r="39" spans="1:21" ht="243" hidden="1">
      <c r="A39" s="74">
        <f t="shared" si="3"/>
        <v>19</v>
      </c>
      <c r="B39" s="219" t="s">
        <v>625</v>
      </c>
      <c r="C39" s="219">
        <v>19</v>
      </c>
      <c r="D39" s="219"/>
      <c r="E39" s="83" t="s">
        <v>638</v>
      </c>
      <c r="F39" s="83"/>
      <c r="G39" s="83">
        <v>6</v>
      </c>
      <c r="H39" s="219"/>
      <c r="I39" s="219"/>
      <c r="J39" s="219"/>
      <c r="K39" s="219" t="s">
        <v>1517</v>
      </c>
      <c r="L39" s="80"/>
      <c r="M39" s="80" t="s">
        <v>1739</v>
      </c>
      <c r="N39" s="181"/>
      <c r="O39" s="80"/>
      <c r="P39" s="80" t="s">
        <v>120</v>
      </c>
      <c r="Q39" s="134" t="s">
        <v>1581</v>
      </c>
      <c r="R39" s="75" t="s">
        <v>1580</v>
      </c>
      <c r="S39" s="81" t="str">
        <f t="shared" si="0"/>
        <v>!</v>
      </c>
      <c r="T39" s="72" t="str">
        <f t="shared" si="1"/>
        <v/>
      </c>
      <c r="U39" s="72" t="str">
        <f t="shared" si="2"/>
        <v/>
      </c>
    </row>
    <row r="40" spans="1:21" ht="121.5" hidden="1">
      <c r="A40" s="74">
        <f t="shared" si="3"/>
        <v>20</v>
      </c>
      <c r="B40" s="219" t="s">
        <v>625</v>
      </c>
      <c r="C40" s="219">
        <v>19</v>
      </c>
      <c r="D40" s="219"/>
      <c r="E40" s="83" t="s">
        <v>638</v>
      </c>
      <c r="F40" s="83"/>
      <c r="G40" s="83">
        <v>6</v>
      </c>
      <c r="H40" s="219"/>
      <c r="I40" s="219"/>
      <c r="J40" s="219"/>
      <c r="K40" s="219" t="s">
        <v>1518</v>
      </c>
      <c r="L40" s="80"/>
      <c r="M40" s="80" t="s">
        <v>1739</v>
      </c>
      <c r="N40" s="181"/>
      <c r="O40" s="80"/>
      <c r="P40" s="80" t="s">
        <v>120</v>
      </c>
      <c r="Q40" s="134" t="s">
        <v>1581</v>
      </c>
      <c r="R40" s="75" t="s">
        <v>1580</v>
      </c>
      <c r="S40" s="81" t="str">
        <f t="shared" si="0"/>
        <v>!</v>
      </c>
      <c r="T40" s="72" t="str">
        <f t="shared" si="1"/>
        <v/>
      </c>
      <c r="U40" s="72" t="str">
        <f t="shared" si="2"/>
        <v/>
      </c>
    </row>
    <row r="41" spans="1:21" ht="229.5" hidden="1">
      <c r="A41" s="74">
        <f t="shared" si="3"/>
        <v>21</v>
      </c>
      <c r="B41" s="219" t="s">
        <v>625</v>
      </c>
      <c r="C41" s="219">
        <v>20</v>
      </c>
      <c r="D41" s="219"/>
      <c r="E41" s="83" t="s">
        <v>638</v>
      </c>
      <c r="F41" s="83"/>
      <c r="G41" s="83">
        <v>6</v>
      </c>
      <c r="H41" s="219"/>
      <c r="I41" s="219"/>
      <c r="J41" s="219"/>
      <c r="K41" s="219" t="s">
        <v>1519</v>
      </c>
      <c r="L41" s="80"/>
      <c r="M41" s="80"/>
      <c r="N41" s="181" t="s">
        <v>1735</v>
      </c>
      <c r="O41" s="80"/>
      <c r="P41" s="80" t="s">
        <v>120</v>
      </c>
      <c r="Q41" s="134" t="s">
        <v>1647</v>
      </c>
      <c r="R41" s="75" t="s">
        <v>1580</v>
      </c>
      <c r="S41" s="81" t="str">
        <f t="shared" si="0"/>
        <v>!</v>
      </c>
      <c r="T41" s="72" t="str">
        <f t="shared" si="1"/>
        <v/>
      </c>
      <c r="U41" s="72" t="str">
        <f t="shared" si="2"/>
        <v/>
      </c>
    </row>
    <row r="42" spans="1:21" ht="81" hidden="1">
      <c r="A42" s="74">
        <f t="shared" si="3"/>
        <v>22</v>
      </c>
      <c r="B42" s="219" t="s">
        <v>625</v>
      </c>
      <c r="C42" s="219">
        <v>20</v>
      </c>
      <c r="D42" s="219"/>
      <c r="E42" s="83" t="s">
        <v>638</v>
      </c>
      <c r="F42" s="83"/>
      <c r="G42" s="83">
        <v>6</v>
      </c>
      <c r="H42" s="219"/>
      <c r="I42" s="219"/>
      <c r="J42" s="219"/>
      <c r="K42" s="219" t="s">
        <v>1520</v>
      </c>
      <c r="L42" s="80"/>
      <c r="M42" s="80"/>
      <c r="N42" s="181" t="s">
        <v>1735</v>
      </c>
      <c r="O42" s="80"/>
      <c r="P42" s="80" t="s">
        <v>120</v>
      </c>
      <c r="Q42" s="134" t="s">
        <v>1647</v>
      </c>
      <c r="R42" s="75" t="s">
        <v>1580</v>
      </c>
      <c r="S42" s="81" t="str">
        <f t="shared" si="0"/>
        <v>!</v>
      </c>
      <c r="T42" s="72" t="str">
        <f t="shared" si="1"/>
        <v/>
      </c>
      <c r="U42" s="72" t="str">
        <f t="shared" si="2"/>
        <v/>
      </c>
    </row>
    <row r="43" spans="1:21" ht="256.5" hidden="1">
      <c r="A43" s="74">
        <f t="shared" si="3"/>
        <v>23</v>
      </c>
      <c r="B43" s="219" t="s">
        <v>625</v>
      </c>
      <c r="C43" s="219">
        <v>21</v>
      </c>
      <c r="D43" s="219"/>
      <c r="E43" s="83" t="s">
        <v>638</v>
      </c>
      <c r="F43" s="83"/>
      <c r="G43" s="83">
        <v>6</v>
      </c>
      <c r="H43" s="219"/>
      <c r="I43" s="219"/>
      <c r="J43" s="219"/>
      <c r="K43" s="219" t="s">
        <v>1521</v>
      </c>
      <c r="L43" s="80"/>
      <c r="M43" s="80" t="s">
        <v>1739</v>
      </c>
      <c r="N43" s="181"/>
      <c r="O43" s="80"/>
      <c r="P43" s="80" t="s">
        <v>120</v>
      </c>
      <c r="Q43" s="134" t="s">
        <v>1581</v>
      </c>
      <c r="R43" s="75" t="s">
        <v>1580</v>
      </c>
      <c r="S43" s="81" t="str">
        <f t="shared" si="0"/>
        <v>!</v>
      </c>
      <c r="T43" s="72" t="str">
        <f t="shared" si="1"/>
        <v/>
      </c>
      <c r="U43" s="72" t="str">
        <f t="shared" si="2"/>
        <v/>
      </c>
    </row>
    <row r="44" spans="1:21" ht="405" hidden="1">
      <c r="A44" s="74">
        <f t="shared" si="3"/>
        <v>24</v>
      </c>
      <c r="B44" s="219" t="s">
        <v>625</v>
      </c>
      <c r="C44" s="219">
        <v>21</v>
      </c>
      <c r="D44" s="219"/>
      <c r="E44" s="83" t="s">
        <v>638</v>
      </c>
      <c r="F44" s="83"/>
      <c r="G44" s="83">
        <v>6</v>
      </c>
      <c r="H44" s="219"/>
      <c r="I44" s="219"/>
      <c r="J44" s="219"/>
      <c r="K44" s="219" t="s">
        <v>641</v>
      </c>
      <c r="L44" s="80"/>
      <c r="M44" s="80"/>
      <c r="N44" s="181" t="s">
        <v>1736</v>
      </c>
      <c r="O44" s="80"/>
      <c r="P44" s="80" t="s">
        <v>120</v>
      </c>
      <c r="Q44" s="134" t="s">
        <v>1647</v>
      </c>
      <c r="R44" s="75" t="s">
        <v>1580</v>
      </c>
      <c r="S44" s="81" t="str">
        <f t="shared" si="0"/>
        <v>!</v>
      </c>
      <c r="T44" s="72" t="str">
        <f t="shared" si="1"/>
        <v/>
      </c>
      <c r="U44" s="72" t="str">
        <f t="shared" si="2"/>
        <v/>
      </c>
    </row>
    <row r="45" spans="1:21" ht="283.5" hidden="1">
      <c r="A45" s="74">
        <f t="shared" si="3"/>
        <v>25</v>
      </c>
      <c r="B45" s="219" t="s">
        <v>625</v>
      </c>
      <c r="C45" s="219">
        <v>22</v>
      </c>
      <c r="D45" s="219"/>
      <c r="E45" s="83" t="s">
        <v>638</v>
      </c>
      <c r="F45" s="83"/>
      <c r="G45" s="83">
        <v>6</v>
      </c>
      <c r="H45" s="219"/>
      <c r="I45" s="219"/>
      <c r="J45" s="219"/>
      <c r="K45" s="219" t="s">
        <v>642</v>
      </c>
      <c r="L45" s="80"/>
      <c r="M45" s="80"/>
      <c r="N45" s="181" t="s">
        <v>643</v>
      </c>
      <c r="O45" s="80"/>
      <c r="P45" s="80" t="s">
        <v>120</v>
      </c>
      <c r="Q45" s="134" t="s">
        <v>1647</v>
      </c>
      <c r="R45" s="75" t="s">
        <v>1580</v>
      </c>
      <c r="S45" s="81" t="str">
        <f t="shared" si="0"/>
        <v>!</v>
      </c>
      <c r="T45" s="72" t="str">
        <f t="shared" si="1"/>
        <v/>
      </c>
      <c r="U45" s="72" t="str">
        <f t="shared" si="2"/>
        <v/>
      </c>
    </row>
    <row r="46" spans="1:21" ht="40.5" hidden="1">
      <c r="A46" s="74">
        <f t="shared" si="3"/>
        <v>26</v>
      </c>
      <c r="B46" s="219" t="s">
        <v>644</v>
      </c>
      <c r="C46" s="219">
        <v>1</v>
      </c>
      <c r="D46" s="219"/>
      <c r="E46" s="83" t="s">
        <v>638</v>
      </c>
      <c r="F46" s="83"/>
      <c r="G46" s="83" t="s">
        <v>476</v>
      </c>
      <c r="H46" s="219"/>
      <c r="I46" s="219"/>
      <c r="J46" s="219"/>
      <c r="K46" s="219" t="s">
        <v>1682</v>
      </c>
      <c r="L46" s="80"/>
      <c r="M46" s="80" t="s">
        <v>1739</v>
      </c>
      <c r="N46" s="181"/>
      <c r="O46" s="80"/>
      <c r="P46" s="80" t="s">
        <v>120</v>
      </c>
      <c r="Q46" s="134" t="s">
        <v>1581</v>
      </c>
      <c r="R46" s="75" t="s">
        <v>1580</v>
      </c>
      <c r="S46" s="81" t="str">
        <f t="shared" si="0"/>
        <v>!</v>
      </c>
      <c r="T46" s="72" t="str">
        <f t="shared" si="1"/>
        <v/>
      </c>
      <c r="U46" s="72" t="str">
        <f t="shared" si="2"/>
        <v/>
      </c>
    </row>
    <row r="47" spans="1:21" ht="40.5" hidden="1">
      <c r="A47" s="74">
        <f t="shared" si="3"/>
        <v>27</v>
      </c>
      <c r="B47" s="219" t="s">
        <v>625</v>
      </c>
      <c r="C47" s="219">
        <v>23</v>
      </c>
      <c r="D47" s="219"/>
      <c r="E47" s="83" t="s">
        <v>638</v>
      </c>
      <c r="F47" s="83"/>
      <c r="G47" s="83">
        <v>7</v>
      </c>
      <c r="H47" s="219"/>
      <c r="I47" s="219"/>
      <c r="J47" s="219"/>
      <c r="K47" s="219" t="s">
        <v>646</v>
      </c>
      <c r="L47" s="80"/>
      <c r="M47" s="80"/>
      <c r="N47" s="181" t="s">
        <v>645</v>
      </c>
      <c r="O47" s="80"/>
      <c r="P47" s="80" t="s">
        <v>120</v>
      </c>
      <c r="Q47" s="134" t="s">
        <v>1647</v>
      </c>
      <c r="R47" s="75" t="s">
        <v>1580</v>
      </c>
      <c r="S47" s="81" t="str">
        <f t="shared" si="0"/>
        <v>!</v>
      </c>
      <c r="T47" s="72" t="str">
        <f t="shared" si="1"/>
        <v/>
      </c>
      <c r="U47" s="72" t="str">
        <f t="shared" si="2"/>
        <v/>
      </c>
    </row>
    <row r="48" spans="1:21" ht="81" hidden="1">
      <c r="A48" s="74">
        <f t="shared" si="3"/>
        <v>28</v>
      </c>
      <c r="B48" s="219" t="s">
        <v>625</v>
      </c>
      <c r="C48" s="219">
        <v>24</v>
      </c>
      <c r="D48" s="219"/>
      <c r="E48" s="83" t="s">
        <v>631</v>
      </c>
      <c r="F48" s="83"/>
      <c r="G48" s="83">
        <v>5</v>
      </c>
      <c r="H48" s="219"/>
      <c r="I48" s="219"/>
      <c r="J48" s="219"/>
      <c r="K48" s="219" t="s">
        <v>647</v>
      </c>
      <c r="L48" s="80"/>
      <c r="M48" s="80"/>
      <c r="N48" s="181"/>
      <c r="O48" s="80"/>
      <c r="P48" s="80" t="s">
        <v>120</v>
      </c>
      <c r="Q48" s="134" t="s">
        <v>1581</v>
      </c>
      <c r="R48" s="75" t="s">
        <v>1580</v>
      </c>
      <c r="S48" s="81" t="str">
        <f t="shared" si="0"/>
        <v>!</v>
      </c>
      <c r="T48" s="72" t="str">
        <f t="shared" si="1"/>
        <v/>
      </c>
      <c r="U48" s="72" t="str">
        <f t="shared" si="2"/>
        <v/>
      </c>
    </row>
    <row r="49" spans="1:21" ht="121.5" hidden="1">
      <c r="A49" s="74">
        <f t="shared" si="3"/>
        <v>29</v>
      </c>
      <c r="B49" s="219" t="s">
        <v>625</v>
      </c>
      <c r="C49" s="219">
        <v>25</v>
      </c>
      <c r="D49" s="219"/>
      <c r="E49" s="83" t="s">
        <v>650</v>
      </c>
      <c r="F49" s="83" t="s">
        <v>1534</v>
      </c>
      <c r="G49" s="219">
        <v>6</v>
      </c>
      <c r="H49" s="219"/>
      <c r="I49" s="219"/>
      <c r="J49" s="219"/>
      <c r="K49" s="219" t="s">
        <v>649</v>
      </c>
      <c r="L49" s="80"/>
      <c r="M49" s="80" t="s">
        <v>644</v>
      </c>
      <c r="N49" s="181" t="s">
        <v>1684</v>
      </c>
      <c r="O49" s="80"/>
      <c r="P49" s="80" t="s">
        <v>120</v>
      </c>
      <c r="Q49" s="134" t="s">
        <v>1647</v>
      </c>
      <c r="R49" s="75" t="s">
        <v>1580</v>
      </c>
      <c r="S49" s="81" t="str">
        <f t="shared" si="0"/>
        <v>!</v>
      </c>
      <c r="T49" s="72" t="str">
        <f t="shared" si="1"/>
        <v/>
      </c>
      <c r="U49" s="72" t="str">
        <f t="shared" si="2"/>
        <v/>
      </c>
    </row>
    <row r="50" spans="1:21" ht="135" hidden="1">
      <c r="A50" s="74">
        <f t="shared" si="3"/>
        <v>30</v>
      </c>
      <c r="B50" s="219" t="s">
        <v>625</v>
      </c>
      <c r="C50" s="219">
        <v>26</v>
      </c>
      <c r="D50" s="219"/>
      <c r="E50" s="83" t="s">
        <v>650</v>
      </c>
      <c r="F50" s="83" t="s">
        <v>1534</v>
      </c>
      <c r="G50" s="219" t="s">
        <v>476</v>
      </c>
      <c r="H50" s="219"/>
      <c r="I50" s="219"/>
      <c r="J50" s="219"/>
      <c r="K50" s="219" t="s">
        <v>1522</v>
      </c>
      <c r="L50" s="80"/>
      <c r="M50" s="80" t="s">
        <v>644</v>
      </c>
      <c r="N50" s="181" t="s">
        <v>1683</v>
      </c>
      <c r="O50" s="80"/>
      <c r="P50" s="80" t="s">
        <v>120</v>
      </c>
      <c r="Q50" s="134" t="s">
        <v>1647</v>
      </c>
      <c r="R50" s="75" t="s">
        <v>1580</v>
      </c>
      <c r="S50" s="81" t="str">
        <f t="shared" si="0"/>
        <v>!</v>
      </c>
      <c r="T50" s="72" t="str">
        <f t="shared" si="1"/>
        <v/>
      </c>
      <c r="U50" s="72" t="str">
        <f t="shared" si="2"/>
        <v/>
      </c>
    </row>
    <row r="51" spans="1:21" ht="175.5" hidden="1">
      <c r="A51" s="74">
        <f t="shared" si="3"/>
        <v>31</v>
      </c>
      <c r="B51" s="219" t="s">
        <v>625</v>
      </c>
      <c r="C51" s="219">
        <v>27</v>
      </c>
      <c r="D51" s="219"/>
      <c r="E51" s="83" t="s">
        <v>638</v>
      </c>
      <c r="F51" s="83"/>
      <c r="G51" s="83">
        <v>7</v>
      </c>
      <c r="H51" s="219"/>
      <c r="I51" s="219"/>
      <c r="J51" s="219"/>
      <c r="K51" s="219" t="s">
        <v>1523</v>
      </c>
      <c r="L51" s="80"/>
      <c r="M51" s="80" t="s">
        <v>1739</v>
      </c>
      <c r="N51" s="181" t="s">
        <v>651</v>
      </c>
      <c r="O51" s="80"/>
      <c r="P51" s="80" t="s">
        <v>120</v>
      </c>
      <c r="Q51" s="134" t="s">
        <v>1581</v>
      </c>
      <c r="R51" s="75" t="s">
        <v>1580</v>
      </c>
      <c r="S51" s="81" t="str">
        <f t="shared" si="0"/>
        <v>!</v>
      </c>
      <c r="T51" s="72" t="str">
        <f t="shared" si="1"/>
        <v/>
      </c>
      <c r="U51" s="72" t="str">
        <f t="shared" si="2"/>
        <v/>
      </c>
    </row>
    <row r="52" spans="1:21" ht="108" hidden="1">
      <c r="A52" s="74">
        <f t="shared" si="3"/>
        <v>32</v>
      </c>
      <c r="B52" s="219" t="s">
        <v>625</v>
      </c>
      <c r="C52" s="219">
        <v>28</v>
      </c>
      <c r="D52" s="219"/>
      <c r="E52" s="83" t="s">
        <v>638</v>
      </c>
      <c r="F52" s="83"/>
      <c r="G52" s="83">
        <v>7</v>
      </c>
      <c r="H52" s="219"/>
      <c r="I52" s="219"/>
      <c r="J52" s="219"/>
      <c r="K52" s="219" t="s">
        <v>1524</v>
      </c>
      <c r="L52" s="80"/>
      <c r="M52" s="80"/>
      <c r="N52" s="181" t="s">
        <v>1737</v>
      </c>
      <c r="O52" s="80"/>
      <c r="P52" s="80" t="s">
        <v>120</v>
      </c>
      <c r="Q52" s="134" t="s">
        <v>1647</v>
      </c>
      <c r="R52" s="75" t="s">
        <v>1580</v>
      </c>
      <c r="S52" s="81" t="str">
        <f t="shared" si="0"/>
        <v>!</v>
      </c>
      <c r="T52" s="72" t="str">
        <f t="shared" si="1"/>
        <v/>
      </c>
      <c r="U52" s="72" t="str">
        <f t="shared" si="2"/>
        <v/>
      </c>
    </row>
    <row r="53" spans="1:21" ht="121.5" hidden="1">
      <c r="A53" s="74">
        <f t="shared" si="3"/>
        <v>33</v>
      </c>
      <c r="B53" s="219" t="s">
        <v>625</v>
      </c>
      <c r="C53" s="219">
        <v>29</v>
      </c>
      <c r="D53" s="219"/>
      <c r="E53" s="83" t="s">
        <v>638</v>
      </c>
      <c r="F53" s="83"/>
      <c r="G53" s="83">
        <v>7</v>
      </c>
      <c r="H53" s="219"/>
      <c r="I53" s="219"/>
      <c r="J53" s="219"/>
      <c r="K53" s="219" t="s">
        <v>652</v>
      </c>
      <c r="L53" s="80"/>
      <c r="M53" s="80"/>
      <c r="N53" s="181" t="s">
        <v>653</v>
      </c>
      <c r="O53" s="80"/>
      <c r="P53" s="80" t="s">
        <v>120</v>
      </c>
      <c r="Q53" s="134" t="s">
        <v>1647</v>
      </c>
      <c r="R53" s="75" t="s">
        <v>1580</v>
      </c>
      <c r="S53" s="81" t="str">
        <f t="shared" si="0"/>
        <v>!</v>
      </c>
      <c r="T53" s="72" t="str">
        <f t="shared" si="1"/>
        <v/>
      </c>
      <c r="U53" s="72" t="str">
        <f t="shared" si="2"/>
        <v/>
      </c>
    </row>
    <row r="54" spans="1:21" ht="162" hidden="1">
      <c r="A54" s="74">
        <f t="shared" ref="A54:A85" si="4">A53+1</f>
        <v>34</v>
      </c>
      <c r="B54" s="219" t="s">
        <v>625</v>
      </c>
      <c r="C54" s="219">
        <v>30</v>
      </c>
      <c r="D54" s="219"/>
      <c r="E54" s="83" t="s">
        <v>648</v>
      </c>
      <c r="F54" s="83"/>
      <c r="G54" s="83">
        <v>7</v>
      </c>
      <c r="H54" s="219"/>
      <c r="I54" s="219"/>
      <c r="J54" s="219"/>
      <c r="K54" s="219" t="s">
        <v>654</v>
      </c>
      <c r="L54" s="80"/>
      <c r="M54" s="80" t="s">
        <v>1681</v>
      </c>
      <c r="N54" s="181"/>
      <c r="O54" s="80"/>
      <c r="P54" s="80" t="s">
        <v>120</v>
      </c>
      <c r="Q54" s="134" t="s">
        <v>1581</v>
      </c>
      <c r="R54" s="75" t="s">
        <v>1580</v>
      </c>
      <c r="S54" s="81" t="str">
        <f t="shared" si="0"/>
        <v>!</v>
      </c>
      <c r="T54" s="72" t="str">
        <f t="shared" si="1"/>
        <v/>
      </c>
      <c r="U54" s="72" t="str">
        <f t="shared" si="2"/>
        <v/>
      </c>
    </row>
    <row r="55" spans="1:21" ht="283.5" hidden="1">
      <c r="A55" s="74">
        <f t="shared" si="4"/>
        <v>35</v>
      </c>
      <c r="B55" s="219" t="s">
        <v>625</v>
      </c>
      <c r="C55" s="219">
        <v>31</v>
      </c>
      <c r="D55" s="219"/>
      <c r="E55" s="83" t="s">
        <v>631</v>
      </c>
      <c r="F55" s="83"/>
      <c r="G55" s="83">
        <v>7</v>
      </c>
      <c r="H55" s="219"/>
      <c r="I55" s="219"/>
      <c r="J55" s="219"/>
      <c r="K55" s="219" t="s">
        <v>655</v>
      </c>
      <c r="L55" s="80"/>
      <c r="M55" s="80"/>
      <c r="N55" s="181" t="s">
        <v>656</v>
      </c>
      <c r="O55" s="80"/>
      <c r="P55" s="80" t="s">
        <v>120</v>
      </c>
      <c r="Q55" s="134" t="s">
        <v>1581</v>
      </c>
      <c r="R55" s="75" t="s">
        <v>1580</v>
      </c>
      <c r="S55" s="81" t="str">
        <f t="shared" si="0"/>
        <v>!</v>
      </c>
      <c r="T55" s="72" t="str">
        <f t="shared" si="1"/>
        <v/>
      </c>
      <c r="U55" s="72" t="str">
        <f t="shared" si="2"/>
        <v/>
      </c>
    </row>
    <row r="56" spans="1:21" ht="147" hidden="1" customHeight="1">
      <c r="A56" s="74">
        <f t="shared" si="4"/>
        <v>36</v>
      </c>
      <c r="B56" s="219" t="s">
        <v>625</v>
      </c>
      <c r="C56" s="219">
        <v>32</v>
      </c>
      <c r="D56" s="219"/>
      <c r="E56" s="83" t="s">
        <v>631</v>
      </c>
      <c r="F56" s="83"/>
      <c r="G56" s="83">
        <v>7</v>
      </c>
      <c r="H56" s="219"/>
      <c r="I56" s="219"/>
      <c r="J56" s="219"/>
      <c r="K56" s="219" t="s">
        <v>1525</v>
      </c>
      <c r="L56" s="80"/>
      <c r="M56" s="80"/>
      <c r="N56" s="181"/>
      <c r="O56" s="80"/>
      <c r="P56" s="80" t="s">
        <v>120</v>
      </c>
      <c r="Q56" s="134" t="s">
        <v>1581</v>
      </c>
      <c r="R56" s="75" t="s">
        <v>1580</v>
      </c>
      <c r="S56" s="81" t="str">
        <f t="shared" si="0"/>
        <v>!</v>
      </c>
      <c r="T56" s="72" t="str">
        <f t="shared" si="1"/>
        <v/>
      </c>
      <c r="U56" s="72" t="str">
        <f t="shared" si="2"/>
        <v/>
      </c>
    </row>
    <row r="57" spans="1:21" ht="94.5" hidden="1">
      <c r="A57" s="74">
        <f t="shared" si="4"/>
        <v>37</v>
      </c>
      <c r="B57" s="219" t="s">
        <v>625</v>
      </c>
      <c r="C57" s="219">
        <v>33</v>
      </c>
      <c r="D57" s="219"/>
      <c r="E57" s="83" t="s">
        <v>631</v>
      </c>
      <c r="F57" s="83"/>
      <c r="G57" s="83">
        <v>7</v>
      </c>
      <c r="H57" s="219"/>
      <c r="I57" s="219"/>
      <c r="J57" s="219"/>
      <c r="K57" s="219" t="s">
        <v>1526</v>
      </c>
      <c r="L57" s="80"/>
      <c r="M57" s="80"/>
      <c r="N57" s="181"/>
      <c r="O57" s="80"/>
      <c r="P57" s="80" t="s">
        <v>120</v>
      </c>
      <c r="Q57" s="134" t="s">
        <v>1581</v>
      </c>
      <c r="R57" s="75" t="s">
        <v>1580</v>
      </c>
      <c r="S57" s="81" t="str">
        <f t="shared" si="0"/>
        <v>!</v>
      </c>
      <c r="T57" s="72" t="str">
        <f t="shared" si="1"/>
        <v/>
      </c>
      <c r="U57" s="72" t="str">
        <f t="shared" si="2"/>
        <v/>
      </c>
    </row>
    <row r="58" spans="1:21" ht="148.5" hidden="1">
      <c r="A58" s="74">
        <f t="shared" si="4"/>
        <v>38</v>
      </c>
      <c r="B58" s="219" t="s">
        <v>625</v>
      </c>
      <c r="C58" s="219">
        <v>34</v>
      </c>
      <c r="D58" s="219"/>
      <c r="E58" s="83" t="s">
        <v>631</v>
      </c>
      <c r="F58" s="83"/>
      <c r="G58" s="83">
        <v>7</v>
      </c>
      <c r="H58" s="219"/>
      <c r="I58" s="219"/>
      <c r="J58" s="219"/>
      <c r="K58" s="219" t="s">
        <v>657</v>
      </c>
      <c r="L58" s="80"/>
      <c r="M58" s="80"/>
      <c r="N58" s="181"/>
      <c r="O58" s="80"/>
      <c r="P58" s="80" t="s">
        <v>120</v>
      </c>
      <c r="Q58" s="134" t="s">
        <v>1581</v>
      </c>
      <c r="R58" s="75" t="s">
        <v>1580</v>
      </c>
      <c r="S58" s="81" t="str">
        <f t="shared" si="0"/>
        <v>!</v>
      </c>
      <c r="T58" s="72" t="str">
        <f t="shared" si="1"/>
        <v/>
      </c>
      <c r="U58" s="72" t="str">
        <f t="shared" si="2"/>
        <v/>
      </c>
    </row>
    <row r="59" spans="1:21" ht="135" hidden="1">
      <c r="A59" s="74">
        <f t="shared" si="4"/>
        <v>39</v>
      </c>
      <c r="B59" s="219" t="s">
        <v>625</v>
      </c>
      <c r="C59" s="219">
        <v>35</v>
      </c>
      <c r="D59" s="219"/>
      <c r="E59" s="83" t="s">
        <v>631</v>
      </c>
      <c r="F59" s="83"/>
      <c r="G59" s="83">
        <v>7</v>
      </c>
      <c r="H59" s="219"/>
      <c r="I59" s="219"/>
      <c r="J59" s="219"/>
      <c r="K59" s="219" t="s">
        <v>658</v>
      </c>
      <c r="L59" s="80"/>
      <c r="M59" s="80"/>
      <c r="N59" s="181"/>
      <c r="O59" s="80"/>
      <c r="P59" s="80" t="s">
        <v>120</v>
      </c>
      <c r="Q59" s="134" t="s">
        <v>1581</v>
      </c>
      <c r="R59" s="75" t="s">
        <v>1580</v>
      </c>
      <c r="S59" s="81" t="str">
        <f t="shared" si="0"/>
        <v>!</v>
      </c>
      <c r="T59" s="72" t="str">
        <f t="shared" si="1"/>
        <v/>
      </c>
      <c r="U59" s="72" t="str">
        <f t="shared" si="2"/>
        <v/>
      </c>
    </row>
    <row r="60" spans="1:21" ht="135" hidden="1">
      <c r="A60" s="74">
        <f t="shared" si="4"/>
        <v>40</v>
      </c>
      <c r="B60" s="219" t="s">
        <v>625</v>
      </c>
      <c r="C60" s="219">
        <v>36</v>
      </c>
      <c r="D60" s="219"/>
      <c r="E60" s="83" t="s">
        <v>631</v>
      </c>
      <c r="F60" s="83"/>
      <c r="G60" s="83">
        <v>7</v>
      </c>
      <c r="H60" s="219"/>
      <c r="I60" s="219"/>
      <c r="J60" s="219"/>
      <c r="K60" s="219" t="s">
        <v>659</v>
      </c>
      <c r="L60" s="80"/>
      <c r="M60" s="80"/>
      <c r="N60" s="181"/>
      <c r="O60" s="80"/>
      <c r="P60" s="80" t="s">
        <v>120</v>
      </c>
      <c r="Q60" s="134" t="s">
        <v>1581</v>
      </c>
      <c r="R60" s="75" t="s">
        <v>1580</v>
      </c>
      <c r="S60" s="81" t="str">
        <f t="shared" si="0"/>
        <v>!</v>
      </c>
      <c r="T60" s="72" t="str">
        <f t="shared" si="1"/>
        <v/>
      </c>
      <c r="U60" s="72" t="str">
        <f t="shared" si="2"/>
        <v/>
      </c>
    </row>
    <row r="61" spans="1:21" ht="94.5" hidden="1">
      <c r="A61" s="74">
        <f t="shared" si="4"/>
        <v>41</v>
      </c>
      <c r="B61" s="219" t="s">
        <v>625</v>
      </c>
      <c r="C61" s="219">
        <v>37</v>
      </c>
      <c r="D61" s="219"/>
      <c r="E61" s="83" t="s">
        <v>631</v>
      </c>
      <c r="F61" s="83"/>
      <c r="G61" s="83">
        <v>7</v>
      </c>
      <c r="H61" s="219"/>
      <c r="I61" s="219"/>
      <c r="J61" s="219"/>
      <c r="K61" s="219" t="s">
        <v>660</v>
      </c>
      <c r="L61" s="80"/>
      <c r="M61" s="80"/>
      <c r="N61" s="181" t="s">
        <v>661</v>
      </c>
      <c r="O61" s="80"/>
      <c r="P61" s="80" t="s">
        <v>120</v>
      </c>
      <c r="Q61" s="134" t="s">
        <v>1581</v>
      </c>
      <c r="R61" s="75" t="s">
        <v>1580</v>
      </c>
      <c r="S61" s="81" t="str">
        <f t="shared" si="0"/>
        <v>!</v>
      </c>
      <c r="T61" s="72" t="str">
        <f t="shared" si="1"/>
        <v/>
      </c>
      <c r="U61" s="72" t="str">
        <f t="shared" si="2"/>
        <v/>
      </c>
    </row>
    <row r="62" spans="1:21" ht="94.5" hidden="1">
      <c r="A62" s="74">
        <f t="shared" si="4"/>
        <v>42</v>
      </c>
      <c r="B62" s="219" t="s">
        <v>625</v>
      </c>
      <c r="C62" s="219">
        <v>38</v>
      </c>
      <c r="D62" s="219"/>
      <c r="E62" s="83" t="s">
        <v>627</v>
      </c>
      <c r="F62" s="83"/>
      <c r="G62" s="83">
        <v>7</v>
      </c>
      <c r="H62" s="219"/>
      <c r="I62" s="219"/>
      <c r="J62" s="219"/>
      <c r="K62" s="219" t="s">
        <v>662</v>
      </c>
      <c r="L62" s="80"/>
      <c r="M62" s="80"/>
      <c r="N62" s="181" t="s">
        <v>663</v>
      </c>
      <c r="O62" s="80"/>
      <c r="P62" s="80" t="s">
        <v>120</v>
      </c>
      <c r="Q62" s="134" t="s">
        <v>1647</v>
      </c>
      <c r="R62" s="75" t="s">
        <v>1580</v>
      </c>
      <c r="S62" s="81" t="str">
        <f t="shared" si="0"/>
        <v>!</v>
      </c>
      <c r="T62" s="72" t="str">
        <f t="shared" si="1"/>
        <v/>
      </c>
      <c r="U62" s="72" t="str">
        <f t="shared" si="2"/>
        <v/>
      </c>
    </row>
    <row r="63" spans="1:21" ht="108" hidden="1">
      <c r="A63" s="74">
        <f t="shared" si="4"/>
        <v>43</v>
      </c>
      <c r="B63" s="219" t="s">
        <v>625</v>
      </c>
      <c r="C63" s="219">
        <v>39</v>
      </c>
      <c r="D63" s="219"/>
      <c r="E63" s="83" t="s">
        <v>627</v>
      </c>
      <c r="F63" s="83"/>
      <c r="G63" s="83">
        <v>7</v>
      </c>
      <c r="H63" s="219"/>
      <c r="I63" s="219"/>
      <c r="J63" s="219"/>
      <c r="K63" s="219" t="s">
        <v>664</v>
      </c>
      <c r="L63" s="80"/>
      <c r="M63" s="80"/>
      <c r="N63" s="181" t="s">
        <v>665</v>
      </c>
      <c r="O63" s="80"/>
      <c r="P63" s="80" t="s">
        <v>120</v>
      </c>
      <c r="Q63" s="134" t="s">
        <v>1647</v>
      </c>
      <c r="R63" s="75" t="s">
        <v>1580</v>
      </c>
      <c r="S63" s="81" t="str">
        <f t="shared" si="0"/>
        <v>!</v>
      </c>
      <c r="T63" s="72" t="str">
        <f t="shared" si="1"/>
        <v/>
      </c>
      <c r="U63" s="72" t="str">
        <f t="shared" si="2"/>
        <v/>
      </c>
    </row>
    <row r="64" spans="1:21" ht="270" hidden="1">
      <c r="A64" s="74">
        <f t="shared" si="4"/>
        <v>44</v>
      </c>
      <c r="B64" s="219" t="s">
        <v>625</v>
      </c>
      <c r="C64" s="219">
        <v>40</v>
      </c>
      <c r="D64" s="219"/>
      <c r="E64" s="83" t="s">
        <v>631</v>
      </c>
      <c r="F64" s="83"/>
      <c r="G64" s="83">
        <v>7</v>
      </c>
      <c r="H64" s="219"/>
      <c r="I64" s="219"/>
      <c r="J64" s="219"/>
      <c r="K64" s="219" t="s">
        <v>666</v>
      </c>
      <c r="L64" s="80"/>
      <c r="M64" s="80"/>
      <c r="N64" s="181"/>
      <c r="O64" s="80"/>
      <c r="P64" s="80" t="s">
        <v>120</v>
      </c>
      <c r="Q64" s="134" t="s">
        <v>1581</v>
      </c>
      <c r="R64" s="75" t="s">
        <v>1580</v>
      </c>
      <c r="S64" s="81" t="str">
        <f t="shared" si="0"/>
        <v>!</v>
      </c>
      <c r="T64" s="72" t="str">
        <f t="shared" si="1"/>
        <v/>
      </c>
      <c r="U64" s="72" t="str">
        <f t="shared" si="2"/>
        <v/>
      </c>
    </row>
    <row r="65" spans="1:21" ht="243" hidden="1">
      <c r="A65" s="74">
        <f t="shared" si="4"/>
        <v>45</v>
      </c>
      <c r="B65" s="219" t="s">
        <v>625</v>
      </c>
      <c r="C65" s="219">
        <v>41</v>
      </c>
      <c r="D65" s="219"/>
      <c r="E65" s="83" t="s">
        <v>631</v>
      </c>
      <c r="F65" s="83"/>
      <c r="G65" s="83">
        <v>7</v>
      </c>
      <c r="H65" s="219"/>
      <c r="I65" s="219"/>
      <c r="J65" s="219"/>
      <c r="K65" s="219" t="s">
        <v>1527</v>
      </c>
      <c r="L65" s="80"/>
      <c r="M65" s="80"/>
      <c r="N65" s="181"/>
      <c r="O65" s="80"/>
      <c r="P65" s="80" t="s">
        <v>120</v>
      </c>
      <c r="Q65" s="134" t="s">
        <v>1581</v>
      </c>
      <c r="R65" s="75" t="s">
        <v>1580</v>
      </c>
      <c r="S65" s="81" t="str">
        <f t="shared" si="0"/>
        <v>!</v>
      </c>
      <c r="T65" s="72" t="str">
        <f t="shared" si="1"/>
        <v/>
      </c>
      <c r="U65" s="72" t="str">
        <f t="shared" si="2"/>
        <v/>
      </c>
    </row>
    <row r="66" spans="1:21" ht="189" hidden="1">
      <c r="A66" s="74">
        <f t="shared" si="4"/>
        <v>46</v>
      </c>
      <c r="B66" s="219" t="s">
        <v>625</v>
      </c>
      <c r="C66" s="219">
        <v>42</v>
      </c>
      <c r="D66" s="219"/>
      <c r="E66" s="83" t="s">
        <v>638</v>
      </c>
      <c r="F66" s="83"/>
      <c r="G66" s="83">
        <v>7</v>
      </c>
      <c r="H66" s="219"/>
      <c r="I66" s="219"/>
      <c r="J66" s="219"/>
      <c r="K66" s="219" t="s">
        <v>667</v>
      </c>
      <c r="L66" s="80"/>
      <c r="M66" s="80" t="s">
        <v>1739</v>
      </c>
      <c r="N66" s="181" t="s">
        <v>668</v>
      </c>
      <c r="O66" s="80"/>
      <c r="P66" s="80" t="s">
        <v>120</v>
      </c>
      <c r="Q66" s="134" t="s">
        <v>1581</v>
      </c>
      <c r="R66" s="75" t="s">
        <v>1580</v>
      </c>
      <c r="S66" s="81" t="str">
        <f t="shared" si="0"/>
        <v>!</v>
      </c>
      <c r="T66" s="72" t="str">
        <f t="shared" si="1"/>
        <v/>
      </c>
      <c r="U66" s="72" t="str">
        <f t="shared" si="2"/>
        <v/>
      </c>
    </row>
    <row r="67" spans="1:21" ht="162" hidden="1">
      <c r="A67" s="74">
        <f t="shared" si="4"/>
        <v>47</v>
      </c>
      <c r="B67" s="219" t="s">
        <v>625</v>
      </c>
      <c r="C67" s="219">
        <v>43</v>
      </c>
      <c r="D67" s="219"/>
      <c r="E67" s="83" t="s">
        <v>650</v>
      </c>
      <c r="F67" s="83" t="s">
        <v>1534</v>
      </c>
      <c r="G67" s="219" t="s">
        <v>476</v>
      </c>
      <c r="H67" s="219"/>
      <c r="I67" s="219"/>
      <c r="J67" s="219"/>
      <c r="K67" s="219" t="s">
        <v>669</v>
      </c>
      <c r="L67" s="80"/>
      <c r="M67" s="80"/>
      <c r="N67" s="181" t="s">
        <v>1685</v>
      </c>
      <c r="O67" s="80"/>
      <c r="P67" s="80" t="s">
        <v>120</v>
      </c>
      <c r="Q67" s="134" t="s">
        <v>1647</v>
      </c>
      <c r="R67" s="75" t="s">
        <v>1580</v>
      </c>
      <c r="S67" s="81" t="str">
        <f t="shared" si="0"/>
        <v>!</v>
      </c>
      <c r="T67" s="72" t="str">
        <f t="shared" si="1"/>
        <v/>
      </c>
      <c r="U67" s="72" t="str">
        <f t="shared" si="2"/>
        <v/>
      </c>
    </row>
    <row r="68" spans="1:21" ht="81" hidden="1">
      <c r="A68" s="74">
        <f t="shared" si="4"/>
        <v>48</v>
      </c>
      <c r="B68" s="219" t="s">
        <v>625</v>
      </c>
      <c r="C68" s="219">
        <v>44</v>
      </c>
      <c r="D68" s="219"/>
      <c r="E68" s="83" t="s">
        <v>631</v>
      </c>
      <c r="F68" s="83"/>
      <c r="G68" s="83">
        <v>7</v>
      </c>
      <c r="H68" s="219"/>
      <c r="I68" s="219"/>
      <c r="J68" s="219"/>
      <c r="K68" s="219" t="s">
        <v>670</v>
      </c>
      <c r="L68" s="80"/>
      <c r="M68" s="80"/>
      <c r="N68" s="181"/>
      <c r="O68" s="80"/>
      <c r="P68" s="80" t="s">
        <v>120</v>
      </c>
      <c r="Q68" s="134" t="s">
        <v>1581</v>
      </c>
      <c r="R68" s="75" t="s">
        <v>1580</v>
      </c>
      <c r="S68" s="81" t="str">
        <f t="shared" si="0"/>
        <v>!</v>
      </c>
      <c r="T68" s="72" t="str">
        <f t="shared" si="1"/>
        <v/>
      </c>
      <c r="U68" s="72" t="str">
        <f t="shared" si="2"/>
        <v/>
      </c>
    </row>
    <row r="69" spans="1:21" ht="40.5" hidden="1">
      <c r="A69" s="74">
        <f t="shared" si="4"/>
        <v>49</v>
      </c>
      <c r="B69" s="219" t="s">
        <v>673</v>
      </c>
      <c r="C69" s="219" t="s">
        <v>672</v>
      </c>
      <c r="D69" s="219"/>
      <c r="E69" s="83" t="s">
        <v>627</v>
      </c>
      <c r="F69" s="83"/>
      <c r="G69" s="83">
        <v>1</v>
      </c>
      <c r="H69" s="219" t="s">
        <v>677</v>
      </c>
      <c r="I69" s="219"/>
      <c r="J69" s="219"/>
      <c r="K69" s="219" t="s">
        <v>671</v>
      </c>
      <c r="L69" s="80"/>
      <c r="M69" s="80"/>
      <c r="N69" s="181" t="s">
        <v>1696</v>
      </c>
      <c r="O69" s="80"/>
      <c r="P69" s="80" t="s">
        <v>120</v>
      </c>
      <c r="Q69" s="134" t="s">
        <v>1647</v>
      </c>
      <c r="R69" s="75" t="s">
        <v>1580</v>
      </c>
      <c r="S69" s="81" t="str">
        <f t="shared" si="0"/>
        <v>!</v>
      </c>
      <c r="T69" s="72" t="str">
        <f t="shared" si="1"/>
        <v/>
      </c>
      <c r="U69" s="72" t="str">
        <f t="shared" si="2"/>
        <v/>
      </c>
    </row>
    <row r="70" spans="1:21" ht="78" hidden="1" customHeight="1">
      <c r="A70" s="74">
        <f t="shared" si="4"/>
        <v>50</v>
      </c>
      <c r="B70" s="219" t="s">
        <v>673</v>
      </c>
      <c r="C70" s="219" t="s">
        <v>674</v>
      </c>
      <c r="D70" s="219"/>
      <c r="E70" s="83" t="s">
        <v>627</v>
      </c>
      <c r="F70" s="83"/>
      <c r="G70" s="83">
        <v>1</v>
      </c>
      <c r="H70" s="219" t="s">
        <v>678</v>
      </c>
      <c r="I70" s="219"/>
      <c r="J70" s="219"/>
      <c r="K70" s="219" t="s">
        <v>1528</v>
      </c>
      <c r="L70" s="80"/>
      <c r="M70" s="80"/>
      <c r="N70" s="181" t="s">
        <v>1697</v>
      </c>
      <c r="O70" s="80"/>
      <c r="P70" s="80" t="s">
        <v>120</v>
      </c>
      <c r="Q70" s="134" t="s">
        <v>1647</v>
      </c>
      <c r="R70" s="75" t="s">
        <v>1580</v>
      </c>
      <c r="S70" s="81" t="str">
        <f t="shared" si="0"/>
        <v>!</v>
      </c>
      <c r="T70" s="72" t="str">
        <f t="shared" si="1"/>
        <v/>
      </c>
      <c r="U70" s="72" t="str">
        <f t="shared" si="2"/>
        <v/>
      </c>
    </row>
    <row r="71" spans="1:21" ht="94.5" hidden="1">
      <c r="A71" s="74">
        <f t="shared" si="4"/>
        <v>51</v>
      </c>
      <c r="B71" s="219" t="s">
        <v>673</v>
      </c>
      <c r="C71" s="219" t="s">
        <v>675</v>
      </c>
      <c r="D71" s="219"/>
      <c r="E71" s="83" t="s">
        <v>627</v>
      </c>
      <c r="F71" s="83"/>
      <c r="G71" s="83">
        <v>1</v>
      </c>
      <c r="H71" s="219" t="s">
        <v>679</v>
      </c>
      <c r="I71" s="219"/>
      <c r="J71" s="219"/>
      <c r="K71" s="219" t="s">
        <v>680</v>
      </c>
      <c r="L71" s="80"/>
      <c r="M71" s="80"/>
      <c r="N71" s="181" t="s">
        <v>1698</v>
      </c>
      <c r="O71" s="80"/>
      <c r="P71" s="80" t="s">
        <v>120</v>
      </c>
      <c r="Q71" s="134" t="s">
        <v>1647</v>
      </c>
      <c r="R71" s="75" t="s">
        <v>1580</v>
      </c>
      <c r="S71" s="81" t="str">
        <f t="shared" si="0"/>
        <v>!</v>
      </c>
      <c r="T71" s="72" t="str">
        <f t="shared" si="1"/>
        <v/>
      </c>
      <c r="U71" s="72" t="str">
        <f t="shared" si="2"/>
        <v/>
      </c>
    </row>
    <row r="72" spans="1:21" ht="27" hidden="1">
      <c r="A72" s="74">
        <f t="shared" si="4"/>
        <v>52</v>
      </c>
      <c r="B72" s="219" t="s">
        <v>673</v>
      </c>
      <c r="C72" s="219" t="s">
        <v>676</v>
      </c>
      <c r="D72" s="219"/>
      <c r="E72" s="83" t="s">
        <v>631</v>
      </c>
      <c r="F72" s="83"/>
      <c r="G72" s="83" t="s">
        <v>476</v>
      </c>
      <c r="H72" s="219"/>
      <c r="I72" s="219"/>
      <c r="J72" s="219"/>
      <c r="K72" s="219" t="s">
        <v>1395</v>
      </c>
      <c r="L72" s="80"/>
      <c r="M72" s="80"/>
      <c r="N72" s="181" t="s">
        <v>1530</v>
      </c>
      <c r="O72" s="80" t="s">
        <v>100</v>
      </c>
      <c r="P72" s="80" t="s">
        <v>120</v>
      </c>
      <c r="Q72" s="134" t="s">
        <v>1647</v>
      </c>
      <c r="R72" s="75" t="s">
        <v>1580</v>
      </c>
      <c r="S72" s="81" t="str">
        <f t="shared" si="0"/>
        <v>!</v>
      </c>
      <c r="T72" s="72" t="str">
        <f t="shared" si="1"/>
        <v/>
      </c>
      <c r="U72" s="72" t="str">
        <f t="shared" si="2"/>
        <v/>
      </c>
    </row>
    <row r="73" spans="1:21" ht="27" hidden="1">
      <c r="A73" s="74">
        <f t="shared" si="4"/>
        <v>53</v>
      </c>
      <c r="B73" s="219" t="s">
        <v>681</v>
      </c>
      <c r="C73" s="219"/>
      <c r="D73" s="219"/>
      <c r="E73" s="83" t="s">
        <v>650</v>
      </c>
      <c r="F73" s="83" t="s">
        <v>1534</v>
      </c>
      <c r="G73" s="83">
        <v>1</v>
      </c>
      <c r="H73" s="219">
        <v>1</v>
      </c>
      <c r="I73" s="219" t="s">
        <v>845</v>
      </c>
      <c r="J73" s="219"/>
      <c r="K73" s="219" t="s">
        <v>1396</v>
      </c>
      <c r="L73" s="80"/>
      <c r="M73" s="80" t="s">
        <v>1681</v>
      </c>
      <c r="N73" s="181" t="s">
        <v>141</v>
      </c>
      <c r="O73" s="80"/>
      <c r="P73" s="80" t="s">
        <v>120</v>
      </c>
      <c r="Q73" s="134" t="s">
        <v>1647</v>
      </c>
      <c r="R73" s="75" t="s">
        <v>1580</v>
      </c>
      <c r="S73" s="81" t="str">
        <f t="shared" si="0"/>
        <v>!</v>
      </c>
      <c r="T73" s="72" t="str">
        <f t="shared" si="1"/>
        <v/>
      </c>
      <c r="U73" s="72" t="str">
        <f t="shared" si="2"/>
        <v/>
      </c>
    </row>
    <row r="74" spans="1:21" ht="40.5" hidden="1">
      <c r="A74" s="74">
        <f t="shared" si="4"/>
        <v>54</v>
      </c>
      <c r="B74" s="219" t="s">
        <v>682</v>
      </c>
      <c r="C74" s="219"/>
      <c r="D74" s="219"/>
      <c r="E74" s="83" t="s">
        <v>627</v>
      </c>
      <c r="F74" s="83"/>
      <c r="G74" s="83">
        <v>2</v>
      </c>
      <c r="H74" s="219" t="s">
        <v>831</v>
      </c>
      <c r="I74" s="219"/>
      <c r="J74" s="219"/>
      <c r="K74" s="219" t="s">
        <v>1397</v>
      </c>
      <c r="L74" s="80"/>
      <c r="M74" s="80"/>
      <c r="N74" s="181" t="s">
        <v>141</v>
      </c>
      <c r="O74" s="80"/>
      <c r="P74" s="80" t="s">
        <v>120</v>
      </c>
      <c r="Q74" s="134" t="s">
        <v>1647</v>
      </c>
      <c r="R74" s="75" t="s">
        <v>1580</v>
      </c>
      <c r="S74" s="81" t="str">
        <f t="shared" si="0"/>
        <v>!</v>
      </c>
      <c r="T74" s="72" t="str">
        <f t="shared" si="1"/>
        <v/>
      </c>
      <c r="U74" s="72" t="str">
        <f t="shared" si="2"/>
        <v/>
      </c>
    </row>
    <row r="75" spans="1:21" ht="40.5">
      <c r="A75" s="74">
        <f t="shared" si="4"/>
        <v>55</v>
      </c>
      <c r="B75" s="219" t="s">
        <v>683</v>
      </c>
      <c r="C75" s="219"/>
      <c r="D75" s="219"/>
      <c r="E75" s="83" t="s">
        <v>627</v>
      </c>
      <c r="F75" s="83"/>
      <c r="G75" s="83">
        <v>2</v>
      </c>
      <c r="H75" s="219" t="s">
        <v>831</v>
      </c>
      <c r="I75" s="219"/>
      <c r="J75" s="219"/>
      <c r="K75" s="219" t="s">
        <v>935</v>
      </c>
      <c r="L75" s="80"/>
      <c r="M75" s="242" t="s">
        <v>1741</v>
      </c>
      <c r="N75" s="181"/>
      <c r="O75" s="80"/>
      <c r="P75" s="80" t="s">
        <v>120</v>
      </c>
      <c r="Q75" s="134" t="s">
        <v>1581</v>
      </c>
      <c r="R75" s="75" t="s">
        <v>1580</v>
      </c>
      <c r="S75" s="81" t="str">
        <f t="shared" si="0"/>
        <v>!</v>
      </c>
      <c r="T75" s="72" t="str">
        <f t="shared" si="1"/>
        <v/>
      </c>
      <c r="U75" s="72" t="str">
        <f t="shared" si="2"/>
        <v/>
      </c>
    </row>
    <row r="76" spans="1:21" ht="40.5" hidden="1">
      <c r="A76" s="74">
        <f t="shared" si="4"/>
        <v>56</v>
      </c>
      <c r="B76" s="219" t="s">
        <v>684</v>
      </c>
      <c r="C76" s="219"/>
      <c r="D76" s="219"/>
      <c r="E76" s="83" t="s">
        <v>627</v>
      </c>
      <c r="F76" s="83"/>
      <c r="G76" s="83">
        <v>1</v>
      </c>
      <c r="H76" s="219" t="s">
        <v>832</v>
      </c>
      <c r="I76" s="219" t="s">
        <v>855</v>
      </c>
      <c r="J76" s="219"/>
      <c r="K76" s="219" t="s">
        <v>770</v>
      </c>
      <c r="L76" s="80"/>
      <c r="M76" s="80"/>
      <c r="N76" s="181" t="s">
        <v>1699</v>
      </c>
      <c r="O76" s="80"/>
      <c r="P76" s="80" t="s">
        <v>120</v>
      </c>
      <c r="Q76" s="134" t="s">
        <v>1647</v>
      </c>
      <c r="R76" s="75" t="s">
        <v>1580</v>
      </c>
      <c r="S76" s="81" t="str">
        <f t="shared" si="0"/>
        <v>!</v>
      </c>
      <c r="T76" s="72" t="str">
        <f t="shared" si="1"/>
        <v/>
      </c>
      <c r="U76" s="72" t="str">
        <f t="shared" si="2"/>
        <v/>
      </c>
    </row>
    <row r="77" spans="1:21" ht="40.5" hidden="1">
      <c r="A77" s="74">
        <f t="shared" si="4"/>
        <v>57</v>
      </c>
      <c r="B77" s="219" t="s">
        <v>685</v>
      </c>
      <c r="C77" s="219"/>
      <c r="D77" s="219"/>
      <c r="E77" s="83" t="s">
        <v>627</v>
      </c>
      <c r="F77" s="83"/>
      <c r="G77" s="83">
        <v>1</v>
      </c>
      <c r="H77" s="219" t="s">
        <v>833</v>
      </c>
      <c r="I77" s="219" t="s">
        <v>856</v>
      </c>
      <c r="J77" s="219"/>
      <c r="K77" s="219" t="s">
        <v>771</v>
      </c>
      <c r="L77" s="80"/>
      <c r="M77" s="80"/>
      <c r="N77" s="181" t="s">
        <v>934</v>
      </c>
      <c r="O77" s="80"/>
      <c r="P77" s="80" t="s">
        <v>120</v>
      </c>
      <c r="Q77" s="134" t="s">
        <v>1647</v>
      </c>
      <c r="R77" s="75" t="s">
        <v>1580</v>
      </c>
      <c r="S77" s="81" t="str">
        <f t="shared" si="0"/>
        <v>!</v>
      </c>
      <c r="T77" s="72" t="str">
        <f t="shared" si="1"/>
        <v/>
      </c>
      <c r="U77" s="72" t="str">
        <f t="shared" si="2"/>
        <v/>
      </c>
    </row>
    <row r="78" spans="1:21" ht="40.5" hidden="1">
      <c r="A78" s="74">
        <f t="shared" si="4"/>
        <v>58</v>
      </c>
      <c r="B78" s="219" t="s">
        <v>686</v>
      </c>
      <c r="C78" s="219"/>
      <c r="D78" s="219"/>
      <c r="E78" s="83" t="s">
        <v>627</v>
      </c>
      <c r="F78" s="83"/>
      <c r="G78" s="83">
        <v>1</v>
      </c>
      <c r="H78" s="219">
        <v>1.2</v>
      </c>
      <c r="I78" s="219" t="s">
        <v>856</v>
      </c>
      <c r="J78" s="219"/>
      <c r="K78" s="219" t="s">
        <v>772</v>
      </c>
      <c r="L78" s="80"/>
      <c r="M78" s="80" t="s">
        <v>1700</v>
      </c>
      <c r="N78" s="181"/>
      <c r="O78" s="80"/>
      <c r="P78" s="80" t="s">
        <v>120</v>
      </c>
      <c r="Q78" s="134" t="s">
        <v>1647</v>
      </c>
      <c r="R78" s="75" t="s">
        <v>1580</v>
      </c>
      <c r="S78" s="81" t="str">
        <f t="shared" si="0"/>
        <v>!</v>
      </c>
      <c r="T78" s="72" t="str">
        <f t="shared" si="1"/>
        <v/>
      </c>
      <c r="U78" s="72" t="str">
        <f t="shared" si="2"/>
        <v/>
      </c>
    </row>
    <row r="79" spans="1:21" ht="40.5" hidden="1">
      <c r="A79" s="74">
        <f t="shared" si="4"/>
        <v>59</v>
      </c>
      <c r="B79" s="219" t="s">
        <v>687</v>
      </c>
      <c r="C79" s="219"/>
      <c r="D79" s="219"/>
      <c r="E79" s="83" t="s">
        <v>627</v>
      </c>
      <c r="F79" s="83"/>
      <c r="G79" s="83">
        <v>1</v>
      </c>
      <c r="H79" s="219">
        <v>1.2</v>
      </c>
      <c r="I79" s="219" t="s">
        <v>857</v>
      </c>
      <c r="J79" s="219"/>
      <c r="K79" s="219" t="s">
        <v>773</v>
      </c>
      <c r="L79" s="80"/>
      <c r="M79" s="80"/>
      <c r="N79" s="181"/>
      <c r="O79" s="80"/>
      <c r="P79" s="80" t="s">
        <v>120</v>
      </c>
      <c r="Q79" s="134" t="s">
        <v>1647</v>
      </c>
      <c r="R79" s="75" t="s">
        <v>1580</v>
      </c>
      <c r="S79" s="81" t="str">
        <f t="shared" si="0"/>
        <v>!</v>
      </c>
      <c r="T79" s="72" t="str">
        <f t="shared" si="1"/>
        <v/>
      </c>
      <c r="U79" s="72" t="str">
        <f t="shared" si="2"/>
        <v/>
      </c>
    </row>
    <row r="80" spans="1:21" ht="40.5" hidden="1">
      <c r="A80" s="74">
        <f t="shared" si="4"/>
        <v>60</v>
      </c>
      <c r="B80" s="219" t="s">
        <v>688</v>
      </c>
      <c r="C80" s="219"/>
      <c r="D80" s="219"/>
      <c r="E80" s="83" t="s">
        <v>627</v>
      </c>
      <c r="F80" s="83"/>
      <c r="G80" s="83">
        <v>1</v>
      </c>
      <c r="H80" s="219">
        <v>1.3</v>
      </c>
      <c r="I80" s="219" t="s">
        <v>858</v>
      </c>
      <c r="J80" s="219"/>
      <c r="K80" s="219" t="s">
        <v>774</v>
      </c>
      <c r="L80" s="80"/>
      <c r="M80" s="80"/>
      <c r="N80" s="181"/>
      <c r="O80" s="80"/>
      <c r="P80" s="80" t="s">
        <v>120</v>
      </c>
      <c r="Q80" s="134" t="s">
        <v>1647</v>
      </c>
      <c r="R80" s="75" t="s">
        <v>1580</v>
      </c>
      <c r="S80" s="81" t="str">
        <f t="shared" si="0"/>
        <v>!</v>
      </c>
      <c r="T80" s="72" t="str">
        <f t="shared" si="1"/>
        <v/>
      </c>
      <c r="U80" s="72" t="str">
        <f t="shared" si="2"/>
        <v/>
      </c>
    </row>
    <row r="81" spans="1:21" ht="40.5" hidden="1">
      <c r="A81" s="74">
        <f t="shared" si="4"/>
        <v>61</v>
      </c>
      <c r="B81" s="219" t="s">
        <v>689</v>
      </c>
      <c r="C81" s="219"/>
      <c r="D81" s="219"/>
      <c r="E81" s="83" t="s">
        <v>627</v>
      </c>
      <c r="F81" s="83"/>
      <c r="G81" s="83">
        <v>1</v>
      </c>
      <c r="H81" s="219">
        <v>1.4</v>
      </c>
      <c r="I81" s="219" t="s">
        <v>858</v>
      </c>
      <c r="J81" s="219"/>
      <c r="K81" s="219" t="s">
        <v>775</v>
      </c>
      <c r="L81" s="80"/>
      <c r="M81" s="80"/>
      <c r="N81" s="181"/>
      <c r="O81" s="80"/>
      <c r="P81" s="80" t="s">
        <v>120</v>
      </c>
      <c r="Q81" s="134" t="s">
        <v>1647</v>
      </c>
      <c r="R81" s="75" t="s">
        <v>1580</v>
      </c>
      <c r="S81" s="81" t="str">
        <f t="shared" si="0"/>
        <v>!</v>
      </c>
      <c r="T81" s="72" t="str">
        <f t="shared" si="1"/>
        <v/>
      </c>
      <c r="U81" s="72" t="str">
        <f t="shared" si="2"/>
        <v/>
      </c>
    </row>
    <row r="82" spans="1:21" ht="40.5" hidden="1">
      <c r="A82" s="74">
        <f t="shared" si="4"/>
        <v>62</v>
      </c>
      <c r="B82" s="219" t="s">
        <v>690</v>
      </c>
      <c r="C82" s="219"/>
      <c r="D82" s="219"/>
      <c r="E82" s="83" t="s">
        <v>627</v>
      </c>
      <c r="F82" s="83"/>
      <c r="G82" s="83">
        <v>1</v>
      </c>
      <c r="H82" s="219">
        <v>1.4</v>
      </c>
      <c r="I82" s="219" t="s">
        <v>858</v>
      </c>
      <c r="J82" s="219"/>
      <c r="K82" s="219" t="s">
        <v>776</v>
      </c>
      <c r="L82" s="80"/>
      <c r="M82" s="80"/>
      <c r="N82" s="181" t="s">
        <v>1688</v>
      </c>
      <c r="O82" s="80" t="s">
        <v>100</v>
      </c>
      <c r="P82" s="80" t="s">
        <v>120</v>
      </c>
      <c r="Q82" s="134" t="s">
        <v>1647</v>
      </c>
      <c r="R82" s="75" t="s">
        <v>1580</v>
      </c>
      <c r="S82" s="81" t="str">
        <f t="shared" si="0"/>
        <v>!</v>
      </c>
      <c r="T82" s="72" t="str">
        <f t="shared" si="1"/>
        <v/>
      </c>
      <c r="U82" s="72" t="str">
        <f t="shared" si="2"/>
        <v/>
      </c>
    </row>
    <row r="83" spans="1:21" ht="40.5" hidden="1">
      <c r="A83" s="74">
        <f t="shared" si="4"/>
        <v>63</v>
      </c>
      <c r="B83" s="219" t="s">
        <v>691</v>
      </c>
      <c r="C83" s="219"/>
      <c r="D83" s="219"/>
      <c r="E83" s="83" t="s">
        <v>627</v>
      </c>
      <c r="F83" s="83"/>
      <c r="G83" s="83">
        <v>1</v>
      </c>
      <c r="H83" s="219">
        <v>1.4</v>
      </c>
      <c r="I83" s="219" t="s">
        <v>859</v>
      </c>
      <c r="J83" s="219"/>
      <c r="K83" s="219" t="s">
        <v>777</v>
      </c>
      <c r="L83" s="80"/>
      <c r="M83" s="80"/>
      <c r="N83" s="181" t="s">
        <v>645</v>
      </c>
      <c r="O83" s="80"/>
      <c r="P83" s="80" t="s">
        <v>120</v>
      </c>
      <c r="Q83" s="134" t="s">
        <v>1647</v>
      </c>
      <c r="R83" s="75" t="s">
        <v>1580</v>
      </c>
      <c r="S83" s="81" t="str">
        <f t="shared" si="0"/>
        <v>!</v>
      </c>
      <c r="T83" s="72" t="str">
        <f t="shared" si="1"/>
        <v/>
      </c>
      <c r="U83" s="72" t="str">
        <f t="shared" si="2"/>
        <v/>
      </c>
    </row>
    <row r="84" spans="1:21" ht="40.5" hidden="1">
      <c r="A84" s="74">
        <f t="shared" si="4"/>
        <v>64</v>
      </c>
      <c r="B84" s="219" t="s">
        <v>692</v>
      </c>
      <c r="C84" s="219"/>
      <c r="D84" s="219"/>
      <c r="E84" s="83" t="s">
        <v>627</v>
      </c>
      <c r="F84" s="83"/>
      <c r="G84" s="83">
        <v>1</v>
      </c>
      <c r="H84" s="219">
        <v>1.4</v>
      </c>
      <c r="I84" s="219" t="s">
        <v>860</v>
      </c>
      <c r="J84" s="219"/>
      <c r="K84" s="219" t="s">
        <v>778</v>
      </c>
      <c r="L84" s="80"/>
      <c r="M84" s="80"/>
      <c r="N84" s="181"/>
      <c r="O84" s="80"/>
      <c r="P84" s="80" t="s">
        <v>120</v>
      </c>
      <c r="Q84" s="134" t="s">
        <v>1647</v>
      </c>
      <c r="R84" s="75" t="s">
        <v>1580</v>
      </c>
      <c r="S84" s="81" t="str">
        <f t="shared" si="0"/>
        <v>!</v>
      </c>
      <c r="T84" s="72" t="str">
        <f t="shared" si="1"/>
        <v/>
      </c>
      <c r="U84" s="72" t="str">
        <f t="shared" si="2"/>
        <v/>
      </c>
    </row>
    <row r="85" spans="1:21" ht="40.5" hidden="1">
      <c r="A85" s="74">
        <f t="shared" si="4"/>
        <v>65</v>
      </c>
      <c r="B85" s="219" t="s">
        <v>693</v>
      </c>
      <c r="C85" s="219"/>
      <c r="D85" s="219"/>
      <c r="E85" s="83" t="s">
        <v>627</v>
      </c>
      <c r="F85" s="83"/>
      <c r="G85" s="83">
        <v>1</v>
      </c>
      <c r="H85" s="219">
        <v>1.5</v>
      </c>
      <c r="I85" s="219" t="s">
        <v>861</v>
      </c>
      <c r="J85" s="219"/>
      <c r="K85" s="219" t="s">
        <v>779</v>
      </c>
      <c r="L85" s="80"/>
      <c r="M85" s="80"/>
      <c r="N85" s="181"/>
      <c r="O85" s="80"/>
      <c r="P85" s="80" t="s">
        <v>120</v>
      </c>
      <c r="Q85" s="134" t="s">
        <v>1647</v>
      </c>
      <c r="R85" s="75" t="s">
        <v>1580</v>
      </c>
      <c r="S85" s="81" t="str">
        <f t="shared" ref="S85:S148" si="5">IF(OR(AND(CodeFileListUsed="Yes",D85="",COUNTA(B85:C85,E85:J85)&lt;&gt;0),AND(COUNTA(B85:C85,E85:J85)&lt;&gt;0, COUNTA(B85:C85,E85:J85)&lt;&gt;COUNTA(B$20:C$20,F$20:K$20))),CheckErr,CheckOK)</f>
        <v>!</v>
      </c>
      <c r="T85" s="72" t="str">
        <f t="shared" ref="T85:T148" si="6">IF(OR(ISBLANK(J85), AND(NOT(ISBLANK(L85)),OR(AND(O85="Accepted",OR(P85="Y",P85="y")),O85="Noted",O85="Duplicate",AND(O85="Rejected",NOT(ISBLANK(N85)))))),CheckOK,CheckErr)</f>
        <v/>
      </c>
      <c r="U85" s="72" t="str">
        <f t="shared" ref="U85:U148" si="7">IF(OR(ISBLANK(J85),NOT(ISBLANK(Q85))),CheckOK,CheckErr)</f>
        <v/>
      </c>
    </row>
    <row r="86" spans="1:21" ht="40.5" hidden="1">
      <c r="A86" s="74">
        <f t="shared" ref="A86:A117" si="8">A85+1</f>
        <v>66</v>
      </c>
      <c r="B86" s="219" t="s">
        <v>694</v>
      </c>
      <c r="C86" s="219"/>
      <c r="D86" s="219"/>
      <c r="E86" s="83" t="s">
        <v>627</v>
      </c>
      <c r="F86" s="83"/>
      <c r="G86" s="83">
        <v>1</v>
      </c>
      <c r="H86" s="219">
        <v>1.5</v>
      </c>
      <c r="I86" s="219" t="s">
        <v>861</v>
      </c>
      <c r="J86" s="219"/>
      <c r="K86" s="219" t="s">
        <v>780</v>
      </c>
      <c r="L86" s="80"/>
      <c r="M86" s="80"/>
      <c r="N86" s="181"/>
      <c r="O86" s="80"/>
      <c r="P86" s="80" t="s">
        <v>120</v>
      </c>
      <c r="Q86" s="134" t="s">
        <v>1647</v>
      </c>
      <c r="R86" s="75" t="s">
        <v>1580</v>
      </c>
      <c r="S86" s="81" t="str">
        <f t="shared" si="5"/>
        <v>!</v>
      </c>
      <c r="T86" s="72" t="str">
        <f t="shared" si="6"/>
        <v/>
      </c>
      <c r="U86" s="72" t="str">
        <f t="shared" si="7"/>
        <v/>
      </c>
    </row>
    <row r="87" spans="1:21" ht="40.5" hidden="1">
      <c r="A87" s="74">
        <f t="shared" si="8"/>
        <v>67</v>
      </c>
      <c r="B87" s="219" t="s">
        <v>695</v>
      </c>
      <c r="C87" s="219"/>
      <c r="D87" s="219"/>
      <c r="E87" s="83" t="s">
        <v>627</v>
      </c>
      <c r="F87" s="83"/>
      <c r="G87" s="83">
        <v>1</v>
      </c>
      <c r="H87" s="219">
        <v>1.5</v>
      </c>
      <c r="I87" s="219" t="s">
        <v>861</v>
      </c>
      <c r="J87" s="219"/>
      <c r="K87" s="219" t="s">
        <v>781</v>
      </c>
      <c r="L87" s="80"/>
      <c r="M87" s="80" t="s">
        <v>1701</v>
      </c>
      <c r="N87" s="181"/>
      <c r="O87" s="80"/>
      <c r="P87" s="80" t="s">
        <v>120</v>
      </c>
      <c r="Q87" s="134" t="s">
        <v>1647</v>
      </c>
      <c r="R87" s="75" t="s">
        <v>1580</v>
      </c>
      <c r="S87" s="81" t="str">
        <f t="shared" si="5"/>
        <v>!</v>
      </c>
      <c r="T87" s="72" t="str">
        <f t="shared" si="6"/>
        <v/>
      </c>
      <c r="U87" s="72" t="str">
        <f t="shared" si="7"/>
        <v/>
      </c>
    </row>
    <row r="88" spans="1:21" ht="94.5" hidden="1">
      <c r="A88" s="74">
        <f t="shared" si="8"/>
        <v>68</v>
      </c>
      <c r="B88" s="219" t="s">
        <v>696</v>
      </c>
      <c r="C88" s="219"/>
      <c r="D88" s="219"/>
      <c r="E88" s="83" t="s">
        <v>627</v>
      </c>
      <c r="F88" s="83"/>
      <c r="G88" s="83">
        <v>1</v>
      </c>
      <c r="H88" s="219">
        <v>1.8</v>
      </c>
      <c r="I88" s="219" t="s">
        <v>862</v>
      </c>
      <c r="J88" s="219"/>
      <c r="K88" s="219" t="s">
        <v>782</v>
      </c>
      <c r="L88" s="80"/>
      <c r="M88" s="80"/>
      <c r="N88" s="181" t="s">
        <v>1702</v>
      </c>
      <c r="O88" s="80"/>
      <c r="P88" s="80" t="s">
        <v>120</v>
      </c>
      <c r="Q88" s="134" t="s">
        <v>1647</v>
      </c>
      <c r="R88" s="75" t="s">
        <v>1580</v>
      </c>
      <c r="S88" s="81" t="str">
        <f t="shared" si="5"/>
        <v>!</v>
      </c>
      <c r="T88" s="72" t="str">
        <f t="shared" si="6"/>
        <v/>
      </c>
      <c r="U88" s="72" t="str">
        <f t="shared" si="7"/>
        <v/>
      </c>
    </row>
    <row r="89" spans="1:21" ht="27" hidden="1">
      <c r="A89" s="74">
        <f t="shared" si="8"/>
        <v>69</v>
      </c>
      <c r="B89" s="219" t="s">
        <v>697</v>
      </c>
      <c r="C89" s="219"/>
      <c r="D89" s="219"/>
      <c r="E89" s="83" t="s">
        <v>631</v>
      </c>
      <c r="F89" s="83"/>
      <c r="G89" s="83">
        <v>4</v>
      </c>
      <c r="H89" s="219" t="s">
        <v>834</v>
      </c>
      <c r="I89" s="219">
        <v>14</v>
      </c>
      <c r="J89" s="219"/>
      <c r="K89" s="219" t="s">
        <v>783</v>
      </c>
      <c r="L89" s="80"/>
      <c r="M89" s="80"/>
      <c r="N89" s="181"/>
      <c r="O89" s="80"/>
      <c r="P89" s="80" t="s">
        <v>120</v>
      </c>
      <c r="Q89" s="134" t="s">
        <v>1581</v>
      </c>
      <c r="R89" s="75" t="s">
        <v>1580</v>
      </c>
      <c r="S89" s="81" t="str">
        <f t="shared" si="5"/>
        <v>!</v>
      </c>
      <c r="T89" s="72" t="str">
        <f t="shared" si="6"/>
        <v/>
      </c>
      <c r="U89" s="72" t="str">
        <f t="shared" si="7"/>
        <v/>
      </c>
    </row>
    <row r="90" spans="1:21" ht="40.5" hidden="1">
      <c r="A90" s="74">
        <f t="shared" si="8"/>
        <v>70</v>
      </c>
      <c r="B90" s="219" t="s">
        <v>698</v>
      </c>
      <c r="C90" s="219"/>
      <c r="D90" s="219"/>
      <c r="E90" s="83" t="s">
        <v>627</v>
      </c>
      <c r="F90" s="83"/>
      <c r="G90" s="83">
        <v>5</v>
      </c>
      <c r="H90" s="219">
        <v>5.0999999999999996</v>
      </c>
      <c r="I90" s="219" t="s">
        <v>863</v>
      </c>
      <c r="J90" s="219"/>
      <c r="K90" s="219" t="s">
        <v>784</v>
      </c>
      <c r="L90" s="80"/>
      <c r="M90" s="80"/>
      <c r="N90" s="181" t="s">
        <v>1734</v>
      </c>
      <c r="O90" s="80"/>
      <c r="P90" s="80" t="s">
        <v>120</v>
      </c>
      <c r="Q90" s="134" t="s">
        <v>1647</v>
      </c>
      <c r="R90" s="75" t="s">
        <v>1580</v>
      </c>
      <c r="S90" s="81" t="str">
        <f t="shared" si="5"/>
        <v>!</v>
      </c>
      <c r="T90" s="72" t="str">
        <f t="shared" si="6"/>
        <v/>
      </c>
      <c r="U90" s="72" t="str">
        <f t="shared" si="7"/>
        <v/>
      </c>
    </row>
    <row r="91" spans="1:21" ht="27" hidden="1">
      <c r="A91" s="74">
        <f t="shared" si="8"/>
        <v>71</v>
      </c>
      <c r="B91" s="219" t="s">
        <v>699</v>
      </c>
      <c r="C91" s="219"/>
      <c r="D91" s="219"/>
      <c r="E91" s="83" t="s">
        <v>648</v>
      </c>
      <c r="F91" s="83"/>
      <c r="G91" s="83">
        <v>5</v>
      </c>
      <c r="H91" s="219" t="s">
        <v>835</v>
      </c>
      <c r="I91" s="219" t="s">
        <v>864</v>
      </c>
      <c r="J91" s="219"/>
      <c r="K91" s="219" t="s">
        <v>785</v>
      </c>
      <c r="L91" s="80"/>
      <c r="M91" s="80"/>
      <c r="N91" s="181"/>
      <c r="O91" s="80"/>
      <c r="P91" s="80" t="s">
        <v>120</v>
      </c>
      <c r="Q91" s="134" t="s">
        <v>1581</v>
      </c>
      <c r="R91" s="75" t="s">
        <v>1580</v>
      </c>
      <c r="S91" s="81" t="str">
        <f t="shared" si="5"/>
        <v>!</v>
      </c>
      <c r="T91" s="72" t="str">
        <f t="shared" si="6"/>
        <v/>
      </c>
      <c r="U91" s="72" t="str">
        <f t="shared" si="7"/>
        <v/>
      </c>
    </row>
    <row r="92" spans="1:21" ht="27" hidden="1">
      <c r="A92" s="74">
        <f t="shared" si="8"/>
        <v>72</v>
      </c>
      <c r="B92" s="219" t="s">
        <v>700</v>
      </c>
      <c r="C92" s="219"/>
      <c r="D92" s="219"/>
      <c r="E92" s="83" t="s">
        <v>648</v>
      </c>
      <c r="F92" s="83"/>
      <c r="G92" s="83">
        <v>5</v>
      </c>
      <c r="H92" s="219">
        <v>5.9</v>
      </c>
      <c r="I92" s="219" t="s">
        <v>865</v>
      </c>
      <c r="J92" s="219"/>
      <c r="K92" s="219" t="s">
        <v>786</v>
      </c>
      <c r="L92" s="80"/>
      <c r="M92" s="80"/>
      <c r="N92" s="181"/>
      <c r="O92" s="80"/>
      <c r="P92" s="80" t="s">
        <v>120</v>
      </c>
      <c r="Q92" s="134" t="s">
        <v>1581</v>
      </c>
      <c r="R92" s="75" t="s">
        <v>1580</v>
      </c>
      <c r="S92" s="81" t="str">
        <f t="shared" si="5"/>
        <v>!</v>
      </c>
      <c r="T92" s="72" t="str">
        <f t="shared" si="6"/>
        <v/>
      </c>
      <c r="U92" s="72" t="str">
        <f t="shared" si="7"/>
        <v/>
      </c>
    </row>
    <row r="93" spans="1:21" ht="40.5" hidden="1">
      <c r="A93" s="74">
        <f t="shared" si="8"/>
        <v>73</v>
      </c>
      <c r="B93" s="219" t="s">
        <v>701</v>
      </c>
      <c r="C93" s="219"/>
      <c r="D93" s="219"/>
      <c r="E93" s="83" t="s">
        <v>635</v>
      </c>
      <c r="F93" s="83"/>
      <c r="G93" s="83">
        <v>6</v>
      </c>
      <c r="H93" s="219">
        <v>6.1</v>
      </c>
      <c r="I93" s="219" t="s">
        <v>866</v>
      </c>
      <c r="J93" s="219"/>
      <c r="K93" s="219" t="s">
        <v>787</v>
      </c>
      <c r="L93" s="80"/>
      <c r="M93" s="80"/>
      <c r="N93" s="181" t="s">
        <v>1733</v>
      </c>
      <c r="O93" s="80"/>
      <c r="P93" s="80" t="s">
        <v>120</v>
      </c>
      <c r="Q93" s="134" t="s">
        <v>1647</v>
      </c>
      <c r="R93" s="75" t="s">
        <v>1580</v>
      </c>
      <c r="S93" s="81" t="str">
        <f t="shared" si="5"/>
        <v>!</v>
      </c>
      <c r="T93" s="72" t="str">
        <f t="shared" si="6"/>
        <v/>
      </c>
      <c r="U93" s="72" t="str">
        <f t="shared" si="7"/>
        <v/>
      </c>
    </row>
    <row r="94" spans="1:21" ht="40.5" hidden="1">
      <c r="A94" s="74">
        <f t="shared" si="8"/>
        <v>74</v>
      </c>
      <c r="B94" s="219" t="s">
        <v>702</v>
      </c>
      <c r="C94" s="219"/>
      <c r="D94" s="219"/>
      <c r="E94" s="83" t="s">
        <v>627</v>
      </c>
      <c r="F94" s="83"/>
      <c r="G94" s="83">
        <v>6</v>
      </c>
      <c r="H94" s="219">
        <v>6.1</v>
      </c>
      <c r="I94" s="219" t="s">
        <v>866</v>
      </c>
      <c r="J94" s="219"/>
      <c r="K94" s="219" t="s">
        <v>788</v>
      </c>
      <c r="L94" s="80"/>
      <c r="M94" s="80"/>
      <c r="N94" s="181" t="s">
        <v>1688</v>
      </c>
      <c r="O94" s="80" t="s">
        <v>100</v>
      </c>
      <c r="P94" s="80" t="s">
        <v>120</v>
      </c>
      <c r="Q94" s="134" t="s">
        <v>1647</v>
      </c>
      <c r="R94" s="75" t="s">
        <v>1580</v>
      </c>
      <c r="S94" s="81" t="str">
        <f t="shared" si="5"/>
        <v>!</v>
      </c>
      <c r="T94" s="72" t="str">
        <f t="shared" si="6"/>
        <v/>
      </c>
      <c r="U94" s="72" t="str">
        <f t="shared" si="7"/>
        <v/>
      </c>
    </row>
    <row r="95" spans="1:21" ht="27" hidden="1">
      <c r="A95" s="74">
        <f t="shared" si="8"/>
        <v>75</v>
      </c>
      <c r="B95" s="219" t="s">
        <v>703</v>
      </c>
      <c r="C95" s="219"/>
      <c r="D95" s="219"/>
      <c r="E95" s="83" t="s">
        <v>631</v>
      </c>
      <c r="F95" s="83"/>
      <c r="G95" s="83">
        <v>6</v>
      </c>
      <c r="H95" s="219" t="s">
        <v>836</v>
      </c>
      <c r="I95" s="219" t="s">
        <v>867</v>
      </c>
      <c r="J95" s="219"/>
      <c r="K95" s="219" t="s">
        <v>1398</v>
      </c>
      <c r="L95" s="80"/>
      <c r="M95" s="80"/>
      <c r="N95" s="181"/>
      <c r="O95" s="80"/>
      <c r="P95" s="80" t="s">
        <v>120</v>
      </c>
      <c r="Q95" s="134" t="s">
        <v>1581</v>
      </c>
      <c r="R95" s="75" t="s">
        <v>1580</v>
      </c>
      <c r="S95" s="81" t="str">
        <f t="shared" si="5"/>
        <v>!</v>
      </c>
      <c r="T95" s="72" t="str">
        <f t="shared" si="6"/>
        <v/>
      </c>
      <c r="U95" s="72" t="str">
        <f t="shared" si="7"/>
        <v/>
      </c>
    </row>
    <row r="96" spans="1:21" ht="40.5" hidden="1">
      <c r="A96" s="74">
        <f t="shared" si="8"/>
        <v>76</v>
      </c>
      <c r="B96" s="219" t="s">
        <v>703</v>
      </c>
      <c r="C96" s="219"/>
      <c r="D96" s="219"/>
      <c r="E96" s="83" t="s">
        <v>635</v>
      </c>
      <c r="F96" s="83"/>
      <c r="G96" s="83">
        <v>6</v>
      </c>
      <c r="H96" s="219" t="s">
        <v>837</v>
      </c>
      <c r="I96" s="219" t="s">
        <v>868</v>
      </c>
      <c r="J96" s="219"/>
      <c r="K96" s="219" t="s">
        <v>789</v>
      </c>
      <c r="L96" s="80"/>
      <c r="M96" s="80"/>
      <c r="N96" s="181" t="s">
        <v>1734</v>
      </c>
      <c r="O96" s="80"/>
      <c r="P96" s="80" t="s">
        <v>120</v>
      </c>
      <c r="Q96" s="134" t="s">
        <v>1647</v>
      </c>
      <c r="R96" s="75" t="s">
        <v>1580</v>
      </c>
      <c r="S96" s="81" t="str">
        <f t="shared" si="5"/>
        <v>!</v>
      </c>
      <c r="T96" s="72" t="str">
        <f t="shared" si="6"/>
        <v/>
      </c>
      <c r="U96" s="72" t="str">
        <f t="shared" si="7"/>
        <v/>
      </c>
    </row>
    <row r="97" spans="1:21" ht="40.5" hidden="1">
      <c r="A97" s="74">
        <f t="shared" si="8"/>
        <v>77</v>
      </c>
      <c r="B97" s="219" t="s">
        <v>704</v>
      </c>
      <c r="C97" s="219"/>
      <c r="D97" s="219"/>
      <c r="E97" s="83" t="s">
        <v>635</v>
      </c>
      <c r="F97" s="83"/>
      <c r="G97" s="83">
        <v>6</v>
      </c>
      <c r="H97" s="219" t="s">
        <v>838</v>
      </c>
      <c r="I97" s="219" t="s">
        <v>868</v>
      </c>
      <c r="J97" s="219"/>
      <c r="K97" s="219" t="s">
        <v>790</v>
      </c>
      <c r="L97" s="80"/>
      <c r="M97" s="80"/>
      <c r="N97" s="181"/>
      <c r="O97" s="80"/>
      <c r="P97" s="80" t="s">
        <v>120</v>
      </c>
      <c r="Q97" s="134" t="s">
        <v>1647</v>
      </c>
      <c r="R97" s="75" t="s">
        <v>1580</v>
      </c>
      <c r="S97" s="81" t="str">
        <f t="shared" si="5"/>
        <v>!</v>
      </c>
      <c r="T97" s="72" t="str">
        <f t="shared" si="6"/>
        <v/>
      </c>
      <c r="U97" s="72" t="str">
        <f t="shared" si="7"/>
        <v/>
      </c>
    </row>
    <row r="98" spans="1:21" ht="40.5" hidden="1">
      <c r="A98" s="74">
        <f t="shared" si="8"/>
        <v>78</v>
      </c>
      <c r="B98" s="219" t="s">
        <v>705</v>
      </c>
      <c r="C98" s="219"/>
      <c r="D98" s="219"/>
      <c r="E98" s="83" t="s">
        <v>635</v>
      </c>
      <c r="F98" s="83"/>
      <c r="G98" s="83">
        <v>6</v>
      </c>
      <c r="H98" s="219" t="s">
        <v>838</v>
      </c>
      <c r="I98" s="219" t="s">
        <v>869</v>
      </c>
      <c r="J98" s="219"/>
      <c r="K98" s="219" t="s">
        <v>791</v>
      </c>
      <c r="L98" s="80"/>
      <c r="M98" s="181"/>
      <c r="N98" s="181" t="s">
        <v>1742</v>
      </c>
      <c r="O98" s="80" t="s">
        <v>100</v>
      </c>
      <c r="P98" s="80" t="s">
        <v>120</v>
      </c>
      <c r="Q98" s="134" t="s">
        <v>1647</v>
      </c>
      <c r="R98" s="75" t="s">
        <v>1580</v>
      </c>
      <c r="S98" s="81" t="str">
        <f t="shared" si="5"/>
        <v>!</v>
      </c>
      <c r="T98" s="72" t="str">
        <f t="shared" si="6"/>
        <v/>
      </c>
      <c r="U98" s="72" t="str">
        <f t="shared" si="7"/>
        <v/>
      </c>
    </row>
    <row r="99" spans="1:21" ht="40.5" hidden="1">
      <c r="A99" s="74">
        <f t="shared" si="8"/>
        <v>79</v>
      </c>
      <c r="B99" s="219" t="s">
        <v>706</v>
      </c>
      <c r="C99" s="219"/>
      <c r="D99" s="219"/>
      <c r="E99" s="83" t="s">
        <v>635</v>
      </c>
      <c r="F99" s="83"/>
      <c r="G99" s="83">
        <v>6</v>
      </c>
      <c r="H99" s="219" t="s">
        <v>838</v>
      </c>
      <c r="I99" s="219" t="s">
        <v>870</v>
      </c>
      <c r="J99" s="219"/>
      <c r="K99" s="219" t="s">
        <v>792</v>
      </c>
      <c r="L99" s="80"/>
      <c r="M99" s="80"/>
      <c r="N99" s="181"/>
      <c r="O99" s="80"/>
      <c r="P99" s="80" t="s">
        <v>120</v>
      </c>
      <c r="Q99" s="134" t="s">
        <v>1647</v>
      </c>
      <c r="R99" s="75" t="s">
        <v>1580</v>
      </c>
      <c r="S99" s="81" t="str">
        <f t="shared" si="5"/>
        <v>!</v>
      </c>
      <c r="T99" s="72" t="str">
        <f t="shared" si="6"/>
        <v/>
      </c>
      <c r="U99" s="72" t="str">
        <f t="shared" si="7"/>
        <v/>
      </c>
    </row>
    <row r="100" spans="1:21" ht="27" hidden="1">
      <c r="A100" s="74">
        <f t="shared" si="8"/>
        <v>80</v>
      </c>
      <c r="B100" s="219" t="s">
        <v>707</v>
      </c>
      <c r="C100" s="219"/>
      <c r="D100" s="219"/>
      <c r="E100" s="83" t="s">
        <v>648</v>
      </c>
      <c r="F100" s="83"/>
      <c r="G100" s="83">
        <v>6</v>
      </c>
      <c r="H100" s="219" t="s">
        <v>839</v>
      </c>
      <c r="I100" s="219" t="s">
        <v>871</v>
      </c>
      <c r="J100" s="219"/>
      <c r="K100" s="219" t="s">
        <v>793</v>
      </c>
      <c r="L100" s="80"/>
      <c r="M100" s="80"/>
      <c r="N100" s="181"/>
      <c r="O100" s="80"/>
      <c r="P100" s="80" t="s">
        <v>120</v>
      </c>
      <c r="Q100" s="134" t="s">
        <v>1581</v>
      </c>
      <c r="R100" s="75" t="s">
        <v>1580</v>
      </c>
      <c r="S100" s="81" t="str">
        <f t="shared" si="5"/>
        <v>!</v>
      </c>
      <c r="T100" s="72" t="str">
        <f t="shared" si="6"/>
        <v/>
      </c>
      <c r="U100" s="72" t="str">
        <f t="shared" si="7"/>
        <v/>
      </c>
    </row>
    <row r="101" spans="1:21" ht="40.5" hidden="1">
      <c r="A101" s="74">
        <f t="shared" si="8"/>
        <v>81</v>
      </c>
      <c r="B101" s="219" t="s">
        <v>708</v>
      </c>
      <c r="C101" s="219"/>
      <c r="D101" s="219"/>
      <c r="E101" s="83" t="s">
        <v>627</v>
      </c>
      <c r="F101" s="83"/>
      <c r="G101" s="83">
        <v>6</v>
      </c>
      <c r="H101" s="219">
        <v>6.1</v>
      </c>
      <c r="I101" s="219" t="s">
        <v>866</v>
      </c>
      <c r="J101" s="219"/>
      <c r="K101" s="219" t="s">
        <v>788</v>
      </c>
      <c r="L101" s="80"/>
      <c r="M101" s="80"/>
      <c r="N101" s="181" t="s">
        <v>1688</v>
      </c>
      <c r="O101" s="80" t="s">
        <v>100</v>
      </c>
      <c r="P101" s="80" t="s">
        <v>120</v>
      </c>
      <c r="Q101" s="134" t="s">
        <v>1647</v>
      </c>
      <c r="R101" s="75" t="s">
        <v>1580</v>
      </c>
      <c r="S101" s="81" t="str">
        <f t="shared" si="5"/>
        <v>!</v>
      </c>
      <c r="T101" s="72" t="str">
        <f t="shared" si="6"/>
        <v/>
      </c>
      <c r="U101" s="72" t="str">
        <f t="shared" si="7"/>
        <v/>
      </c>
    </row>
    <row r="102" spans="1:21" ht="40.5" hidden="1">
      <c r="A102" s="74">
        <f t="shared" si="8"/>
        <v>82</v>
      </c>
      <c r="B102" s="219" t="s">
        <v>709</v>
      </c>
      <c r="C102" s="219"/>
      <c r="D102" s="219"/>
      <c r="E102" s="83" t="s">
        <v>635</v>
      </c>
      <c r="F102" s="83"/>
      <c r="G102" s="83">
        <v>6</v>
      </c>
      <c r="H102" s="219">
        <v>6.4</v>
      </c>
      <c r="I102" s="219" t="s">
        <v>872</v>
      </c>
      <c r="J102" s="219"/>
      <c r="K102" s="219" t="s">
        <v>794</v>
      </c>
      <c r="L102" s="80"/>
      <c r="M102" s="80"/>
      <c r="N102" s="181" t="s">
        <v>1743</v>
      </c>
      <c r="O102" s="80"/>
      <c r="P102" s="80" t="s">
        <v>120</v>
      </c>
      <c r="Q102" s="134" t="s">
        <v>1647</v>
      </c>
      <c r="R102" s="75" t="s">
        <v>1580</v>
      </c>
      <c r="S102" s="81" t="str">
        <f t="shared" si="5"/>
        <v>!</v>
      </c>
      <c r="T102" s="72" t="str">
        <f t="shared" si="6"/>
        <v/>
      </c>
      <c r="U102" s="72" t="str">
        <f t="shared" si="7"/>
        <v/>
      </c>
    </row>
    <row r="103" spans="1:21" ht="27" hidden="1">
      <c r="A103" s="74">
        <f t="shared" si="8"/>
        <v>83</v>
      </c>
      <c r="B103" s="219" t="s">
        <v>710</v>
      </c>
      <c r="C103" s="219"/>
      <c r="D103" s="219"/>
      <c r="E103" s="83" t="s">
        <v>631</v>
      </c>
      <c r="F103" s="83"/>
      <c r="G103" s="83">
        <v>7</v>
      </c>
      <c r="H103" s="219" t="s">
        <v>840</v>
      </c>
      <c r="I103" s="219" t="s">
        <v>873</v>
      </c>
      <c r="J103" s="219"/>
      <c r="K103" s="219" t="s">
        <v>795</v>
      </c>
      <c r="L103" s="80"/>
      <c r="M103" s="80"/>
      <c r="N103" s="181"/>
      <c r="O103" s="80"/>
      <c r="P103" s="80" t="s">
        <v>120</v>
      </c>
      <c r="Q103" s="134" t="s">
        <v>1581</v>
      </c>
      <c r="R103" s="75" t="s">
        <v>1580</v>
      </c>
      <c r="S103" s="81" t="str">
        <f t="shared" si="5"/>
        <v>!</v>
      </c>
      <c r="T103" s="72" t="str">
        <f t="shared" si="6"/>
        <v/>
      </c>
      <c r="U103" s="72" t="str">
        <f t="shared" si="7"/>
        <v/>
      </c>
    </row>
    <row r="104" spans="1:21" ht="27" hidden="1">
      <c r="A104" s="74">
        <f t="shared" si="8"/>
        <v>84</v>
      </c>
      <c r="B104" s="219" t="s">
        <v>711</v>
      </c>
      <c r="C104" s="219"/>
      <c r="D104" s="219"/>
      <c r="E104" s="83" t="s">
        <v>631</v>
      </c>
      <c r="F104" s="83"/>
      <c r="G104" s="83">
        <v>7</v>
      </c>
      <c r="H104" s="219" t="s">
        <v>841</v>
      </c>
      <c r="I104" s="219" t="s">
        <v>874</v>
      </c>
      <c r="J104" s="219"/>
      <c r="K104" s="219" t="s">
        <v>796</v>
      </c>
      <c r="L104" s="80"/>
      <c r="M104" s="80"/>
      <c r="N104" s="181"/>
      <c r="O104" s="80"/>
      <c r="P104" s="80" t="s">
        <v>120</v>
      </c>
      <c r="Q104" s="134" t="s">
        <v>1581</v>
      </c>
      <c r="R104" s="75" t="s">
        <v>1580</v>
      </c>
      <c r="S104" s="81" t="str">
        <f t="shared" si="5"/>
        <v>!</v>
      </c>
      <c r="T104" s="72" t="str">
        <f t="shared" si="6"/>
        <v/>
      </c>
      <c r="U104" s="72" t="str">
        <f t="shared" si="7"/>
        <v/>
      </c>
    </row>
    <row r="105" spans="1:21" ht="40.5" hidden="1">
      <c r="A105" s="74">
        <f t="shared" si="8"/>
        <v>85</v>
      </c>
      <c r="B105" s="219" t="s">
        <v>712</v>
      </c>
      <c r="C105" s="219"/>
      <c r="D105" s="219"/>
      <c r="E105" s="83" t="s">
        <v>627</v>
      </c>
      <c r="F105" s="83"/>
      <c r="G105" s="83">
        <v>9</v>
      </c>
      <c r="H105" s="219">
        <v>9</v>
      </c>
      <c r="I105" s="219" t="s">
        <v>875</v>
      </c>
      <c r="J105" s="219"/>
      <c r="K105" s="219" t="s">
        <v>797</v>
      </c>
      <c r="L105" s="80"/>
      <c r="M105" s="80" t="s">
        <v>644</v>
      </c>
      <c r="N105" s="181" t="s">
        <v>1734</v>
      </c>
      <c r="O105" s="80"/>
      <c r="P105" s="80" t="s">
        <v>120</v>
      </c>
      <c r="Q105" s="134" t="s">
        <v>1647</v>
      </c>
      <c r="R105" s="75" t="s">
        <v>1580</v>
      </c>
      <c r="S105" s="81" t="str">
        <f t="shared" si="5"/>
        <v>!</v>
      </c>
      <c r="T105" s="72" t="str">
        <f t="shared" si="6"/>
        <v/>
      </c>
      <c r="U105" s="72" t="str">
        <f t="shared" si="7"/>
        <v/>
      </c>
    </row>
    <row r="106" spans="1:21" ht="27" hidden="1">
      <c r="A106" s="74">
        <f t="shared" si="8"/>
        <v>86</v>
      </c>
      <c r="B106" s="219" t="s">
        <v>713</v>
      </c>
      <c r="C106" s="219"/>
      <c r="D106" s="219"/>
      <c r="E106" s="83" t="s">
        <v>648</v>
      </c>
      <c r="F106" s="83"/>
      <c r="G106" s="83" t="s">
        <v>1575</v>
      </c>
      <c r="H106" s="219" t="s">
        <v>842</v>
      </c>
      <c r="I106" s="219" t="s">
        <v>876</v>
      </c>
      <c r="J106" s="219"/>
      <c r="K106" s="219" t="s">
        <v>933</v>
      </c>
      <c r="L106" s="80"/>
      <c r="M106" s="80"/>
      <c r="N106" s="181"/>
      <c r="O106" s="80"/>
      <c r="P106" s="80" t="s">
        <v>120</v>
      </c>
      <c r="Q106" s="134" t="s">
        <v>1581</v>
      </c>
      <c r="R106" s="75" t="s">
        <v>1580</v>
      </c>
      <c r="S106" s="81" t="str">
        <f t="shared" si="5"/>
        <v>!</v>
      </c>
      <c r="T106" s="72" t="str">
        <f t="shared" si="6"/>
        <v/>
      </c>
      <c r="U106" s="72" t="str">
        <f t="shared" si="7"/>
        <v/>
      </c>
    </row>
    <row r="107" spans="1:21" ht="27" hidden="1">
      <c r="A107" s="74">
        <f t="shared" si="8"/>
        <v>87</v>
      </c>
      <c r="B107" s="219" t="s">
        <v>714</v>
      </c>
      <c r="C107" s="219"/>
      <c r="D107" s="219"/>
      <c r="E107" s="83" t="s">
        <v>648</v>
      </c>
      <c r="F107" s="83"/>
      <c r="G107" s="83" t="s">
        <v>1575</v>
      </c>
      <c r="H107" s="219" t="s">
        <v>842</v>
      </c>
      <c r="I107" s="219" t="s">
        <v>876</v>
      </c>
      <c r="J107" s="219"/>
      <c r="K107" s="219" t="s">
        <v>798</v>
      </c>
      <c r="L107" s="80"/>
      <c r="M107" s="80"/>
      <c r="N107" s="181"/>
      <c r="O107" s="80"/>
      <c r="P107" s="80" t="s">
        <v>120</v>
      </c>
      <c r="Q107" s="134" t="s">
        <v>1581</v>
      </c>
      <c r="R107" s="75" t="s">
        <v>1580</v>
      </c>
      <c r="S107" s="81" t="str">
        <f t="shared" si="5"/>
        <v>!</v>
      </c>
      <c r="T107" s="72" t="str">
        <f t="shared" si="6"/>
        <v/>
      </c>
      <c r="U107" s="72" t="str">
        <f t="shared" si="7"/>
        <v/>
      </c>
    </row>
    <row r="108" spans="1:21" ht="27" hidden="1">
      <c r="A108" s="74">
        <f t="shared" si="8"/>
        <v>88</v>
      </c>
      <c r="B108" s="219" t="s">
        <v>715</v>
      </c>
      <c r="C108" s="219"/>
      <c r="D108" s="219"/>
      <c r="E108" s="83" t="s">
        <v>648</v>
      </c>
      <c r="F108" s="83"/>
      <c r="G108" s="83" t="s">
        <v>1575</v>
      </c>
      <c r="H108" s="219" t="s">
        <v>842</v>
      </c>
      <c r="I108" s="219" t="s">
        <v>877</v>
      </c>
      <c r="J108" s="219"/>
      <c r="K108" s="219" t="s">
        <v>799</v>
      </c>
      <c r="L108" s="80"/>
      <c r="M108" s="80"/>
      <c r="N108" s="181" t="s">
        <v>1531</v>
      </c>
      <c r="O108" s="80"/>
      <c r="P108" s="80" t="s">
        <v>120</v>
      </c>
      <c r="Q108" s="134" t="s">
        <v>1581</v>
      </c>
      <c r="R108" s="75" t="s">
        <v>1580</v>
      </c>
      <c r="S108" s="81" t="str">
        <f t="shared" si="5"/>
        <v>!</v>
      </c>
      <c r="T108" s="72" t="str">
        <f t="shared" si="6"/>
        <v/>
      </c>
      <c r="U108" s="72" t="str">
        <f t="shared" si="7"/>
        <v/>
      </c>
    </row>
    <row r="109" spans="1:21" ht="27" hidden="1">
      <c r="A109" s="74">
        <f t="shared" si="8"/>
        <v>89</v>
      </c>
      <c r="B109" s="219" t="s">
        <v>716</v>
      </c>
      <c r="C109" s="219"/>
      <c r="D109" s="219"/>
      <c r="E109" s="83" t="s">
        <v>631</v>
      </c>
      <c r="F109" s="83"/>
      <c r="G109" s="83" t="s">
        <v>1576</v>
      </c>
      <c r="H109" s="219" t="s">
        <v>843</v>
      </c>
      <c r="I109" s="219" t="s">
        <v>878</v>
      </c>
      <c r="J109" s="219"/>
      <c r="K109" s="219" t="s">
        <v>800</v>
      </c>
      <c r="L109" s="80"/>
      <c r="M109" s="80"/>
      <c r="N109" s="181"/>
      <c r="O109" s="80"/>
      <c r="P109" s="80" t="s">
        <v>120</v>
      </c>
      <c r="Q109" s="134" t="s">
        <v>1581</v>
      </c>
      <c r="R109" s="75" t="s">
        <v>1580</v>
      </c>
      <c r="S109" s="81" t="str">
        <f t="shared" si="5"/>
        <v>!</v>
      </c>
      <c r="T109" s="72" t="str">
        <f t="shared" si="6"/>
        <v/>
      </c>
      <c r="U109" s="72" t="str">
        <f t="shared" si="7"/>
        <v/>
      </c>
    </row>
    <row r="110" spans="1:21" ht="40.5" hidden="1">
      <c r="A110" s="74">
        <f t="shared" si="8"/>
        <v>90</v>
      </c>
      <c r="B110" s="219" t="s">
        <v>717</v>
      </c>
      <c r="C110" s="219"/>
      <c r="D110" s="219"/>
      <c r="E110" s="83" t="s">
        <v>627</v>
      </c>
      <c r="F110" s="83"/>
      <c r="G110" s="83" t="s">
        <v>81</v>
      </c>
      <c r="H110" s="219" t="s">
        <v>844</v>
      </c>
      <c r="I110" s="219" t="s">
        <v>879</v>
      </c>
      <c r="J110" s="219"/>
      <c r="K110" s="219" t="s">
        <v>801</v>
      </c>
      <c r="L110" s="80"/>
      <c r="M110" s="80" t="s">
        <v>1643</v>
      </c>
      <c r="N110" s="181"/>
      <c r="O110" s="80"/>
      <c r="P110" s="80" t="s">
        <v>120</v>
      </c>
      <c r="Q110" s="134" t="s">
        <v>1647</v>
      </c>
      <c r="R110" s="75" t="s">
        <v>1580</v>
      </c>
      <c r="S110" s="81" t="str">
        <f t="shared" si="5"/>
        <v>!</v>
      </c>
      <c r="T110" s="72" t="str">
        <f t="shared" si="6"/>
        <v/>
      </c>
      <c r="U110" s="72" t="str">
        <f t="shared" si="7"/>
        <v/>
      </c>
    </row>
    <row r="111" spans="1:21" ht="54" hidden="1">
      <c r="A111" s="74">
        <f t="shared" si="8"/>
        <v>91</v>
      </c>
      <c r="B111" s="219" t="s">
        <v>718</v>
      </c>
      <c r="C111" s="219"/>
      <c r="D111" s="219"/>
      <c r="E111" s="83" t="s">
        <v>627</v>
      </c>
      <c r="F111" s="83"/>
      <c r="G111" s="83" t="s">
        <v>81</v>
      </c>
      <c r="H111" s="219" t="s">
        <v>844</v>
      </c>
      <c r="I111" s="219" t="s">
        <v>879</v>
      </c>
      <c r="J111" s="219"/>
      <c r="K111" s="219" t="s">
        <v>802</v>
      </c>
      <c r="L111" s="80"/>
      <c r="M111" s="80"/>
      <c r="N111" s="181" t="s">
        <v>1644</v>
      </c>
      <c r="O111" s="80"/>
      <c r="P111" s="80" t="s">
        <v>120</v>
      </c>
      <c r="Q111" s="134" t="s">
        <v>1647</v>
      </c>
      <c r="R111" s="75" t="s">
        <v>1580</v>
      </c>
      <c r="S111" s="81" t="str">
        <f t="shared" si="5"/>
        <v>!</v>
      </c>
      <c r="T111" s="72" t="str">
        <f t="shared" si="6"/>
        <v/>
      </c>
      <c r="U111" s="72" t="str">
        <f t="shared" si="7"/>
        <v/>
      </c>
    </row>
    <row r="112" spans="1:21" ht="40.5" hidden="1">
      <c r="A112" s="74">
        <f t="shared" si="8"/>
        <v>92</v>
      </c>
      <c r="B112" s="219" t="s">
        <v>719</v>
      </c>
      <c r="C112" s="219"/>
      <c r="D112" s="219"/>
      <c r="E112" s="83" t="s">
        <v>627</v>
      </c>
      <c r="F112" s="83"/>
      <c r="G112" s="83">
        <v>1</v>
      </c>
      <c r="H112" s="219">
        <v>1.3</v>
      </c>
      <c r="I112" s="219">
        <v>4</v>
      </c>
      <c r="J112" s="219"/>
      <c r="K112" s="219" t="s">
        <v>1399</v>
      </c>
      <c r="L112" s="80"/>
      <c r="M112" s="80"/>
      <c r="N112" s="181"/>
      <c r="O112" s="80"/>
      <c r="P112" s="80" t="s">
        <v>120</v>
      </c>
      <c r="Q112" s="134" t="s">
        <v>1647</v>
      </c>
      <c r="R112" s="75" t="s">
        <v>1580</v>
      </c>
      <c r="S112" s="81" t="str">
        <f t="shared" si="5"/>
        <v>!</v>
      </c>
      <c r="T112" s="72" t="str">
        <f t="shared" si="6"/>
        <v/>
      </c>
      <c r="U112" s="72" t="str">
        <f t="shared" si="7"/>
        <v/>
      </c>
    </row>
    <row r="113" spans="1:21" ht="54" hidden="1">
      <c r="A113" s="74">
        <f t="shared" si="8"/>
        <v>93</v>
      </c>
      <c r="B113" s="219" t="s">
        <v>720</v>
      </c>
      <c r="C113" s="219"/>
      <c r="D113" s="219"/>
      <c r="E113" s="83" t="s">
        <v>627</v>
      </c>
      <c r="F113" s="83"/>
      <c r="G113" s="83">
        <v>1</v>
      </c>
      <c r="H113" s="219">
        <v>1.4</v>
      </c>
      <c r="I113" s="219">
        <v>5</v>
      </c>
      <c r="J113" s="219"/>
      <c r="K113" s="219" t="s">
        <v>1400</v>
      </c>
      <c r="L113" s="80"/>
      <c r="M113" s="80"/>
      <c r="N113" s="181" t="s">
        <v>1740</v>
      </c>
      <c r="O113" s="80"/>
      <c r="P113" s="80" t="s">
        <v>120</v>
      </c>
      <c r="Q113" s="134" t="s">
        <v>1647</v>
      </c>
      <c r="R113" s="75" t="s">
        <v>1580</v>
      </c>
      <c r="S113" s="81" t="str">
        <f t="shared" si="5"/>
        <v>!</v>
      </c>
      <c r="T113" s="72" t="str">
        <f t="shared" si="6"/>
        <v/>
      </c>
      <c r="U113" s="72" t="str">
        <f t="shared" si="7"/>
        <v/>
      </c>
    </row>
    <row r="114" spans="1:21" ht="40.5" hidden="1">
      <c r="A114" s="74">
        <f t="shared" si="8"/>
        <v>94</v>
      </c>
      <c r="B114" s="219" t="s">
        <v>721</v>
      </c>
      <c r="C114" s="219"/>
      <c r="D114" s="219"/>
      <c r="E114" s="83" t="s">
        <v>627</v>
      </c>
      <c r="F114" s="83"/>
      <c r="G114" s="83">
        <v>1</v>
      </c>
      <c r="H114" s="219">
        <v>1.5</v>
      </c>
      <c r="I114" s="219">
        <v>5</v>
      </c>
      <c r="J114" s="219"/>
      <c r="K114" s="219" t="s">
        <v>803</v>
      </c>
      <c r="L114" s="80"/>
      <c r="M114" s="80"/>
      <c r="N114" s="181" t="s">
        <v>1688</v>
      </c>
      <c r="O114" s="80" t="s">
        <v>100</v>
      </c>
      <c r="P114" s="80" t="s">
        <v>120</v>
      </c>
      <c r="Q114" s="134" t="s">
        <v>1647</v>
      </c>
      <c r="R114" s="75" t="s">
        <v>1580</v>
      </c>
      <c r="S114" s="81" t="str">
        <f t="shared" si="5"/>
        <v>!</v>
      </c>
      <c r="T114" s="72" t="str">
        <f t="shared" si="6"/>
        <v/>
      </c>
      <c r="U114" s="72" t="str">
        <f t="shared" si="7"/>
        <v/>
      </c>
    </row>
    <row r="115" spans="1:21" ht="81" hidden="1">
      <c r="A115" s="74">
        <f t="shared" si="8"/>
        <v>95</v>
      </c>
      <c r="B115" s="219" t="s">
        <v>722</v>
      </c>
      <c r="C115" s="219"/>
      <c r="D115" s="219"/>
      <c r="E115" s="83" t="s">
        <v>627</v>
      </c>
      <c r="F115" s="83"/>
      <c r="G115" s="83">
        <v>1</v>
      </c>
      <c r="H115" s="219">
        <v>1.5</v>
      </c>
      <c r="I115" s="219">
        <v>5</v>
      </c>
      <c r="J115" s="219"/>
      <c r="K115" s="219" t="s">
        <v>1401</v>
      </c>
      <c r="L115" s="80"/>
      <c r="M115" s="80"/>
      <c r="N115" s="181" t="s">
        <v>1689</v>
      </c>
      <c r="O115" s="80"/>
      <c r="P115" s="80" t="s">
        <v>120</v>
      </c>
      <c r="Q115" s="134" t="s">
        <v>1647</v>
      </c>
      <c r="R115" s="75" t="s">
        <v>1580</v>
      </c>
      <c r="S115" s="81" t="str">
        <f t="shared" si="5"/>
        <v>!</v>
      </c>
      <c r="T115" s="72" t="str">
        <f t="shared" si="6"/>
        <v/>
      </c>
      <c r="U115" s="72" t="str">
        <f t="shared" si="7"/>
        <v/>
      </c>
    </row>
    <row r="116" spans="1:21" ht="40.5" hidden="1">
      <c r="A116" s="74">
        <f t="shared" si="8"/>
        <v>96</v>
      </c>
      <c r="B116" s="219" t="s">
        <v>723</v>
      </c>
      <c r="C116" s="219"/>
      <c r="D116" s="219"/>
      <c r="E116" s="83" t="s">
        <v>627</v>
      </c>
      <c r="F116" s="83"/>
      <c r="G116" s="83">
        <v>1</v>
      </c>
      <c r="H116" s="219">
        <v>1.5</v>
      </c>
      <c r="I116" s="219" t="s">
        <v>880</v>
      </c>
      <c r="J116" s="219"/>
      <c r="K116" s="219" t="s">
        <v>804</v>
      </c>
      <c r="L116" s="80"/>
      <c r="M116" s="80"/>
      <c r="N116" s="181"/>
      <c r="O116" s="80"/>
      <c r="P116" s="80" t="s">
        <v>120</v>
      </c>
      <c r="Q116" s="134" t="s">
        <v>1647</v>
      </c>
      <c r="R116" s="75" t="s">
        <v>1580</v>
      </c>
      <c r="S116" s="81" t="str">
        <f t="shared" si="5"/>
        <v>!</v>
      </c>
      <c r="T116" s="72" t="str">
        <f t="shared" si="6"/>
        <v/>
      </c>
      <c r="U116" s="72" t="str">
        <f t="shared" si="7"/>
        <v/>
      </c>
    </row>
    <row r="117" spans="1:21" ht="54" hidden="1">
      <c r="A117" s="74">
        <f t="shared" si="8"/>
        <v>97</v>
      </c>
      <c r="B117" s="219" t="s">
        <v>724</v>
      </c>
      <c r="C117" s="219"/>
      <c r="D117" s="219"/>
      <c r="E117" s="83" t="s">
        <v>627</v>
      </c>
      <c r="F117" s="83"/>
      <c r="G117" s="83">
        <v>1</v>
      </c>
      <c r="H117" s="219"/>
      <c r="I117" s="219" t="s">
        <v>881</v>
      </c>
      <c r="J117" s="219"/>
      <c r="K117" s="219" t="s">
        <v>805</v>
      </c>
      <c r="L117" s="80"/>
      <c r="M117" s="80"/>
      <c r="N117" s="181" t="s">
        <v>1706</v>
      </c>
      <c r="O117" s="80"/>
      <c r="P117" s="80" t="s">
        <v>120</v>
      </c>
      <c r="Q117" s="134" t="s">
        <v>1647</v>
      </c>
      <c r="R117" s="75" t="s">
        <v>1580</v>
      </c>
      <c r="S117" s="81" t="str">
        <f t="shared" si="5"/>
        <v>!</v>
      </c>
      <c r="T117" s="72" t="str">
        <f t="shared" si="6"/>
        <v/>
      </c>
      <c r="U117" s="72" t="str">
        <f t="shared" si="7"/>
        <v/>
      </c>
    </row>
    <row r="118" spans="1:21" ht="40.5" hidden="1">
      <c r="A118" s="74">
        <f t="shared" ref="A118:A149" si="9">A117+1</f>
        <v>98</v>
      </c>
      <c r="B118" s="219" t="s">
        <v>725</v>
      </c>
      <c r="C118" s="219"/>
      <c r="D118" s="219"/>
      <c r="E118" s="83" t="s">
        <v>627</v>
      </c>
      <c r="F118" s="83"/>
      <c r="G118" s="83">
        <v>1</v>
      </c>
      <c r="H118" s="219"/>
      <c r="I118" s="219" t="s">
        <v>882</v>
      </c>
      <c r="J118" s="219"/>
      <c r="K118" s="219" t="s">
        <v>1402</v>
      </c>
      <c r="L118" s="80"/>
      <c r="M118" s="80"/>
      <c r="N118" s="181" t="s">
        <v>1699</v>
      </c>
      <c r="O118" s="80"/>
      <c r="P118" s="80" t="s">
        <v>120</v>
      </c>
      <c r="Q118" s="134" t="s">
        <v>1647</v>
      </c>
      <c r="R118" s="75" t="s">
        <v>1580</v>
      </c>
      <c r="S118" s="81" t="str">
        <f t="shared" si="5"/>
        <v>!</v>
      </c>
      <c r="T118" s="72" t="str">
        <f t="shared" si="6"/>
        <v/>
      </c>
      <c r="U118" s="72" t="str">
        <f t="shared" si="7"/>
        <v/>
      </c>
    </row>
    <row r="119" spans="1:21" ht="40.5" hidden="1">
      <c r="A119" s="74">
        <f t="shared" si="9"/>
        <v>99</v>
      </c>
      <c r="B119" s="219" t="s">
        <v>726</v>
      </c>
      <c r="C119" s="219"/>
      <c r="D119" s="219"/>
      <c r="E119" s="83" t="s">
        <v>627</v>
      </c>
      <c r="F119" s="83"/>
      <c r="G119" s="83">
        <v>1</v>
      </c>
      <c r="H119" s="219">
        <v>1.5</v>
      </c>
      <c r="I119" s="219" t="s">
        <v>883</v>
      </c>
      <c r="J119" s="219"/>
      <c r="K119" s="219" t="s">
        <v>806</v>
      </c>
      <c r="L119" s="80"/>
      <c r="M119" s="80"/>
      <c r="N119" s="181"/>
      <c r="O119" s="80"/>
      <c r="P119" s="80" t="s">
        <v>120</v>
      </c>
      <c r="Q119" s="134" t="s">
        <v>1647</v>
      </c>
      <c r="R119" s="75" t="s">
        <v>1580</v>
      </c>
      <c r="S119" s="81" t="str">
        <f t="shared" si="5"/>
        <v>!</v>
      </c>
      <c r="T119" s="72" t="str">
        <f t="shared" si="6"/>
        <v/>
      </c>
      <c r="U119" s="72" t="str">
        <f t="shared" si="7"/>
        <v/>
      </c>
    </row>
    <row r="120" spans="1:21" ht="40.5" hidden="1">
      <c r="A120" s="74">
        <f t="shared" si="9"/>
        <v>100</v>
      </c>
      <c r="B120" s="219" t="s">
        <v>727</v>
      </c>
      <c r="C120" s="219"/>
      <c r="D120" s="219"/>
      <c r="E120" s="83" t="s">
        <v>627</v>
      </c>
      <c r="F120" s="83"/>
      <c r="G120" s="83">
        <v>1</v>
      </c>
      <c r="H120" s="219">
        <v>1.6</v>
      </c>
      <c r="I120" s="219">
        <v>6</v>
      </c>
      <c r="J120" s="219"/>
      <c r="K120" s="219" t="s">
        <v>807</v>
      </c>
      <c r="L120" s="80"/>
      <c r="M120" s="80"/>
      <c r="N120" s="181" t="s">
        <v>1690</v>
      </c>
      <c r="O120" s="80"/>
      <c r="P120" s="80" t="s">
        <v>120</v>
      </c>
      <c r="Q120" s="134" t="s">
        <v>1647</v>
      </c>
      <c r="R120" s="75" t="s">
        <v>1580</v>
      </c>
      <c r="S120" s="81" t="str">
        <f t="shared" si="5"/>
        <v>!</v>
      </c>
      <c r="T120" s="72" t="str">
        <f t="shared" si="6"/>
        <v/>
      </c>
      <c r="U120" s="72" t="str">
        <f t="shared" si="7"/>
        <v/>
      </c>
    </row>
    <row r="121" spans="1:21" ht="40.5" hidden="1">
      <c r="A121" s="74">
        <f t="shared" si="9"/>
        <v>101</v>
      </c>
      <c r="B121" s="219" t="s">
        <v>728</v>
      </c>
      <c r="C121" s="219"/>
      <c r="D121" s="219"/>
      <c r="E121" s="83" t="s">
        <v>627</v>
      </c>
      <c r="F121" s="83"/>
      <c r="G121" s="83">
        <v>1</v>
      </c>
      <c r="H121" s="219">
        <v>1.7</v>
      </c>
      <c r="I121" s="219">
        <v>6</v>
      </c>
      <c r="J121" s="219"/>
      <c r="K121" s="219" t="s">
        <v>808</v>
      </c>
      <c r="L121" s="80"/>
      <c r="M121" s="80"/>
      <c r="N121" s="181"/>
      <c r="O121" s="80"/>
      <c r="P121" s="80" t="s">
        <v>120</v>
      </c>
      <c r="Q121" s="134" t="s">
        <v>1647</v>
      </c>
      <c r="R121" s="75" t="s">
        <v>1580</v>
      </c>
      <c r="S121" s="81" t="str">
        <f t="shared" si="5"/>
        <v>!</v>
      </c>
      <c r="T121" s="72" t="str">
        <f t="shared" si="6"/>
        <v/>
      </c>
      <c r="U121" s="72" t="str">
        <f t="shared" si="7"/>
        <v/>
      </c>
    </row>
    <row r="122" spans="1:21" ht="54" hidden="1">
      <c r="A122" s="74">
        <f t="shared" si="9"/>
        <v>102</v>
      </c>
      <c r="B122" s="219" t="s">
        <v>729</v>
      </c>
      <c r="C122" s="219"/>
      <c r="D122" s="219"/>
      <c r="E122" s="83" t="s">
        <v>648</v>
      </c>
      <c r="F122" s="83"/>
      <c r="G122" s="83">
        <v>1</v>
      </c>
      <c r="H122" s="219">
        <v>1.8</v>
      </c>
      <c r="I122" s="219">
        <v>6</v>
      </c>
      <c r="J122" s="219"/>
      <c r="K122" s="219" t="s">
        <v>1403</v>
      </c>
      <c r="L122" s="80"/>
      <c r="M122" s="80"/>
      <c r="N122" s="181"/>
      <c r="O122" s="80"/>
      <c r="P122" s="80" t="s">
        <v>120</v>
      </c>
      <c r="Q122" s="134" t="s">
        <v>1581</v>
      </c>
      <c r="R122" s="75" t="s">
        <v>1580</v>
      </c>
      <c r="S122" s="81" t="str">
        <f t="shared" si="5"/>
        <v>!</v>
      </c>
      <c r="T122" s="72" t="str">
        <f t="shared" si="6"/>
        <v/>
      </c>
      <c r="U122" s="72" t="str">
        <f t="shared" si="7"/>
        <v/>
      </c>
    </row>
    <row r="123" spans="1:21" ht="81">
      <c r="A123" s="74">
        <f t="shared" si="9"/>
        <v>103</v>
      </c>
      <c r="B123" s="219" t="s">
        <v>730</v>
      </c>
      <c r="C123" s="219"/>
      <c r="D123" s="219"/>
      <c r="E123" s="83" t="s">
        <v>635</v>
      </c>
      <c r="F123" s="83"/>
      <c r="G123" s="83">
        <v>6</v>
      </c>
      <c r="H123" s="219" t="s">
        <v>838</v>
      </c>
      <c r="I123" s="219">
        <v>24</v>
      </c>
      <c r="J123" s="219"/>
      <c r="K123" s="219" t="s">
        <v>1404</v>
      </c>
      <c r="L123" s="80"/>
      <c r="M123" s="242" t="s">
        <v>1744</v>
      </c>
      <c r="N123" s="181"/>
      <c r="O123" s="80"/>
      <c r="P123" s="80" t="s">
        <v>120</v>
      </c>
      <c r="Q123" s="134" t="s">
        <v>1581</v>
      </c>
      <c r="R123" s="75" t="s">
        <v>1580</v>
      </c>
      <c r="S123" s="81" t="str">
        <f t="shared" si="5"/>
        <v>!</v>
      </c>
      <c r="T123" s="72" t="str">
        <f t="shared" si="6"/>
        <v/>
      </c>
      <c r="U123" s="72" t="str">
        <f t="shared" si="7"/>
        <v/>
      </c>
    </row>
    <row r="124" spans="1:21" ht="40.5">
      <c r="A124" s="74">
        <f t="shared" si="9"/>
        <v>104</v>
      </c>
      <c r="B124" s="219" t="s">
        <v>731</v>
      </c>
      <c r="C124" s="219"/>
      <c r="D124" s="219"/>
      <c r="E124" s="83" t="s">
        <v>635</v>
      </c>
      <c r="F124" s="83"/>
      <c r="G124" s="83">
        <v>6</v>
      </c>
      <c r="H124" s="219"/>
      <c r="I124" s="219" t="s">
        <v>884</v>
      </c>
      <c r="J124" s="219"/>
      <c r="K124" s="219" t="s">
        <v>1405</v>
      </c>
      <c r="L124" s="80"/>
      <c r="M124" s="242" t="s">
        <v>1745</v>
      </c>
      <c r="N124" s="181"/>
      <c r="O124" s="80"/>
      <c r="P124" s="80" t="s">
        <v>120</v>
      </c>
      <c r="Q124" s="134" t="s">
        <v>1581</v>
      </c>
      <c r="R124" s="75" t="s">
        <v>1580</v>
      </c>
      <c r="S124" s="81" t="str">
        <f t="shared" si="5"/>
        <v>!</v>
      </c>
      <c r="T124" s="72" t="str">
        <f t="shared" si="6"/>
        <v/>
      </c>
      <c r="U124" s="72" t="str">
        <f t="shared" si="7"/>
        <v/>
      </c>
    </row>
    <row r="125" spans="1:21" ht="40.5" hidden="1">
      <c r="A125" s="74">
        <f t="shared" si="9"/>
        <v>105</v>
      </c>
      <c r="B125" s="219" t="s">
        <v>732</v>
      </c>
      <c r="C125" s="219"/>
      <c r="D125" s="219"/>
      <c r="E125" s="83" t="s">
        <v>638</v>
      </c>
      <c r="F125" s="83"/>
      <c r="G125" s="83">
        <v>6</v>
      </c>
      <c r="H125" s="219"/>
      <c r="I125" s="219" t="s">
        <v>885</v>
      </c>
      <c r="J125" s="219"/>
      <c r="K125" s="219" t="s">
        <v>932</v>
      </c>
      <c r="L125" s="80"/>
      <c r="M125" s="80"/>
      <c r="N125" s="181" t="s">
        <v>1732</v>
      </c>
      <c r="O125" s="80"/>
      <c r="P125" s="80" t="s">
        <v>120</v>
      </c>
      <c r="Q125" s="134" t="s">
        <v>1647</v>
      </c>
      <c r="R125" s="75" t="s">
        <v>1580</v>
      </c>
      <c r="S125" s="81" t="str">
        <f t="shared" si="5"/>
        <v>!</v>
      </c>
      <c r="T125" s="72" t="str">
        <f t="shared" si="6"/>
        <v/>
      </c>
      <c r="U125" s="72" t="str">
        <f t="shared" si="7"/>
        <v/>
      </c>
    </row>
    <row r="126" spans="1:21" ht="67.5" hidden="1">
      <c r="A126" s="74">
        <f t="shared" si="9"/>
        <v>106</v>
      </c>
      <c r="B126" s="219" t="s">
        <v>733</v>
      </c>
      <c r="C126" s="219"/>
      <c r="D126" s="219"/>
      <c r="E126" s="83" t="s">
        <v>638</v>
      </c>
      <c r="F126" s="83"/>
      <c r="G126" s="83">
        <v>6</v>
      </c>
      <c r="H126" s="219"/>
      <c r="I126" s="219" t="s">
        <v>886</v>
      </c>
      <c r="J126" s="219"/>
      <c r="K126" s="219" t="s">
        <v>1406</v>
      </c>
      <c r="L126" s="80"/>
      <c r="M126" s="80"/>
      <c r="N126" s="181" t="s">
        <v>931</v>
      </c>
      <c r="O126" s="80"/>
      <c r="P126" s="80" t="s">
        <v>120</v>
      </c>
      <c r="Q126" s="134" t="s">
        <v>1647</v>
      </c>
      <c r="R126" s="75" t="s">
        <v>1580</v>
      </c>
      <c r="S126" s="81" t="str">
        <f t="shared" si="5"/>
        <v>!</v>
      </c>
      <c r="T126" s="72" t="str">
        <f t="shared" si="6"/>
        <v/>
      </c>
      <c r="U126" s="72" t="str">
        <f t="shared" si="7"/>
        <v/>
      </c>
    </row>
    <row r="127" spans="1:21" ht="67.5" hidden="1">
      <c r="A127" s="74">
        <f t="shared" si="9"/>
        <v>107</v>
      </c>
      <c r="B127" s="219" t="s">
        <v>734</v>
      </c>
      <c r="C127" s="219"/>
      <c r="D127" s="219"/>
      <c r="E127" s="83" t="s">
        <v>638</v>
      </c>
      <c r="F127" s="83"/>
      <c r="G127" s="83">
        <v>6</v>
      </c>
      <c r="H127" s="219"/>
      <c r="I127" s="219" t="s">
        <v>887</v>
      </c>
      <c r="J127" s="219"/>
      <c r="K127" s="219" t="s">
        <v>809</v>
      </c>
      <c r="L127" s="80"/>
      <c r="M127" s="80"/>
      <c r="N127" s="181" t="s">
        <v>930</v>
      </c>
      <c r="O127" s="80"/>
      <c r="P127" s="80" t="s">
        <v>120</v>
      </c>
      <c r="Q127" s="134" t="s">
        <v>1647</v>
      </c>
      <c r="R127" s="75" t="s">
        <v>1580</v>
      </c>
      <c r="S127" s="81" t="str">
        <f t="shared" si="5"/>
        <v>!</v>
      </c>
      <c r="T127" s="72" t="str">
        <f t="shared" si="6"/>
        <v/>
      </c>
      <c r="U127" s="72" t="str">
        <f t="shared" si="7"/>
        <v/>
      </c>
    </row>
    <row r="128" spans="1:21" ht="40.5" hidden="1">
      <c r="A128" s="74">
        <f t="shared" si="9"/>
        <v>108</v>
      </c>
      <c r="B128" s="219" t="s">
        <v>735</v>
      </c>
      <c r="C128" s="219"/>
      <c r="D128" s="219"/>
      <c r="E128" s="83" t="s">
        <v>638</v>
      </c>
      <c r="F128" s="83"/>
      <c r="G128" s="83">
        <v>6</v>
      </c>
      <c r="H128" s="219"/>
      <c r="I128" s="219" t="s">
        <v>888</v>
      </c>
      <c r="J128" s="219"/>
      <c r="K128" s="219" t="s">
        <v>929</v>
      </c>
      <c r="L128" s="80"/>
      <c r="M128" s="80"/>
      <c r="N128" s="181" t="s">
        <v>1731</v>
      </c>
      <c r="O128" s="80"/>
      <c r="P128" s="80" t="s">
        <v>120</v>
      </c>
      <c r="Q128" s="134" t="s">
        <v>1647</v>
      </c>
      <c r="R128" s="75" t="s">
        <v>1580</v>
      </c>
      <c r="S128" s="81" t="str">
        <f t="shared" si="5"/>
        <v>!</v>
      </c>
      <c r="T128" s="72" t="str">
        <f t="shared" si="6"/>
        <v/>
      </c>
      <c r="U128" s="72" t="str">
        <f t="shared" si="7"/>
        <v/>
      </c>
    </row>
    <row r="129" spans="1:21" ht="67.5" hidden="1">
      <c r="A129" s="74">
        <f t="shared" si="9"/>
        <v>109</v>
      </c>
      <c r="B129" s="219" t="s">
        <v>736</v>
      </c>
      <c r="C129" s="219"/>
      <c r="D129" s="219"/>
      <c r="E129" s="83" t="s">
        <v>635</v>
      </c>
      <c r="F129" s="83"/>
      <c r="G129" s="83">
        <v>6</v>
      </c>
      <c r="H129" s="219"/>
      <c r="I129" s="219" t="s">
        <v>889</v>
      </c>
      <c r="J129" s="219"/>
      <c r="K129" s="219" t="s">
        <v>1407</v>
      </c>
      <c r="L129" s="80"/>
      <c r="M129" s="80"/>
      <c r="N129" s="181" t="s">
        <v>928</v>
      </c>
      <c r="O129" s="80"/>
      <c r="P129" s="80" t="s">
        <v>120</v>
      </c>
      <c r="Q129" s="134" t="s">
        <v>1647</v>
      </c>
      <c r="R129" s="75" t="s">
        <v>1580</v>
      </c>
      <c r="S129" s="81" t="str">
        <f t="shared" si="5"/>
        <v>!</v>
      </c>
      <c r="T129" s="72" t="str">
        <f t="shared" si="6"/>
        <v/>
      </c>
      <c r="U129" s="72" t="str">
        <f t="shared" si="7"/>
        <v/>
      </c>
    </row>
    <row r="130" spans="1:21" ht="40.5" hidden="1">
      <c r="A130" s="74">
        <f t="shared" si="9"/>
        <v>110</v>
      </c>
      <c r="B130" s="219" t="s">
        <v>737</v>
      </c>
      <c r="C130" s="219"/>
      <c r="D130" s="219"/>
      <c r="E130" s="83" t="s">
        <v>635</v>
      </c>
      <c r="F130" s="83"/>
      <c r="G130" s="83">
        <v>6</v>
      </c>
      <c r="H130" s="219"/>
      <c r="I130" s="219" t="s">
        <v>890</v>
      </c>
      <c r="J130" s="219"/>
      <c r="K130" s="219" t="s">
        <v>1408</v>
      </c>
      <c r="L130" s="80"/>
      <c r="M130" s="80"/>
      <c r="N130" s="181" t="s">
        <v>1730</v>
      </c>
      <c r="O130" s="80"/>
      <c r="P130" s="80" t="s">
        <v>120</v>
      </c>
      <c r="Q130" s="134" t="s">
        <v>1647</v>
      </c>
      <c r="R130" s="75" t="s">
        <v>1580</v>
      </c>
      <c r="S130" s="81" t="str">
        <f t="shared" si="5"/>
        <v>!</v>
      </c>
      <c r="T130" s="72" t="str">
        <f t="shared" si="6"/>
        <v/>
      </c>
      <c r="U130" s="72" t="str">
        <f t="shared" si="7"/>
        <v/>
      </c>
    </row>
    <row r="131" spans="1:21" ht="40.5" hidden="1">
      <c r="A131" s="74">
        <f t="shared" si="9"/>
        <v>111</v>
      </c>
      <c r="B131" s="219" t="s">
        <v>738</v>
      </c>
      <c r="C131" s="219"/>
      <c r="D131" s="219"/>
      <c r="E131" s="83" t="s">
        <v>635</v>
      </c>
      <c r="F131" s="83"/>
      <c r="G131" s="83">
        <v>6</v>
      </c>
      <c r="H131" s="219"/>
      <c r="I131" s="219" t="s">
        <v>891</v>
      </c>
      <c r="J131" s="219"/>
      <c r="K131" s="219" t="s">
        <v>810</v>
      </c>
      <c r="L131" s="80"/>
      <c r="M131" s="80"/>
      <c r="N131" s="181" t="s">
        <v>1729</v>
      </c>
      <c r="O131" s="80"/>
      <c r="P131" s="80" t="s">
        <v>120</v>
      </c>
      <c r="Q131" s="134" t="s">
        <v>1647</v>
      </c>
      <c r="R131" s="75" t="s">
        <v>1580</v>
      </c>
      <c r="S131" s="81" t="str">
        <f t="shared" si="5"/>
        <v>!</v>
      </c>
      <c r="T131" s="72" t="str">
        <f t="shared" si="6"/>
        <v/>
      </c>
      <c r="U131" s="72" t="str">
        <f t="shared" si="7"/>
        <v/>
      </c>
    </row>
    <row r="132" spans="1:21" ht="40.5" hidden="1">
      <c r="A132" s="74">
        <f t="shared" si="9"/>
        <v>112</v>
      </c>
      <c r="B132" s="219" t="s">
        <v>739</v>
      </c>
      <c r="C132" s="219"/>
      <c r="D132" s="219"/>
      <c r="E132" s="83" t="s">
        <v>635</v>
      </c>
      <c r="F132" s="83"/>
      <c r="G132" s="83">
        <v>6</v>
      </c>
      <c r="H132" s="219"/>
      <c r="I132" s="219" t="s">
        <v>892</v>
      </c>
      <c r="J132" s="219"/>
      <c r="K132" s="219" t="s">
        <v>1409</v>
      </c>
      <c r="L132" s="80"/>
      <c r="M132" s="80"/>
      <c r="N132" s="181" t="s">
        <v>1729</v>
      </c>
      <c r="O132" s="80"/>
      <c r="P132" s="80" t="s">
        <v>120</v>
      </c>
      <c r="Q132" s="134" t="s">
        <v>1647</v>
      </c>
      <c r="R132" s="75" t="s">
        <v>1580</v>
      </c>
      <c r="S132" s="81" t="str">
        <f t="shared" si="5"/>
        <v>!</v>
      </c>
      <c r="T132" s="72" t="str">
        <f t="shared" si="6"/>
        <v/>
      </c>
      <c r="U132" s="72" t="str">
        <f t="shared" si="7"/>
        <v/>
      </c>
    </row>
    <row r="133" spans="1:21" ht="40.5" hidden="1">
      <c r="A133" s="74">
        <f t="shared" si="9"/>
        <v>113</v>
      </c>
      <c r="B133" s="219" t="s">
        <v>740</v>
      </c>
      <c r="C133" s="219"/>
      <c r="D133" s="219"/>
      <c r="E133" s="83" t="s">
        <v>648</v>
      </c>
      <c r="F133" s="83"/>
      <c r="G133" s="83">
        <v>6</v>
      </c>
      <c r="H133" s="219" t="s">
        <v>845</v>
      </c>
      <c r="I133" s="219" t="s">
        <v>893</v>
      </c>
      <c r="J133" s="219"/>
      <c r="K133" s="219" t="s">
        <v>1410</v>
      </c>
      <c r="L133" s="80"/>
      <c r="M133" s="80" t="s">
        <v>644</v>
      </c>
      <c r="N133" s="181"/>
      <c r="O133" s="80"/>
      <c r="P133" s="80" t="s">
        <v>120</v>
      </c>
      <c r="Q133" s="134" t="s">
        <v>1581</v>
      </c>
      <c r="R133" s="75" t="s">
        <v>1580</v>
      </c>
      <c r="S133" s="81" t="str">
        <f t="shared" si="5"/>
        <v>!</v>
      </c>
      <c r="T133" s="72" t="str">
        <f t="shared" si="6"/>
        <v/>
      </c>
      <c r="U133" s="72" t="str">
        <f t="shared" si="7"/>
        <v/>
      </c>
    </row>
    <row r="134" spans="1:21" ht="27" hidden="1">
      <c r="A134" s="74">
        <f t="shared" si="9"/>
        <v>114</v>
      </c>
      <c r="B134" s="219" t="s">
        <v>741</v>
      </c>
      <c r="C134" s="219"/>
      <c r="D134" s="219"/>
      <c r="E134" s="83" t="s">
        <v>648</v>
      </c>
      <c r="F134" s="83"/>
      <c r="G134" s="83">
        <v>1</v>
      </c>
      <c r="H134" s="219">
        <v>1</v>
      </c>
      <c r="I134" s="219" t="s">
        <v>894</v>
      </c>
      <c r="J134" s="219"/>
      <c r="K134" s="219" t="s">
        <v>811</v>
      </c>
      <c r="L134" s="80"/>
      <c r="M134" s="80"/>
      <c r="N134" s="181"/>
      <c r="O134" s="80"/>
      <c r="P134" s="80" t="s">
        <v>120</v>
      </c>
      <c r="Q134" s="134" t="s">
        <v>1581</v>
      </c>
      <c r="R134" s="75" t="s">
        <v>1580</v>
      </c>
      <c r="S134" s="81" t="str">
        <f t="shared" si="5"/>
        <v>!</v>
      </c>
      <c r="T134" s="72" t="str">
        <f t="shared" si="6"/>
        <v/>
      </c>
      <c r="U134" s="72" t="str">
        <f t="shared" si="7"/>
        <v/>
      </c>
    </row>
    <row r="135" spans="1:21" ht="40.5" hidden="1">
      <c r="A135" s="74">
        <f t="shared" si="9"/>
        <v>115</v>
      </c>
      <c r="B135" s="219" t="s">
        <v>742</v>
      </c>
      <c r="C135" s="219"/>
      <c r="D135" s="219"/>
      <c r="E135" s="83" t="s">
        <v>627</v>
      </c>
      <c r="F135" s="83"/>
      <c r="G135" s="83">
        <v>1</v>
      </c>
      <c r="H135" s="219">
        <v>1.2</v>
      </c>
      <c r="I135" s="219" t="s">
        <v>895</v>
      </c>
      <c r="J135" s="219"/>
      <c r="K135" s="219" t="s">
        <v>812</v>
      </c>
      <c r="L135" s="80"/>
      <c r="M135" s="80"/>
      <c r="N135" s="181" t="s">
        <v>141</v>
      </c>
      <c r="O135" s="80"/>
      <c r="P135" s="80" t="s">
        <v>120</v>
      </c>
      <c r="Q135" s="134" t="s">
        <v>1647</v>
      </c>
      <c r="R135" s="75" t="s">
        <v>1580</v>
      </c>
      <c r="S135" s="81" t="str">
        <f t="shared" si="5"/>
        <v>!</v>
      </c>
      <c r="T135" s="72" t="str">
        <f t="shared" si="6"/>
        <v/>
      </c>
      <c r="U135" s="72" t="str">
        <f t="shared" si="7"/>
        <v/>
      </c>
    </row>
    <row r="136" spans="1:21" ht="40.5" hidden="1">
      <c r="A136" s="74">
        <f t="shared" si="9"/>
        <v>116</v>
      </c>
      <c r="B136" s="219" t="s">
        <v>743</v>
      </c>
      <c r="C136" s="219"/>
      <c r="D136" s="219"/>
      <c r="E136" s="83" t="s">
        <v>627</v>
      </c>
      <c r="F136" s="83"/>
      <c r="G136" s="83">
        <v>1</v>
      </c>
      <c r="H136" s="219">
        <v>1.2</v>
      </c>
      <c r="I136" s="219" t="s">
        <v>896</v>
      </c>
      <c r="J136" s="219"/>
      <c r="K136" s="219" t="s">
        <v>1411</v>
      </c>
      <c r="L136" s="80"/>
      <c r="M136" s="80"/>
      <c r="N136" s="181" t="s">
        <v>141</v>
      </c>
      <c r="O136" s="80"/>
      <c r="P136" s="80" t="s">
        <v>120</v>
      </c>
      <c r="Q136" s="134" t="s">
        <v>1647</v>
      </c>
      <c r="R136" s="75" t="s">
        <v>1580</v>
      </c>
      <c r="S136" s="81" t="str">
        <f t="shared" si="5"/>
        <v>!</v>
      </c>
      <c r="T136" s="72" t="str">
        <f t="shared" si="6"/>
        <v/>
      </c>
      <c r="U136" s="72" t="str">
        <f t="shared" si="7"/>
        <v/>
      </c>
    </row>
    <row r="137" spans="1:21" ht="40.5" hidden="1">
      <c r="A137" s="74">
        <f t="shared" si="9"/>
        <v>117</v>
      </c>
      <c r="B137" s="219" t="s">
        <v>744</v>
      </c>
      <c r="C137" s="219"/>
      <c r="D137" s="219"/>
      <c r="E137" s="83" t="s">
        <v>627</v>
      </c>
      <c r="F137" s="83"/>
      <c r="G137" s="83">
        <v>1</v>
      </c>
      <c r="H137" s="219">
        <v>1.2</v>
      </c>
      <c r="I137" s="219" t="s">
        <v>897</v>
      </c>
      <c r="J137" s="219"/>
      <c r="K137" s="219" t="s">
        <v>813</v>
      </c>
      <c r="L137" s="80"/>
      <c r="M137" s="80"/>
      <c r="N137" s="181"/>
      <c r="O137" s="80"/>
      <c r="P137" s="80" t="s">
        <v>120</v>
      </c>
      <c r="Q137" s="134" t="s">
        <v>1647</v>
      </c>
      <c r="R137" s="75" t="s">
        <v>1580</v>
      </c>
      <c r="S137" s="81" t="str">
        <f t="shared" si="5"/>
        <v>!</v>
      </c>
      <c r="T137" s="72" t="str">
        <f t="shared" si="6"/>
        <v/>
      </c>
      <c r="U137" s="72" t="str">
        <f t="shared" si="7"/>
        <v/>
      </c>
    </row>
    <row r="138" spans="1:21" ht="40.5" hidden="1">
      <c r="A138" s="74">
        <f t="shared" si="9"/>
        <v>118</v>
      </c>
      <c r="B138" s="219" t="s">
        <v>745</v>
      </c>
      <c r="C138" s="219"/>
      <c r="D138" s="219"/>
      <c r="E138" s="83" t="s">
        <v>627</v>
      </c>
      <c r="F138" s="83"/>
      <c r="G138" s="83">
        <v>1</v>
      </c>
      <c r="H138" s="219">
        <v>1.4</v>
      </c>
      <c r="I138" s="219" t="s">
        <v>898</v>
      </c>
      <c r="J138" s="219"/>
      <c r="K138" s="219" t="s">
        <v>814</v>
      </c>
      <c r="L138" s="80"/>
      <c r="M138" s="80"/>
      <c r="N138" s="181" t="s">
        <v>1691</v>
      </c>
      <c r="O138" s="80"/>
      <c r="P138" s="80" t="s">
        <v>120</v>
      </c>
      <c r="Q138" s="134" t="s">
        <v>1647</v>
      </c>
      <c r="R138" s="75" t="s">
        <v>1580</v>
      </c>
      <c r="S138" s="81" t="str">
        <f t="shared" si="5"/>
        <v>!</v>
      </c>
      <c r="T138" s="72" t="str">
        <f t="shared" si="6"/>
        <v/>
      </c>
      <c r="U138" s="72" t="str">
        <f t="shared" si="7"/>
        <v/>
      </c>
    </row>
    <row r="139" spans="1:21" ht="40.5" hidden="1">
      <c r="A139" s="74">
        <f t="shared" si="9"/>
        <v>119</v>
      </c>
      <c r="B139" s="219" t="s">
        <v>746</v>
      </c>
      <c r="C139" s="219"/>
      <c r="D139" s="219"/>
      <c r="E139" s="83" t="s">
        <v>627</v>
      </c>
      <c r="F139" s="83"/>
      <c r="G139" s="83">
        <v>1</v>
      </c>
      <c r="H139" s="219">
        <v>1.5</v>
      </c>
      <c r="I139" s="219" t="s">
        <v>899</v>
      </c>
      <c r="J139" s="219"/>
      <c r="K139" s="219" t="s">
        <v>815</v>
      </c>
      <c r="L139" s="80"/>
      <c r="M139" s="80"/>
      <c r="N139" s="181"/>
      <c r="O139" s="80"/>
      <c r="P139" s="80" t="s">
        <v>120</v>
      </c>
      <c r="Q139" s="134" t="s">
        <v>1647</v>
      </c>
      <c r="R139" s="75" t="s">
        <v>1580</v>
      </c>
      <c r="S139" s="81" t="str">
        <f t="shared" si="5"/>
        <v>!</v>
      </c>
      <c r="T139" s="72" t="str">
        <f t="shared" si="6"/>
        <v/>
      </c>
      <c r="U139" s="72" t="str">
        <f t="shared" si="7"/>
        <v/>
      </c>
    </row>
    <row r="140" spans="1:21" ht="40.5" hidden="1">
      <c r="A140" s="74">
        <f t="shared" si="9"/>
        <v>120</v>
      </c>
      <c r="B140" s="219" t="s">
        <v>747</v>
      </c>
      <c r="C140" s="219"/>
      <c r="D140" s="219"/>
      <c r="E140" s="83" t="s">
        <v>627</v>
      </c>
      <c r="F140" s="83"/>
      <c r="G140" s="83">
        <v>1</v>
      </c>
      <c r="H140" s="219">
        <v>1.7</v>
      </c>
      <c r="I140" s="219" t="s">
        <v>900</v>
      </c>
      <c r="J140" s="219"/>
      <c r="K140" s="219" t="s">
        <v>816</v>
      </c>
      <c r="L140" s="80"/>
      <c r="M140" s="80"/>
      <c r="N140" s="181"/>
      <c r="O140" s="80"/>
      <c r="P140" s="80" t="s">
        <v>120</v>
      </c>
      <c r="Q140" s="134" t="s">
        <v>1647</v>
      </c>
      <c r="R140" s="75" t="s">
        <v>1580</v>
      </c>
      <c r="S140" s="81" t="str">
        <f t="shared" si="5"/>
        <v>!</v>
      </c>
      <c r="T140" s="72" t="str">
        <f t="shared" si="6"/>
        <v/>
      </c>
      <c r="U140" s="72" t="str">
        <f t="shared" si="7"/>
        <v/>
      </c>
    </row>
    <row r="141" spans="1:21" ht="40.5" hidden="1">
      <c r="A141" s="74">
        <f t="shared" si="9"/>
        <v>121</v>
      </c>
      <c r="B141" s="219" t="s">
        <v>748</v>
      </c>
      <c r="C141" s="219"/>
      <c r="D141" s="219"/>
      <c r="E141" s="83" t="s">
        <v>627</v>
      </c>
      <c r="F141" s="83"/>
      <c r="G141" s="83">
        <v>1</v>
      </c>
      <c r="H141" s="219">
        <v>1.8</v>
      </c>
      <c r="I141" s="219" t="s">
        <v>901</v>
      </c>
      <c r="J141" s="219"/>
      <c r="K141" s="219" t="s">
        <v>817</v>
      </c>
      <c r="L141" s="80"/>
      <c r="M141" s="80"/>
      <c r="N141" s="181"/>
      <c r="O141" s="80"/>
      <c r="P141" s="80" t="s">
        <v>120</v>
      </c>
      <c r="Q141" s="134" t="s">
        <v>1647</v>
      </c>
      <c r="R141" s="75" t="s">
        <v>1580</v>
      </c>
      <c r="S141" s="81" t="str">
        <f t="shared" si="5"/>
        <v>!</v>
      </c>
      <c r="T141" s="72" t="str">
        <f t="shared" si="6"/>
        <v/>
      </c>
      <c r="U141" s="72" t="str">
        <f t="shared" si="7"/>
        <v/>
      </c>
    </row>
    <row r="142" spans="1:21" ht="27" hidden="1">
      <c r="A142" s="74">
        <f t="shared" si="9"/>
        <v>122</v>
      </c>
      <c r="B142" s="219" t="s">
        <v>749</v>
      </c>
      <c r="C142" s="219"/>
      <c r="D142" s="219"/>
      <c r="E142" s="83" t="s">
        <v>631</v>
      </c>
      <c r="F142" s="83"/>
      <c r="G142" s="83">
        <v>11</v>
      </c>
      <c r="H142" s="219">
        <v>11</v>
      </c>
      <c r="I142" s="219" t="s">
        <v>902</v>
      </c>
      <c r="J142" s="219"/>
      <c r="K142" s="219" t="s">
        <v>818</v>
      </c>
      <c r="L142" s="80"/>
      <c r="M142" s="80"/>
      <c r="N142" s="181"/>
      <c r="O142" s="80"/>
      <c r="P142" s="80" t="s">
        <v>120</v>
      </c>
      <c r="Q142" s="134" t="s">
        <v>1581</v>
      </c>
      <c r="R142" s="75" t="s">
        <v>1580</v>
      </c>
      <c r="S142" s="81" t="str">
        <f t="shared" si="5"/>
        <v>!</v>
      </c>
      <c r="T142" s="72" t="str">
        <f t="shared" si="6"/>
        <v/>
      </c>
      <c r="U142" s="72" t="str">
        <f t="shared" si="7"/>
        <v/>
      </c>
    </row>
    <row r="143" spans="1:21" ht="40.5" hidden="1">
      <c r="A143" s="74">
        <f t="shared" si="9"/>
        <v>123</v>
      </c>
      <c r="B143" s="219" t="s">
        <v>750</v>
      </c>
      <c r="C143" s="219"/>
      <c r="D143" s="219"/>
      <c r="E143" s="83" t="s">
        <v>627</v>
      </c>
      <c r="F143" s="83"/>
      <c r="G143" s="83">
        <v>13</v>
      </c>
      <c r="H143" s="219">
        <v>13.3</v>
      </c>
      <c r="I143" s="219" t="s">
        <v>903</v>
      </c>
      <c r="J143" s="219"/>
      <c r="K143" s="219" t="s">
        <v>819</v>
      </c>
      <c r="L143" s="80"/>
      <c r="M143" s="80"/>
      <c r="N143" s="181" t="s">
        <v>1728</v>
      </c>
      <c r="O143" s="80"/>
      <c r="P143" s="80" t="s">
        <v>120</v>
      </c>
      <c r="Q143" s="134" t="s">
        <v>1647</v>
      </c>
      <c r="R143" s="75" t="s">
        <v>1580</v>
      </c>
      <c r="S143" s="81" t="str">
        <f t="shared" si="5"/>
        <v>!</v>
      </c>
      <c r="T143" s="72" t="str">
        <f t="shared" si="6"/>
        <v/>
      </c>
      <c r="U143" s="72" t="str">
        <f t="shared" si="7"/>
        <v/>
      </c>
    </row>
    <row r="144" spans="1:21" ht="27" hidden="1">
      <c r="A144" s="74">
        <f t="shared" si="9"/>
        <v>124</v>
      </c>
      <c r="B144" s="219" t="s">
        <v>751</v>
      </c>
      <c r="C144" s="219"/>
      <c r="D144" s="219"/>
      <c r="E144" s="83" t="s">
        <v>648</v>
      </c>
      <c r="F144" s="83"/>
      <c r="G144" s="83" t="s">
        <v>1575</v>
      </c>
      <c r="H144" s="219" t="s">
        <v>846</v>
      </c>
      <c r="I144" s="219" t="s">
        <v>904</v>
      </c>
      <c r="J144" s="219"/>
      <c r="K144" s="219" t="s">
        <v>927</v>
      </c>
      <c r="L144" s="80"/>
      <c r="M144" s="80"/>
      <c r="N144" s="181"/>
      <c r="O144" s="80"/>
      <c r="P144" s="80" t="s">
        <v>120</v>
      </c>
      <c r="Q144" s="134" t="s">
        <v>1581</v>
      </c>
      <c r="R144" s="75" t="s">
        <v>1580</v>
      </c>
      <c r="S144" s="81" t="str">
        <f t="shared" si="5"/>
        <v>!</v>
      </c>
      <c r="T144" s="72" t="str">
        <f t="shared" si="6"/>
        <v/>
      </c>
      <c r="U144" s="72" t="str">
        <f t="shared" si="7"/>
        <v/>
      </c>
    </row>
    <row r="145" spans="1:21" ht="40.5" hidden="1">
      <c r="A145" s="74">
        <f t="shared" si="9"/>
        <v>125</v>
      </c>
      <c r="B145" s="219" t="s">
        <v>752</v>
      </c>
      <c r="C145" s="219"/>
      <c r="D145" s="219"/>
      <c r="E145" s="83" t="s">
        <v>627</v>
      </c>
      <c r="F145" s="83"/>
      <c r="G145" s="83" t="s">
        <v>81</v>
      </c>
      <c r="H145" s="219" t="s">
        <v>847</v>
      </c>
      <c r="I145" s="219" t="s">
        <v>905</v>
      </c>
      <c r="J145" s="219"/>
      <c r="K145" s="219" t="s">
        <v>820</v>
      </c>
      <c r="L145" s="80"/>
      <c r="M145" s="80" t="s">
        <v>1645</v>
      </c>
      <c r="N145" s="181"/>
      <c r="O145" s="80"/>
      <c r="P145" s="80" t="s">
        <v>120</v>
      </c>
      <c r="Q145" s="134" t="s">
        <v>1647</v>
      </c>
      <c r="R145" s="75" t="s">
        <v>1580</v>
      </c>
      <c r="S145" s="81" t="str">
        <f t="shared" si="5"/>
        <v>!</v>
      </c>
      <c r="T145" s="72" t="str">
        <f t="shared" si="6"/>
        <v/>
      </c>
      <c r="U145" s="72" t="str">
        <f t="shared" si="7"/>
        <v/>
      </c>
    </row>
    <row r="146" spans="1:21" ht="40.5" hidden="1">
      <c r="A146" s="74">
        <f t="shared" si="9"/>
        <v>126</v>
      </c>
      <c r="B146" s="219" t="s">
        <v>753</v>
      </c>
      <c r="C146" s="219"/>
      <c r="D146" s="219"/>
      <c r="E146" s="83" t="s">
        <v>627</v>
      </c>
      <c r="F146" s="83"/>
      <c r="G146" s="83" t="s">
        <v>81</v>
      </c>
      <c r="H146" s="219" t="s">
        <v>848</v>
      </c>
      <c r="I146" s="219" t="s">
        <v>906</v>
      </c>
      <c r="J146" s="219"/>
      <c r="K146" s="219" t="s">
        <v>821</v>
      </c>
      <c r="L146" s="80"/>
      <c r="M146" s="80" t="s">
        <v>1646</v>
      </c>
      <c r="N146" s="181"/>
      <c r="O146" s="80"/>
      <c r="P146" s="80" t="s">
        <v>120</v>
      </c>
      <c r="Q146" s="134" t="s">
        <v>1647</v>
      </c>
      <c r="R146" s="75" t="s">
        <v>1580</v>
      </c>
      <c r="S146" s="81" t="str">
        <f t="shared" si="5"/>
        <v>!</v>
      </c>
      <c r="T146" s="72" t="str">
        <f t="shared" si="6"/>
        <v/>
      </c>
      <c r="U146" s="72" t="str">
        <f t="shared" si="7"/>
        <v/>
      </c>
    </row>
    <row r="147" spans="1:21" ht="40.5" hidden="1">
      <c r="A147" s="74">
        <f t="shared" si="9"/>
        <v>127</v>
      </c>
      <c r="B147" s="219" t="s">
        <v>754</v>
      </c>
      <c r="C147" s="219"/>
      <c r="D147" s="219"/>
      <c r="E147" s="83" t="s">
        <v>627</v>
      </c>
      <c r="F147" s="83"/>
      <c r="G147" s="83" t="s">
        <v>81</v>
      </c>
      <c r="H147" s="219" t="s">
        <v>849</v>
      </c>
      <c r="I147" s="219" t="s">
        <v>907</v>
      </c>
      <c r="J147" s="219"/>
      <c r="K147" s="219" t="s">
        <v>926</v>
      </c>
      <c r="L147" s="80"/>
      <c r="M147" s="80" t="s">
        <v>1648</v>
      </c>
      <c r="N147" s="181"/>
      <c r="O147" s="80"/>
      <c r="P147" s="80" t="s">
        <v>120</v>
      </c>
      <c r="Q147" s="134" t="s">
        <v>1647</v>
      </c>
      <c r="R147" s="75" t="s">
        <v>1580</v>
      </c>
      <c r="S147" s="81" t="str">
        <f t="shared" si="5"/>
        <v>!</v>
      </c>
      <c r="T147" s="72" t="str">
        <f t="shared" si="6"/>
        <v/>
      </c>
      <c r="U147" s="72" t="str">
        <f t="shared" si="7"/>
        <v/>
      </c>
    </row>
    <row r="148" spans="1:21" ht="40.5" hidden="1">
      <c r="A148" s="74">
        <f t="shared" si="9"/>
        <v>128</v>
      </c>
      <c r="B148" s="219" t="s">
        <v>755</v>
      </c>
      <c r="C148" s="219"/>
      <c r="D148" s="219"/>
      <c r="E148" s="83" t="s">
        <v>627</v>
      </c>
      <c r="F148" s="83"/>
      <c r="G148" s="83" t="s">
        <v>81</v>
      </c>
      <c r="H148" s="219" t="s">
        <v>849</v>
      </c>
      <c r="I148" s="219" t="s">
        <v>908</v>
      </c>
      <c r="J148" s="219"/>
      <c r="K148" s="219" t="s">
        <v>925</v>
      </c>
      <c r="L148" s="80"/>
      <c r="M148" s="80" t="s">
        <v>1649</v>
      </c>
      <c r="N148" s="181"/>
      <c r="O148" s="80"/>
      <c r="P148" s="80" t="s">
        <v>120</v>
      </c>
      <c r="Q148" s="134" t="s">
        <v>1647</v>
      </c>
      <c r="R148" s="75" t="s">
        <v>1580</v>
      </c>
      <c r="S148" s="81" t="str">
        <f t="shared" si="5"/>
        <v>!</v>
      </c>
      <c r="T148" s="72" t="str">
        <f t="shared" si="6"/>
        <v/>
      </c>
      <c r="U148" s="72" t="str">
        <f t="shared" si="7"/>
        <v/>
      </c>
    </row>
    <row r="149" spans="1:21" ht="54">
      <c r="A149" s="74">
        <f t="shared" si="9"/>
        <v>129</v>
      </c>
      <c r="B149" s="219" t="s">
        <v>756</v>
      </c>
      <c r="C149" s="219"/>
      <c r="D149" s="219"/>
      <c r="E149" s="83" t="s">
        <v>627</v>
      </c>
      <c r="F149" s="83"/>
      <c r="G149" s="83" t="s">
        <v>81</v>
      </c>
      <c r="H149" s="219" t="s">
        <v>849</v>
      </c>
      <c r="I149" s="219" t="s">
        <v>909</v>
      </c>
      <c r="J149" s="219"/>
      <c r="K149" s="219" t="s">
        <v>924</v>
      </c>
      <c r="L149" s="80"/>
      <c r="M149" s="80" t="s">
        <v>1738</v>
      </c>
      <c r="N149" s="181" t="s">
        <v>1650</v>
      </c>
      <c r="O149" s="80"/>
      <c r="P149" s="80" t="s">
        <v>120</v>
      </c>
      <c r="Q149" s="134" t="s">
        <v>1581</v>
      </c>
      <c r="R149" s="75" t="s">
        <v>1580</v>
      </c>
      <c r="S149" s="81" t="str">
        <f t="shared" ref="S149:S212" si="10">IF(OR(AND(CodeFileListUsed="Yes",D149="",COUNTA(B149:C149,E149:J149)&lt;&gt;0),AND(COUNTA(B149:C149,E149:J149)&lt;&gt;0, COUNTA(B149:C149,E149:J149)&lt;&gt;COUNTA(B$20:C$20,F$20:K$20))),CheckErr,CheckOK)</f>
        <v>!</v>
      </c>
      <c r="T149" s="72" t="str">
        <f t="shared" ref="T149:T212" si="11">IF(OR(ISBLANK(J149), AND(NOT(ISBLANK(L149)),OR(AND(O149="Accepted",OR(P149="Y",P149="y")),O149="Noted",O149="Duplicate",AND(O149="Rejected",NOT(ISBLANK(N149)))))),CheckOK,CheckErr)</f>
        <v/>
      </c>
      <c r="U149" s="72" t="str">
        <f t="shared" ref="U149:U212" si="12">IF(OR(ISBLANK(J149),NOT(ISBLANK(Q149))),CheckOK,CheckErr)</f>
        <v/>
      </c>
    </row>
    <row r="150" spans="1:21" ht="54" hidden="1">
      <c r="A150" s="74">
        <f t="shared" ref="A150:A213" si="13">A149+1</f>
        <v>130</v>
      </c>
      <c r="B150" s="219" t="s">
        <v>757</v>
      </c>
      <c r="C150" s="219"/>
      <c r="D150" s="219"/>
      <c r="E150" s="83" t="s">
        <v>627</v>
      </c>
      <c r="F150" s="83"/>
      <c r="G150" s="83" t="s">
        <v>81</v>
      </c>
      <c r="H150" s="219" t="s">
        <v>849</v>
      </c>
      <c r="I150" s="219" t="s">
        <v>910</v>
      </c>
      <c r="J150" s="219"/>
      <c r="K150" s="219" t="s">
        <v>822</v>
      </c>
      <c r="L150" s="80"/>
      <c r="M150" s="80"/>
      <c r="N150" s="181" t="s">
        <v>1651</v>
      </c>
      <c r="O150" s="80"/>
      <c r="P150" s="80" t="s">
        <v>120</v>
      </c>
      <c r="Q150" s="134" t="s">
        <v>1647</v>
      </c>
      <c r="R150" s="75" t="s">
        <v>1580</v>
      </c>
      <c r="S150" s="81" t="str">
        <f t="shared" si="10"/>
        <v>!</v>
      </c>
      <c r="T150" s="72" t="str">
        <f t="shared" si="11"/>
        <v/>
      </c>
      <c r="U150" s="72" t="str">
        <f t="shared" si="12"/>
        <v/>
      </c>
    </row>
    <row r="151" spans="1:21" ht="40.5" hidden="1">
      <c r="A151" s="74">
        <f t="shared" si="13"/>
        <v>131</v>
      </c>
      <c r="B151" s="219" t="s">
        <v>758</v>
      </c>
      <c r="C151" s="219"/>
      <c r="D151" s="219"/>
      <c r="E151" s="83" t="s">
        <v>627</v>
      </c>
      <c r="F151" s="83"/>
      <c r="G151" s="83" t="s">
        <v>81</v>
      </c>
      <c r="H151" s="219" t="s">
        <v>849</v>
      </c>
      <c r="I151" s="219" t="s">
        <v>911</v>
      </c>
      <c r="J151" s="219"/>
      <c r="K151" s="219" t="s">
        <v>823</v>
      </c>
      <c r="L151" s="80"/>
      <c r="M151" s="80" t="s">
        <v>1738</v>
      </c>
      <c r="N151" s="181" t="s">
        <v>1652</v>
      </c>
      <c r="O151" s="80"/>
      <c r="P151" s="80" t="s">
        <v>120</v>
      </c>
      <c r="Q151" s="134" t="s">
        <v>1647</v>
      </c>
      <c r="R151" s="75" t="s">
        <v>1580</v>
      </c>
      <c r="S151" s="81" t="str">
        <f t="shared" si="10"/>
        <v>!</v>
      </c>
      <c r="T151" s="72" t="str">
        <f t="shared" si="11"/>
        <v/>
      </c>
      <c r="U151" s="72" t="str">
        <f t="shared" si="12"/>
        <v/>
      </c>
    </row>
    <row r="152" spans="1:21" ht="40.5" hidden="1">
      <c r="A152" s="74">
        <f t="shared" si="13"/>
        <v>132</v>
      </c>
      <c r="B152" s="219" t="s">
        <v>759</v>
      </c>
      <c r="C152" s="219"/>
      <c r="D152" s="219"/>
      <c r="E152" s="83" t="s">
        <v>627</v>
      </c>
      <c r="F152" s="83"/>
      <c r="G152" s="83" t="s">
        <v>81</v>
      </c>
      <c r="H152" s="219" t="s">
        <v>849</v>
      </c>
      <c r="I152" s="219" t="s">
        <v>912</v>
      </c>
      <c r="J152" s="219"/>
      <c r="K152" s="219" t="s">
        <v>824</v>
      </c>
      <c r="L152" s="80"/>
      <c r="M152" s="80" t="s">
        <v>1653</v>
      </c>
      <c r="N152" s="181"/>
      <c r="O152" s="80"/>
      <c r="P152" s="80" t="s">
        <v>120</v>
      </c>
      <c r="Q152" s="134" t="s">
        <v>1647</v>
      </c>
      <c r="R152" s="75" t="s">
        <v>1580</v>
      </c>
      <c r="S152" s="81" t="str">
        <f t="shared" si="10"/>
        <v>!</v>
      </c>
      <c r="T152" s="72" t="str">
        <f t="shared" si="11"/>
        <v/>
      </c>
      <c r="U152" s="72" t="str">
        <f t="shared" si="12"/>
        <v/>
      </c>
    </row>
    <row r="153" spans="1:21" ht="40.5" hidden="1">
      <c r="A153" s="74">
        <f t="shared" si="13"/>
        <v>133</v>
      </c>
      <c r="B153" s="219" t="s">
        <v>760</v>
      </c>
      <c r="C153" s="219"/>
      <c r="D153" s="219"/>
      <c r="E153" s="83" t="s">
        <v>627</v>
      </c>
      <c r="F153" s="83"/>
      <c r="G153" s="83" t="s">
        <v>81</v>
      </c>
      <c r="H153" s="219" t="s">
        <v>849</v>
      </c>
      <c r="I153" s="219" t="s">
        <v>913</v>
      </c>
      <c r="J153" s="219"/>
      <c r="K153" s="219" t="s">
        <v>825</v>
      </c>
      <c r="L153" s="80"/>
      <c r="M153" s="80"/>
      <c r="N153" s="181" t="s">
        <v>141</v>
      </c>
      <c r="O153" s="80"/>
      <c r="P153" s="134" t="s">
        <v>1647</v>
      </c>
      <c r="Q153" s="134" t="s">
        <v>1647</v>
      </c>
      <c r="R153" s="75" t="s">
        <v>1580</v>
      </c>
      <c r="S153" s="81" t="str">
        <f t="shared" si="10"/>
        <v>!</v>
      </c>
      <c r="T153" s="72" t="str">
        <f t="shared" si="11"/>
        <v/>
      </c>
      <c r="U153" s="72" t="str">
        <f t="shared" si="12"/>
        <v/>
      </c>
    </row>
    <row r="154" spans="1:21" ht="40.5" hidden="1">
      <c r="A154" s="74">
        <f t="shared" si="13"/>
        <v>134</v>
      </c>
      <c r="B154" s="219" t="s">
        <v>761</v>
      </c>
      <c r="C154" s="219"/>
      <c r="D154" s="219"/>
      <c r="E154" s="83" t="s">
        <v>627</v>
      </c>
      <c r="F154" s="83"/>
      <c r="G154" s="83" t="s">
        <v>81</v>
      </c>
      <c r="H154" s="219" t="s">
        <v>849</v>
      </c>
      <c r="I154" s="219" t="s">
        <v>914</v>
      </c>
      <c r="J154" s="219"/>
      <c r="K154" s="219" t="s">
        <v>826</v>
      </c>
      <c r="L154" s="80"/>
      <c r="M154" s="80" t="s">
        <v>1654</v>
      </c>
      <c r="N154" s="181"/>
      <c r="O154" s="80"/>
      <c r="P154" s="80" t="s">
        <v>120</v>
      </c>
      <c r="Q154" s="134" t="s">
        <v>1647</v>
      </c>
      <c r="R154" s="75" t="s">
        <v>1580</v>
      </c>
      <c r="S154" s="81" t="str">
        <f t="shared" si="10"/>
        <v>!</v>
      </c>
      <c r="T154" s="72" t="str">
        <f t="shared" si="11"/>
        <v/>
      </c>
      <c r="U154" s="72" t="str">
        <f t="shared" si="12"/>
        <v/>
      </c>
    </row>
    <row r="155" spans="1:21" ht="40.5" hidden="1">
      <c r="A155" s="74">
        <f t="shared" si="13"/>
        <v>135</v>
      </c>
      <c r="B155" s="219" t="s">
        <v>762</v>
      </c>
      <c r="C155" s="219"/>
      <c r="D155" s="219"/>
      <c r="E155" s="83" t="s">
        <v>627</v>
      </c>
      <c r="F155" s="83"/>
      <c r="G155" s="83" t="s">
        <v>81</v>
      </c>
      <c r="H155" s="219" t="s">
        <v>849</v>
      </c>
      <c r="I155" s="219" t="s">
        <v>915</v>
      </c>
      <c r="J155" s="219"/>
      <c r="K155" s="219" t="s">
        <v>923</v>
      </c>
      <c r="L155" s="80"/>
      <c r="M155" s="80"/>
      <c r="N155" s="181" t="s">
        <v>141</v>
      </c>
      <c r="O155" s="80"/>
      <c r="P155" s="80" t="s">
        <v>120</v>
      </c>
      <c r="Q155" s="134" t="s">
        <v>1647</v>
      </c>
      <c r="R155" s="75" t="s">
        <v>1580</v>
      </c>
      <c r="S155" s="81" t="str">
        <f t="shared" si="10"/>
        <v>!</v>
      </c>
      <c r="T155" s="72" t="str">
        <f t="shared" si="11"/>
        <v/>
      </c>
      <c r="U155" s="72" t="str">
        <f t="shared" si="12"/>
        <v/>
      </c>
    </row>
    <row r="156" spans="1:21" ht="40.5" hidden="1">
      <c r="A156" s="74">
        <f t="shared" si="13"/>
        <v>136</v>
      </c>
      <c r="B156" s="219" t="s">
        <v>763</v>
      </c>
      <c r="C156" s="219"/>
      <c r="D156" s="219"/>
      <c r="E156" s="83" t="s">
        <v>627</v>
      </c>
      <c r="F156" s="83"/>
      <c r="G156" s="83" t="s">
        <v>81</v>
      </c>
      <c r="H156" s="219" t="s">
        <v>850</v>
      </c>
      <c r="I156" s="219" t="s">
        <v>916</v>
      </c>
      <c r="J156" s="219"/>
      <c r="K156" s="219" t="s">
        <v>827</v>
      </c>
      <c r="L156" s="80"/>
      <c r="M156" s="80"/>
      <c r="N156" s="181" t="s">
        <v>1655</v>
      </c>
      <c r="O156" s="80"/>
      <c r="P156" s="80" t="s">
        <v>120</v>
      </c>
      <c r="Q156" s="134" t="s">
        <v>1647</v>
      </c>
      <c r="R156" s="75" t="s">
        <v>1580</v>
      </c>
      <c r="S156" s="81" t="str">
        <f t="shared" si="10"/>
        <v>!</v>
      </c>
      <c r="T156" s="72" t="str">
        <f t="shared" si="11"/>
        <v/>
      </c>
      <c r="U156" s="72" t="str">
        <f t="shared" si="12"/>
        <v/>
      </c>
    </row>
    <row r="157" spans="1:21" ht="40.5" hidden="1">
      <c r="A157" s="74">
        <f t="shared" si="13"/>
        <v>137</v>
      </c>
      <c r="B157" s="219" t="s">
        <v>764</v>
      </c>
      <c r="C157" s="219"/>
      <c r="D157" s="219"/>
      <c r="E157" s="83" t="s">
        <v>627</v>
      </c>
      <c r="F157" s="83"/>
      <c r="G157" s="83" t="s">
        <v>81</v>
      </c>
      <c r="H157" s="219" t="s">
        <v>850</v>
      </c>
      <c r="I157" s="219" t="s">
        <v>917</v>
      </c>
      <c r="J157" s="219"/>
      <c r="K157" s="219" t="s">
        <v>825</v>
      </c>
      <c r="L157" s="80"/>
      <c r="M157" s="80"/>
      <c r="N157" s="181" t="s">
        <v>141</v>
      </c>
      <c r="O157" s="80"/>
      <c r="P157" s="134" t="s">
        <v>1647</v>
      </c>
      <c r="Q157" s="134" t="s">
        <v>1647</v>
      </c>
      <c r="R157" s="75" t="s">
        <v>1580</v>
      </c>
      <c r="S157" s="81" t="str">
        <f t="shared" si="10"/>
        <v>!</v>
      </c>
      <c r="T157" s="72" t="str">
        <f t="shared" si="11"/>
        <v/>
      </c>
      <c r="U157" s="72" t="str">
        <f t="shared" si="12"/>
        <v/>
      </c>
    </row>
    <row r="158" spans="1:21" ht="40.5" hidden="1">
      <c r="A158" s="74">
        <f t="shared" si="13"/>
        <v>138</v>
      </c>
      <c r="B158" s="219" t="s">
        <v>765</v>
      </c>
      <c r="C158" s="219"/>
      <c r="D158" s="219"/>
      <c r="E158" s="83" t="s">
        <v>627</v>
      </c>
      <c r="F158" s="83"/>
      <c r="G158" s="83" t="s">
        <v>81</v>
      </c>
      <c r="H158" s="219" t="s">
        <v>850</v>
      </c>
      <c r="I158" s="219" t="s">
        <v>918</v>
      </c>
      <c r="J158" s="219"/>
      <c r="K158" s="219" t="s">
        <v>825</v>
      </c>
      <c r="L158" s="80"/>
      <c r="M158" s="80"/>
      <c r="N158" s="181" t="s">
        <v>141</v>
      </c>
      <c r="O158" s="80"/>
      <c r="P158" s="80" t="s">
        <v>120</v>
      </c>
      <c r="Q158" s="134" t="s">
        <v>1647</v>
      </c>
      <c r="R158" s="75" t="s">
        <v>1580</v>
      </c>
      <c r="S158" s="81" t="str">
        <f t="shared" si="10"/>
        <v>!</v>
      </c>
      <c r="T158" s="72" t="str">
        <f t="shared" si="11"/>
        <v/>
      </c>
      <c r="U158" s="72" t="str">
        <f t="shared" si="12"/>
        <v/>
      </c>
    </row>
    <row r="159" spans="1:21" ht="67.5" hidden="1">
      <c r="A159" s="74">
        <f t="shared" si="13"/>
        <v>139</v>
      </c>
      <c r="B159" s="219" t="s">
        <v>766</v>
      </c>
      <c r="C159" s="219"/>
      <c r="D159" s="219"/>
      <c r="E159" s="83" t="s">
        <v>648</v>
      </c>
      <c r="F159" s="83"/>
      <c r="G159" s="83" t="s">
        <v>81</v>
      </c>
      <c r="H159" s="219" t="s">
        <v>851</v>
      </c>
      <c r="I159" s="219" t="s">
        <v>919</v>
      </c>
      <c r="J159" s="219"/>
      <c r="K159" s="219" t="s">
        <v>828</v>
      </c>
      <c r="L159" s="80"/>
      <c r="M159" s="80"/>
      <c r="N159" s="237" t="s">
        <v>1656</v>
      </c>
      <c r="O159" s="80"/>
      <c r="P159" s="80" t="s">
        <v>120</v>
      </c>
      <c r="Q159" s="134" t="s">
        <v>1581</v>
      </c>
      <c r="R159" s="75" t="s">
        <v>1580</v>
      </c>
      <c r="S159" s="81" t="str">
        <f t="shared" si="10"/>
        <v>!</v>
      </c>
      <c r="T159" s="72" t="str">
        <f t="shared" si="11"/>
        <v/>
      </c>
      <c r="U159" s="72" t="str">
        <f t="shared" si="12"/>
        <v/>
      </c>
    </row>
    <row r="160" spans="1:21" ht="40.5" hidden="1">
      <c r="A160" s="74">
        <f t="shared" si="13"/>
        <v>140</v>
      </c>
      <c r="B160" s="219" t="s">
        <v>767</v>
      </c>
      <c r="C160" s="219"/>
      <c r="D160" s="219"/>
      <c r="E160" s="83" t="s">
        <v>627</v>
      </c>
      <c r="F160" s="83"/>
      <c r="G160" s="83" t="s">
        <v>81</v>
      </c>
      <c r="H160" s="219" t="s">
        <v>852</v>
      </c>
      <c r="I160" s="219" t="s">
        <v>920</v>
      </c>
      <c r="J160" s="219"/>
      <c r="K160" s="219" t="s">
        <v>829</v>
      </c>
      <c r="L160" s="80"/>
      <c r="M160" s="80" t="s">
        <v>1657</v>
      </c>
      <c r="N160" s="237"/>
      <c r="O160" s="80"/>
      <c r="P160" s="80" t="s">
        <v>120</v>
      </c>
      <c r="Q160" s="134" t="s">
        <v>1647</v>
      </c>
      <c r="R160" s="75" t="s">
        <v>1580</v>
      </c>
      <c r="S160" s="81" t="str">
        <f t="shared" si="10"/>
        <v>!</v>
      </c>
      <c r="T160" s="72" t="str">
        <f t="shared" si="11"/>
        <v/>
      </c>
      <c r="U160" s="72" t="str">
        <f t="shared" si="12"/>
        <v/>
      </c>
    </row>
    <row r="161" spans="1:21" ht="54" hidden="1">
      <c r="A161" s="74">
        <f t="shared" si="13"/>
        <v>141</v>
      </c>
      <c r="B161" s="219" t="s">
        <v>768</v>
      </c>
      <c r="C161" s="219"/>
      <c r="D161" s="219"/>
      <c r="E161" s="83" t="s">
        <v>627</v>
      </c>
      <c r="F161" s="83"/>
      <c r="G161" s="83" t="s">
        <v>81</v>
      </c>
      <c r="H161" s="219" t="s">
        <v>853</v>
      </c>
      <c r="I161" s="219" t="s">
        <v>921</v>
      </c>
      <c r="J161" s="219"/>
      <c r="K161" s="219" t="s">
        <v>1663</v>
      </c>
      <c r="L161" s="80"/>
      <c r="M161" s="80"/>
      <c r="N161" s="237" t="s">
        <v>1658</v>
      </c>
      <c r="O161" s="80"/>
      <c r="P161" s="80" t="s">
        <v>120</v>
      </c>
      <c r="Q161" s="134" t="s">
        <v>1647</v>
      </c>
      <c r="R161" s="75" t="s">
        <v>1580</v>
      </c>
      <c r="S161" s="81" t="str">
        <f t="shared" si="10"/>
        <v>!</v>
      </c>
      <c r="T161" s="72" t="str">
        <f t="shared" si="11"/>
        <v/>
      </c>
      <c r="U161" s="72" t="str">
        <f t="shared" si="12"/>
        <v/>
      </c>
    </row>
    <row r="162" spans="1:21" ht="40.5" hidden="1">
      <c r="A162" s="74">
        <f t="shared" si="13"/>
        <v>142</v>
      </c>
      <c r="B162" s="219" t="s">
        <v>769</v>
      </c>
      <c r="C162" s="219"/>
      <c r="D162" s="219"/>
      <c r="E162" s="83" t="s">
        <v>648</v>
      </c>
      <c r="F162" s="83"/>
      <c r="G162" s="83" t="s">
        <v>81</v>
      </c>
      <c r="H162" s="219" t="s">
        <v>854</v>
      </c>
      <c r="I162" s="219" t="s">
        <v>922</v>
      </c>
      <c r="J162" s="219"/>
      <c r="K162" s="219" t="s">
        <v>1662</v>
      </c>
      <c r="L162" s="80"/>
      <c r="M162" s="80"/>
      <c r="N162" s="237" t="s">
        <v>1659</v>
      </c>
      <c r="O162" s="80"/>
      <c r="P162" s="80" t="s">
        <v>120</v>
      </c>
      <c r="Q162" s="134" t="s">
        <v>1581</v>
      </c>
      <c r="R162" s="75" t="s">
        <v>1580</v>
      </c>
      <c r="S162" s="81" t="str">
        <f t="shared" si="10"/>
        <v>!</v>
      </c>
      <c r="T162" s="72" t="str">
        <f t="shared" si="11"/>
        <v/>
      </c>
      <c r="U162" s="72" t="str">
        <f t="shared" si="12"/>
        <v/>
      </c>
    </row>
    <row r="163" spans="1:21" ht="126.75" hidden="1" customHeight="1">
      <c r="A163" s="74">
        <f t="shared" si="13"/>
        <v>143</v>
      </c>
      <c r="B163" s="219" t="s">
        <v>957</v>
      </c>
      <c r="C163" s="219"/>
      <c r="D163" s="219"/>
      <c r="E163" s="83" t="s">
        <v>627</v>
      </c>
      <c r="F163" s="83"/>
      <c r="G163" s="83">
        <v>1</v>
      </c>
      <c r="H163" s="219"/>
      <c r="I163" s="219"/>
      <c r="J163" s="219"/>
      <c r="K163" s="219" t="s">
        <v>936</v>
      </c>
      <c r="L163" s="80"/>
      <c r="M163" s="80"/>
      <c r="N163" s="181"/>
      <c r="O163" s="80"/>
      <c r="P163" s="80" t="s">
        <v>120</v>
      </c>
      <c r="Q163" s="134" t="s">
        <v>1647</v>
      </c>
      <c r="R163" s="75" t="s">
        <v>1580</v>
      </c>
      <c r="S163" s="81" t="str">
        <f t="shared" si="10"/>
        <v>!</v>
      </c>
      <c r="T163" s="72" t="str">
        <f t="shared" si="11"/>
        <v/>
      </c>
      <c r="U163" s="72" t="str">
        <f t="shared" si="12"/>
        <v/>
      </c>
    </row>
    <row r="164" spans="1:21" ht="27" hidden="1">
      <c r="A164" s="74">
        <f t="shared" si="13"/>
        <v>144</v>
      </c>
      <c r="B164" s="219" t="s">
        <v>937</v>
      </c>
      <c r="C164" s="219"/>
      <c r="D164" s="219"/>
      <c r="E164" s="83" t="s">
        <v>631</v>
      </c>
      <c r="F164" s="83"/>
      <c r="G164" s="83" t="s">
        <v>476</v>
      </c>
      <c r="H164" s="219" t="s">
        <v>958</v>
      </c>
      <c r="I164" s="219"/>
      <c r="J164" s="219"/>
      <c r="K164" s="219" t="s">
        <v>976</v>
      </c>
      <c r="L164" s="80"/>
      <c r="M164" s="80"/>
      <c r="N164" s="181"/>
      <c r="O164" s="80"/>
      <c r="P164" s="80" t="s">
        <v>120</v>
      </c>
      <c r="Q164" s="134" t="s">
        <v>1581</v>
      </c>
      <c r="R164" s="75" t="s">
        <v>1580</v>
      </c>
      <c r="S164" s="81" t="str">
        <f t="shared" si="10"/>
        <v>!</v>
      </c>
      <c r="T164" s="72" t="str">
        <f t="shared" si="11"/>
        <v/>
      </c>
      <c r="U164" s="72" t="str">
        <f t="shared" si="12"/>
        <v/>
      </c>
    </row>
    <row r="165" spans="1:21" ht="54" hidden="1">
      <c r="A165" s="74">
        <f t="shared" si="13"/>
        <v>145</v>
      </c>
      <c r="B165" s="219" t="s">
        <v>938</v>
      </c>
      <c r="C165" s="219"/>
      <c r="D165" s="219"/>
      <c r="E165" s="83" t="s">
        <v>627</v>
      </c>
      <c r="F165" s="83"/>
      <c r="G165" s="83">
        <v>1</v>
      </c>
      <c r="H165" s="219" t="s">
        <v>958</v>
      </c>
      <c r="I165" s="219"/>
      <c r="J165" s="219"/>
      <c r="K165" s="219" t="s">
        <v>1412</v>
      </c>
      <c r="L165" s="80"/>
      <c r="M165" s="80"/>
      <c r="N165" s="181" t="s">
        <v>141</v>
      </c>
      <c r="O165" s="80"/>
      <c r="P165" s="80" t="s">
        <v>120</v>
      </c>
      <c r="Q165" s="134" t="s">
        <v>1647</v>
      </c>
      <c r="R165" s="75" t="s">
        <v>1580</v>
      </c>
      <c r="S165" s="81" t="str">
        <f t="shared" si="10"/>
        <v>!</v>
      </c>
      <c r="T165" s="72" t="str">
        <f t="shared" si="11"/>
        <v/>
      </c>
      <c r="U165" s="72" t="str">
        <f t="shared" si="12"/>
        <v/>
      </c>
    </row>
    <row r="166" spans="1:21" ht="27" hidden="1">
      <c r="A166" s="74">
        <f t="shared" si="13"/>
        <v>146</v>
      </c>
      <c r="B166" s="219" t="s">
        <v>939</v>
      </c>
      <c r="C166" s="219"/>
      <c r="D166" s="219"/>
      <c r="E166" s="83" t="s">
        <v>631</v>
      </c>
      <c r="F166" s="83"/>
      <c r="G166" s="83">
        <v>3</v>
      </c>
      <c r="H166" s="219">
        <v>3.3</v>
      </c>
      <c r="I166" s="219"/>
      <c r="J166" s="219"/>
      <c r="K166" s="219" t="s">
        <v>977</v>
      </c>
      <c r="L166" s="80"/>
      <c r="M166" s="80"/>
      <c r="N166" s="181"/>
      <c r="O166" s="80"/>
      <c r="P166" s="80" t="s">
        <v>120</v>
      </c>
      <c r="Q166" s="134" t="s">
        <v>1581</v>
      </c>
      <c r="R166" s="75" t="s">
        <v>1580</v>
      </c>
      <c r="S166" s="81" t="str">
        <f t="shared" si="10"/>
        <v>!</v>
      </c>
      <c r="T166" s="72" t="str">
        <f t="shared" si="11"/>
        <v/>
      </c>
      <c r="U166" s="72" t="str">
        <f t="shared" si="12"/>
        <v/>
      </c>
    </row>
    <row r="167" spans="1:21" ht="27" hidden="1">
      <c r="A167" s="74">
        <f t="shared" si="13"/>
        <v>147</v>
      </c>
      <c r="B167" s="219" t="s">
        <v>940</v>
      </c>
      <c r="C167" s="219"/>
      <c r="D167" s="219"/>
      <c r="E167" s="83" t="s">
        <v>631</v>
      </c>
      <c r="F167" s="83"/>
      <c r="G167" s="83">
        <v>5</v>
      </c>
      <c r="H167" s="219" t="s">
        <v>835</v>
      </c>
      <c r="I167" s="219" t="s">
        <v>970</v>
      </c>
      <c r="J167" s="219"/>
      <c r="K167" s="219" t="s">
        <v>978</v>
      </c>
      <c r="L167" s="80"/>
      <c r="M167" s="80"/>
      <c r="N167" s="181"/>
      <c r="O167" s="80"/>
      <c r="P167" s="80" t="s">
        <v>120</v>
      </c>
      <c r="Q167" s="134" t="s">
        <v>1581</v>
      </c>
      <c r="R167" s="75" t="s">
        <v>1580</v>
      </c>
      <c r="S167" s="81" t="str">
        <f t="shared" si="10"/>
        <v>!</v>
      </c>
      <c r="T167" s="72" t="str">
        <f t="shared" si="11"/>
        <v/>
      </c>
      <c r="U167" s="72" t="str">
        <f t="shared" si="12"/>
        <v/>
      </c>
    </row>
    <row r="168" spans="1:21" ht="27" hidden="1">
      <c r="A168" s="74">
        <f t="shared" si="13"/>
        <v>148</v>
      </c>
      <c r="B168" s="219" t="s">
        <v>941</v>
      </c>
      <c r="C168" s="219"/>
      <c r="D168" s="219"/>
      <c r="E168" s="83" t="s">
        <v>631</v>
      </c>
      <c r="F168" s="83"/>
      <c r="G168" s="83">
        <v>6</v>
      </c>
      <c r="H168" s="219">
        <v>6.1</v>
      </c>
      <c r="I168" s="219" t="s">
        <v>971</v>
      </c>
      <c r="J168" s="219"/>
      <c r="K168" s="219" t="s">
        <v>1413</v>
      </c>
      <c r="L168" s="80"/>
      <c r="M168" s="80"/>
      <c r="N168" s="181"/>
      <c r="O168" s="80"/>
      <c r="P168" s="80" t="s">
        <v>120</v>
      </c>
      <c r="Q168" s="134" t="s">
        <v>1581</v>
      </c>
      <c r="R168" s="75" t="s">
        <v>1580</v>
      </c>
      <c r="S168" s="81" t="str">
        <f t="shared" si="10"/>
        <v>!</v>
      </c>
      <c r="T168" s="72" t="str">
        <f t="shared" si="11"/>
        <v/>
      </c>
      <c r="U168" s="72" t="str">
        <f t="shared" si="12"/>
        <v/>
      </c>
    </row>
    <row r="169" spans="1:21" ht="40.5">
      <c r="A169" s="74">
        <f t="shared" si="13"/>
        <v>149</v>
      </c>
      <c r="B169" s="219" t="s">
        <v>942</v>
      </c>
      <c r="C169" s="219"/>
      <c r="D169" s="219"/>
      <c r="E169" s="83" t="s">
        <v>635</v>
      </c>
      <c r="F169" s="83"/>
      <c r="G169" s="83">
        <v>6</v>
      </c>
      <c r="H169" s="219" t="s">
        <v>838</v>
      </c>
      <c r="I169" s="219"/>
      <c r="J169" s="219"/>
      <c r="K169" s="219" t="s">
        <v>1414</v>
      </c>
      <c r="L169" s="80"/>
      <c r="M169" s="242" t="s">
        <v>1746</v>
      </c>
      <c r="N169" s="181"/>
      <c r="O169" s="80"/>
      <c r="P169" s="80" t="s">
        <v>120</v>
      </c>
      <c r="Q169" s="134" t="s">
        <v>1581</v>
      </c>
      <c r="R169" s="75" t="s">
        <v>1580</v>
      </c>
      <c r="S169" s="81" t="str">
        <f t="shared" si="10"/>
        <v>!</v>
      </c>
      <c r="T169" s="72" t="str">
        <f t="shared" si="11"/>
        <v/>
      </c>
      <c r="U169" s="72" t="str">
        <f t="shared" si="12"/>
        <v/>
      </c>
    </row>
    <row r="170" spans="1:21" ht="67.5" hidden="1">
      <c r="A170" s="74">
        <f t="shared" si="13"/>
        <v>150</v>
      </c>
      <c r="B170" s="219" t="s">
        <v>943</v>
      </c>
      <c r="C170" s="219"/>
      <c r="D170" s="219"/>
      <c r="E170" s="83" t="s">
        <v>635</v>
      </c>
      <c r="F170" s="83"/>
      <c r="G170" s="83">
        <v>6</v>
      </c>
      <c r="H170" s="219" t="s">
        <v>959</v>
      </c>
      <c r="I170" s="219">
        <v>28</v>
      </c>
      <c r="J170" s="219"/>
      <c r="K170" s="219" t="s">
        <v>1415</v>
      </c>
      <c r="L170" s="80"/>
      <c r="M170" s="80"/>
      <c r="N170" s="181" t="s">
        <v>984</v>
      </c>
      <c r="O170" s="80"/>
      <c r="P170" s="80" t="s">
        <v>120</v>
      </c>
      <c r="Q170" s="134" t="s">
        <v>1647</v>
      </c>
      <c r="R170" s="75" t="s">
        <v>1580</v>
      </c>
      <c r="S170" s="81" t="str">
        <f t="shared" si="10"/>
        <v>!</v>
      </c>
      <c r="T170" s="72" t="str">
        <f t="shared" si="11"/>
        <v/>
      </c>
      <c r="U170" s="72" t="str">
        <f t="shared" si="12"/>
        <v/>
      </c>
    </row>
    <row r="171" spans="1:21" ht="40.5" hidden="1">
      <c r="A171" s="74">
        <f t="shared" si="13"/>
        <v>151</v>
      </c>
      <c r="B171" s="219" t="s">
        <v>944</v>
      </c>
      <c r="C171" s="219"/>
      <c r="D171" s="219"/>
      <c r="E171" s="83" t="s">
        <v>638</v>
      </c>
      <c r="F171" s="83"/>
      <c r="G171" s="83">
        <v>6</v>
      </c>
      <c r="H171" s="219" t="s">
        <v>960</v>
      </c>
      <c r="I171" s="219"/>
      <c r="J171" s="219"/>
      <c r="K171" s="219" t="s">
        <v>1416</v>
      </c>
      <c r="L171" s="80"/>
      <c r="M171" s="80"/>
      <c r="N171" s="181" t="s">
        <v>985</v>
      </c>
      <c r="O171" s="80"/>
      <c r="P171" s="80" t="s">
        <v>120</v>
      </c>
      <c r="Q171" s="134" t="s">
        <v>1647</v>
      </c>
      <c r="R171" s="75" t="s">
        <v>1580</v>
      </c>
      <c r="S171" s="81" t="str">
        <f t="shared" si="10"/>
        <v>!</v>
      </c>
      <c r="T171" s="72" t="str">
        <f t="shared" si="11"/>
        <v/>
      </c>
      <c r="U171" s="72" t="str">
        <f t="shared" si="12"/>
        <v/>
      </c>
    </row>
    <row r="172" spans="1:21" ht="40.5" hidden="1">
      <c r="A172" s="74">
        <f t="shared" si="13"/>
        <v>152</v>
      </c>
      <c r="B172" s="219" t="s">
        <v>945</v>
      </c>
      <c r="C172" s="219"/>
      <c r="D172" s="219"/>
      <c r="E172" s="83" t="s">
        <v>635</v>
      </c>
      <c r="F172" s="83"/>
      <c r="G172" s="83">
        <v>6</v>
      </c>
      <c r="H172" s="219" t="s">
        <v>961</v>
      </c>
      <c r="I172" s="219"/>
      <c r="J172" s="219"/>
      <c r="K172" s="219" t="s">
        <v>979</v>
      </c>
      <c r="L172" s="80"/>
      <c r="M172" s="80"/>
      <c r="N172" s="181" t="s">
        <v>985</v>
      </c>
      <c r="O172" s="80"/>
      <c r="P172" s="80" t="s">
        <v>120</v>
      </c>
      <c r="Q172" s="134" t="s">
        <v>1647</v>
      </c>
      <c r="R172" s="75" t="s">
        <v>1580</v>
      </c>
      <c r="S172" s="81" t="str">
        <f t="shared" si="10"/>
        <v>!</v>
      </c>
      <c r="T172" s="72" t="str">
        <f t="shared" si="11"/>
        <v/>
      </c>
      <c r="U172" s="72" t="str">
        <f t="shared" si="12"/>
        <v/>
      </c>
    </row>
    <row r="173" spans="1:21" ht="40.5" hidden="1">
      <c r="A173" s="74">
        <f t="shared" si="13"/>
        <v>153</v>
      </c>
      <c r="B173" s="219" t="s">
        <v>946</v>
      </c>
      <c r="C173" s="219"/>
      <c r="D173" s="219"/>
      <c r="E173" s="83" t="s">
        <v>635</v>
      </c>
      <c r="F173" s="83"/>
      <c r="G173" s="83">
        <v>6</v>
      </c>
      <c r="H173" s="219" t="s">
        <v>962</v>
      </c>
      <c r="I173" s="219"/>
      <c r="J173" s="219"/>
      <c r="K173" s="219" t="s">
        <v>980</v>
      </c>
      <c r="L173" s="80"/>
      <c r="M173" s="80"/>
      <c r="N173" s="181" t="s">
        <v>985</v>
      </c>
      <c r="O173" s="80"/>
      <c r="P173" s="80" t="s">
        <v>120</v>
      </c>
      <c r="Q173" s="134" t="s">
        <v>1647</v>
      </c>
      <c r="R173" s="75" t="s">
        <v>1580</v>
      </c>
      <c r="S173" s="81" t="str">
        <f t="shared" si="10"/>
        <v>!</v>
      </c>
      <c r="T173" s="72" t="str">
        <f t="shared" si="11"/>
        <v/>
      </c>
      <c r="U173" s="72" t="str">
        <f t="shared" si="12"/>
        <v/>
      </c>
    </row>
    <row r="174" spans="1:21" ht="40.5" hidden="1">
      <c r="A174" s="74">
        <f t="shared" si="13"/>
        <v>154</v>
      </c>
      <c r="B174" s="219" t="s">
        <v>947</v>
      </c>
      <c r="C174" s="219"/>
      <c r="D174" s="219"/>
      <c r="E174" s="83" t="s">
        <v>635</v>
      </c>
      <c r="F174" s="83"/>
      <c r="G174" s="83">
        <v>6</v>
      </c>
      <c r="H174" s="219" t="s">
        <v>963</v>
      </c>
      <c r="I174" s="219">
        <v>37</v>
      </c>
      <c r="J174" s="219"/>
      <c r="K174" s="219" t="s">
        <v>1417</v>
      </c>
      <c r="L174" s="80"/>
      <c r="M174" s="80"/>
      <c r="N174" s="181" t="s">
        <v>141</v>
      </c>
      <c r="O174" s="80"/>
      <c r="P174" s="80" t="s">
        <v>120</v>
      </c>
      <c r="Q174" s="134" t="s">
        <v>1647</v>
      </c>
      <c r="R174" s="75" t="s">
        <v>1580</v>
      </c>
      <c r="S174" s="81" t="str">
        <f t="shared" si="10"/>
        <v>!</v>
      </c>
      <c r="T174" s="72" t="str">
        <f t="shared" si="11"/>
        <v/>
      </c>
      <c r="U174" s="72" t="str">
        <f t="shared" si="12"/>
        <v/>
      </c>
    </row>
    <row r="175" spans="1:21" ht="40.5" hidden="1">
      <c r="A175" s="74">
        <f t="shared" si="13"/>
        <v>155</v>
      </c>
      <c r="B175" s="219" t="s">
        <v>948</v>
      </c>
      <c r="C175" s="219"/>
      <c r="D175" s="219"/>
      <c r="E175" s="83" t="s">
        <v>635</v>
      </c>
      <c r="F175" s="83"/>
      <c r="G175" s="83">
        <v>6</v>
      </c>
      <c r="H175" s="219" t="s">
        <v>963</v>
      </c>
      <c r="I175" s="219">
        <v>37</v>
      </c>
      <c r="J175" s="219"/>
      <c r="K175" s="219" t="s">
        <v>1418</v>
      </c>
      <c r="L175" s="80"/>
      <c r="M175" s="80"/>
      <c r="N175" s="181" t="s">
        <v>1727</v>
      </c>
      <c r="O175" s="80"/>
      <c r="P175" s="80" t="s">
        <v>120</v>
      </c>
      <c r="Q175" s="134" t="s">
        <v>1647</v>
      </c>
      <c r="R175" s="75" t="s">
        <v>1580</v>
      </c>
      <c r="S175" s="81" t="str">
        <f t="shared" si="10"/>
        <v>!</v>
      </c>
      <c r="T175" s="72" t="str">
        <f t="shared" si="11"/>
        <v/>
      </c>
      <c r="U175" s="72" t="str">
        <f t="shared" si="12"/>
        <v/>
      </c>
    </row>
    <row r="176" spans="1:21" ht="40.5" hidden="1">
      <c r="A176" s="74">
        <f t="shared" si="13"/>
        <v>156</v>
      </c>
      <c r="B176" s="219" t="s">
        <v>949</v>
      </c>
      <c r="C176" s="219"/>
      <c r="D176" s="219"/>
      <c r="E176" s="83" t="s">
        <v>635</v>
      </c>
      <c r="F176" s="83"/>
      <c r="G176" s="83">
        <v>6</v>
      </c>
      <c r="H176" s="219" t="s">
        <v>963</v>
      </c>
      <c r="I176" s="219" t="s">
        <v>972</v>
      </c>
      <c r="J176" s="219"/>
      <c r="K176" s="219" t="s">
        <v>1419</v>
      </c>
      <c r="L176" s="80"/>
      <c r="M176" s="80"/>
      <c r="N176" s="181" t="s">
        <v>1727</v>
      </c>
      <c r="O176" s="80"/>
      <c r="P176" s="80" t="s">
        <v>120</v>
      </c>
      <c r="Q176" s="134" t="s">
        <v>1647</v>
      </c>
      <c r="R176" s="75" t="s">
        <v>1580</v>
      </c>
      <c r="S176" s="81" t="str">
        <f t="shared" si="10"/>
        <v>!</v>
      </c>
      <c r="T176" s="72" t="str">
        <f t="shared" si="11"/>
        <v/>
      </c>
      <c r="U176" s="72" t="str">
        <f t="shared" si="12"/>
        <v/>
      </c>
    </row>
    <row r="177" spans="1:21" ht="40.5" hidden="1">
      <c r="A177" s="74">
        <f t="shared" si="13"/>
        <v>157</v>
      </c>
      <c r="B177" s="219" t="s">
        <v>950</v>
      </c>
      <c r="C177" s="219"/>
      <c r="D177" s="219"/>
      <c r="E177" s="83" t="s">
        <v>635</v>
      </c>
      <c r="F177" s="83"/>
      <c r="G177" s="83">
        <v>6</v>
      </c>
      <c r="H177" s="219" t="s">
        <v>964</v>
      </c>
      <c r="I177" s="219" t="s">
        <v>973</v>
      </c>
      <c r="J177" s="219"/>
      <c r="K177" s="219" t="s">
        <v>1420</v>
      </c>
      <c r="L177" s="80"/>
      <c r="M177" s="80"/>
      <c r="N177" s="181" t="s">
        <v>1726</v>
      </c>
      <c r="O177" s="80"/>
      <c r="P177" s="80" t="s">
        <v>120</v>
      </c>
      <c r="Q177" s="134" t="s">
        <v>1647</v>
      </c>
      <c r="R177" s="75" t="s">
        <v>1580</v>
      </c>
      <c r="S177" s="81" t="str">
        <f t="shared" si="10"/>
        <v>!</v>
      </c>
      <c r="T177" s="72" t="str">
        <f t="shared" si="11"/>
        <v/>
      </c>
      <c r="U177" s="72" t="str">
        <f t="shared" si="12"/>
        <v/>
      </c>
    </row>
    <row r="178" spans="1:21" ht="40.5" hidden="1">
      <c r="A178" s="74">
        <f t="shared" si="13"/>
        <v>158</v>
      </c>
      <c r="B178" s="219" t="s">
        <v>951</v>
      </c>
      <c r="C178" s="219"/>
      <c r="D178" s="219"/>
      <c r="E178" s="83" t="s">
        <v>638</v>
      </c>
      <c r="F178" s="83"/>
      <c r="G178" s="83">
        <v>7</v>
      </c>
      <c r="H178" s="219" t="s">
        <v>965</v>
      </c>
      <c r="I178" s="219"/>
      <c r="J178" s="219"/>
      <c r="K178" s="219" t="s">
        <v>981</v>
      </c>
      <c r="L178" s="80"/>
      <c r="M178" s="80"/>
      <c r="N178" s="181" t="s">
        <v>986</v>
      </c>
      <c r="O178" s="80"/>
      <c r="P178" s="80" t="s">
        <v>120</v>
      </c>
      <c r="Q178" s="134" t="s">
        <v>1647</v>
      </c>
      <c r="R178" s="75" t="s">
        <v>1580</v>
      </c>
      <c r="S178" s="81" t="str">
        <f t="shared" si="10"/>
        <v>!</v>
      </c>
      <c r="T178" s="72" t="str">
        <f t="shared" si="11"/>
        <v/>
      </c>
      <c r="U178" s="72" t="str">
        <f t="shared" si="12"/>
        <v/>
      </c>
    </row>
    <row r="179" spans="1:21" ht="54" hidden="1">
      <c r="A179" s="74">
        <f t="shared" si="13"/>
        <v>159</v>
      </c>
      <c r="B179" s="219" t="s">
        <v>952</v>
      </c>
      <c r="C179" s="219"/>
      <c r="D179" s="219"/>
      <c r="E179" s="83" t="s">
        <v>638</v>
      </c>
      <c r="F179" s="83"/>
      <c r="G179" s="83">
        <v>7</v>
      </c>
      <c r="H179" s="219" t="s">
        <v>966</v>
      </c>
      <c r="I179" s="219" t="s">
        <v>974</v>
      </c>
      <c r="J179" s="219"/>
      <c r="K179" s="219" t="s">
        <v>982</v>
      </c>
      <c r="L179" s="80"/>
      <c r="M179" s="80"/>
      <c r="N179" s="181" t="s">
        <v>987</v>
      </c>
      <c r="O179" s="80"/>
      <c r="P179" s="80" t="s">
        <v>120</v>
      </c>
      <c r="Q179" s="134" t="s">
        <v>1647</v>
      </c>
      <c r="R179" s="75" t="s">
        <v>1580</v>
      </c>
      <c r="S179" s="81" t="str">
        <f t="shared" si="10"/>
        <v>!</v>
      </c>
      <c r="T179" s="72" t="str">
        <f t="shared" si="11"/>
        <v/>
      </c>
      <c r="U179" s="72" t="str">
        <f t="shared" si="12"/>
        <v/>
      </c>
    </row>
    <row r="180" spans="1:21" ht="81" hidden="1">
      <c r="A180" s="74">
        <f t="shared" si="13"/>
        <v>160</v>
      </c>
      <c r="B180" s="219" t="s">
        <v>953</v>
      </c>
      <c r="C180" s="219"/>
      <c r="D180" s="219"/>
      <c r="E180" s="83" t="s">
        <v>631</v>
      </c>
      <c r="F180" s="83"/>
      <c r="G180" s="83">
        <v>7</v>
      </c>
      <c r="H180" s="219" t="s">
        <v>967</v>
      </c>
      <c r="I180" s="219"/>
      <c r="J180" s="219"/>
      <c r="K180" s="219" t="s">
        <v>1421</v>
      </c>
      <c r="L180" s="80"/>
      <c r="M180" s="80" t="s">
        <v>644</v>
      </c>
      <c r="N180" s="181" t="s">
        <v>988</v>
      </c>
      <c r="O180" s="80"/>
      <c r="P180" s="80" t="s">
        <v>120</v>
      </c>
      <c r="Q180" s="134" t="s">
        <v>1581</v>
      </c>
      <c r="R180" s="75" t="s">
        <v>1580</v>
      </c>
      <c r="S180" s="81" t="str">
        <f t="shared" si="10"/>
        <v>!</v>
      </c>
      <c r="T180" s="72" t="str">
        <f t="shared" si="11"/>
        <v/>
      </c>
      <c r="U180" s="72" t="str">
        <f t="shared" si="12"/>
        <v/>
      </c>
    </row>
    <row r="181" spans="1:21" ht="27" hidden="1">
      <c r="A181" s="74">
        <f t="shared" si="13"/>
        <v>161</v>
      </c>
      <c r="B181" s="219" t="s">
        <v>954</v>
      </c>
      <c r="C181" s="219"/>
      <c r="D181" s="219"/>
      <c r="E181" s="83" t="s">
        <v>650</v>
      </c>
      <c r="F181" s="83" t="s">
        <v>1535</v>
      </c>
      <c r="G181" s="83">
        <v>7</v>
      </c>
      <c r="H181" s="219" t="s">
        <v>968</v>
      </c>
      <c r="I181" s="219"/>
      <c r="J181" s="219"/>
      <c r="K181" s="219" t="s">
        <v>1422</v>
      </c>
      <c r="L181" s="80"/>
      <c r="M181" s="80"/>
      <c r="N181" s="181"/>
      <c r="O181" s="80"/>
      <c r="P181" s="80" t="s">
        <v>120</v>
      </c>
      <c r="Q181" s="134" t="s">
        <v>1581</v>
      </c>
      <c r="R181" s="75" t="s">
        <v>1580</v>
      </c>
      <c r="S181" s="81" t="str">
        <f t="shared" si="10"/>
        <v>!</v>
      </c>
      <c r="T181" s="72" t="str">
        <f t="shared" si="11"/>
        <v/>
      </c>
      <c r="U181" s="72" t="str">
        <f t="shared" si="12"/>
        <v/>
      </c>
    </row>
    <row r="182" spans="1:21" ht="27" hidden="1">
      <c r="A182" s="74">
        <f t="shared" si="13"/>
        <v>162</v>
      </c>
      <c r="B182" s="219" t="s">
        <v>955</v>
      </c>
      <c r="C182" s="219"/>
      <c r="D182" s="219"/>
      <c r="E182" s="83" t="s">
        <v>631</v>
      </c>
      <c r="F182" s="83"/>
      <c r="G182" s="83">
        <v>7</v>
      </c>
      <c r="H182" s="219" t="s">
        <v>969</v>
      </c>
      <c r="I182" s="219" t="s">
        <v>975</v>
      </c>
      <c r="J182" s="219"/>
      <c r="K182" s="219" t="s">
        <v>983</v>
      </c>
      <c r="L182" s="80"/>
      <c r="M182" s="80"/>
      <c r="N182" s="181"/>
      <c r="O182" s="80"/>
      <c r="P182" s="80" t="s">
        <v>120</v>
      </c>
      <c r="Q182" s="134" t="s">
        <v>1581</v>
      </c>
      <c r="R182" s="75" t="s">
        <v>1580</v>
      </c>
      <c r="S182" s="81" t="str">
        <f t="shared" si="10"/>
        <v>!</v>
      </c>
      <c r="T182" s="72" t="str">
        <f t="shared" si="11"/>
        <v/>
      </c>
      <c r="U182" s="72" t="str">
        <f t="shared" si="12"/>
        <v/>
      </c>
    </row>
    <row r="183" spans="1:21" ht="54" hidden="1">
      <c r="A183" s="74">
        <f t="shared" si="13"/>
        <v>163</v>
      </c>
      <c r="B183" s="219" t="s">
        <v>956</v>
      </c>
      <c r="C183" s="219"/>
      <c r="D183" s="219"/>
      <c r="E183" s="83" t="s">
        <v>631</v>
      </c>
      <c r="F183" s="83"/>
      <c r="G183" s="83">
        <v>9</v>
      </c>
      <c r="H183" s="219">
        <v>9</v>
      </c>
      <c r="I183" s="219"/>
      <c r="J183" s="219"/>
      <c r="K183" s="219" t="s">
        <v>1423</v>
      </c>
      <c r="L183" s="80"/>
      <c r="M183" s="80"/>
      <c r="N183" s="181"/>
      <c r="O183" s="80"/>
      <c r="P183" s="80" t="s">
        <v>120</v>
      </c>
      <c r="Q183" s="134" t="s">
        <v>1581</v>
      </c>
      <c r="R183" s="75" t="s">
        <v>1580</v>
      </c>
      <c r="S183" s="81" t="str">
        <f t="shared" si="10"/>
        <v>!</v>
      </c>
      <c r="T183" s="72" t="str">
        <f t="shared" si="11"/>
        <v/>
      </c>
      <c r="U183" s="72" t="str">
        <f t="shared" si="12"/>
        <v/>
      </c>
    </row>
    <row r="184" spans="1:21" ht="40.5" hidden="1">
      <c r="A184" s="74">
        <f t="shared" si="13"/>
        <v>164</v>
      </c>
      <c r="B184" s="219" t="s">
        <v>989</v>
      </c>
      <c r="C184" s="219"/>
      <c r="D184" s="219"/>
      <c r="E184" s="83" t="s">
        <v>627</v>
      </c>
      <c r="F184" s="83"/>
      <c r="G184" s="83">
        <v>1</v>
      </c>
      <c r="H184" s="219">
        <v>1.5</v>
      </c>
      <c r="I184" s="219">
        <v>5</v>
      </c>
      <c r="J184" s="219"/>
      <c r="K184" s="219" t="s">
        <v>1064</v>
      </c>
      <c r="L184" s="80"/>
      <c r="M184" s="80"/>
      <c r="N184" s="238" t="s">
        <v>1677</v>
      </c>
      <c r="O184" s="80"/>
      <c r="P184" s="80" t="s">
        <v>120</v>
      </c>
      <c r="Q184" s="134" t="s">
        <v>1647</v>
      </c>
      <c r="R184" s="75" t="s">
        <v>1580</v>
      </c>
      <c r="S184" s="81" t="str">
        <f t="shared" si="10"/>
        <v>!</v>
      </c>
      <c r="T184" s="72" t="str">
        <f t="shared" si="11"/>
        <v/>
      </c>
      <c r="U184" s="72" t="str">
        <f t="shared" si="12"/>
        <v/>
      </c>
    </row>
    <row r="185" spans="1:21" ht="40.5" hidden="1">
      <c r="A185" s="74">
        <f t="shared" si="13"/>
        <v>165</v>
      </c>
      <c r="B185" s="219" t="s">
        <v>990</v>
      </c>
      <c r="C185" s="219"/>
      <c r="D185" s="219"/>
      <c r="E185" s="83" t="s">
        <v>627</v>
      </c>
      <c r="F185" s="83"/>
      <c r="G185" s="83">
        <v>1</v>
      </c>
      <c r="H185" s="219">
        <v>1.6</v>
      </c>
      <c r="I185" s="219" t="s">
        <v>1041</v>
      </c>
      <c r="J185" s="219"/>
      <c r="K185" s="219" t="s">
        <v>1424</v>
      </c>
      <c r="L185" s="80"/>
      <c r="M185" s="80"/>
      <c r="N185" s="110" t="s">
        <v>1692</v>
      </c>
      <c r="O185" s="80"/>
      <c r="P185" s="80" t="s">
        <v>120</v>
      </c>
      <c r="Q185" s="134" t="s">
        <v>1647</v>
      </c>
      <c r="R185" s="75" t="s">
        <v>1580</v>
      </c>
      <c r="S185" s="81" t="str">
        <f t="shared" si="10"/>
        <v>!</v>
      </c>
      <c r="T185" s="72" t="str">
        <f t="shared" si="11"/>
        <v/>
      </c>
      <c r="U185" s="72" t="str">
        <f t="shared" si="12"/>
        <v/>
      </c>
    </row>
    <row r="186" spans="1:21" ht="40.5" hidden="1">
      <c r="A186" s="74">
        <f t="shared" si="13"/>
        <v>166</v>
      </c>
      <c r="B186" s="219" t="s">
        <v>991</v>
      </c>
      <c r="C186" s="219"/>
      <c r="D186" s="219"/>
      <c r="E186" s="83" t="s">
        <v>627</v>
      </c>
      <c r="F186" s="83"/>
      <c r="G186" s="83">
        <v>1</v>
      </c>
      <c r="H186" s="219">
        <v>1.8</v>
      </c>
      <c r="I186" s="219" t="s">
        <v>1042</v>
      </c>
      <c r="J186" s="219"/>
      <c r="K186" s="219" t="s">
        <v>1065</v>
      </c>
      <c r="L186" s="80"/>
      <c r="M186" s="80"/>
      <c r="N186" s="238" t="s">
        <v>1693</v>
      </c>
      <c r="O186" s="80" t="s">
        <v>100</v>
      </c>
      <c r="P186" s="80" t="s">
        <v>120</v>
      </c>
      <c r="Q186" s="134" t="s">
        <v>1647</v>
      </c>
      <c r="R186" s="75" t="s">
        <v>1580</v>
      </c>
      <c r="S186" s="81" t="str">
        <f t="shared" si="10"/>
        <v>!</v>
      </c>
      <c r="T186" s="72" t="str">
        <f t="shared" si="11"/>
        <v/>
      </c>
      <c r="U186" s="72" t="str">
        <f t="shared" si="12"/>
        <v/>
      </c>
    </row>
    <row r="187" spans="1:21" ht="40.5" hidden="1">
      <c r="A187" s="74">
        <f t="shared" si="13"/>
        <v>167</v>
      </c>
      <c r="B187" s="219" t="s">
        <v>992</v>
      </c>
      <c r="C187" s="219"/>
      <c r="D187" s="219"/>
      <c r="E187" s="83" t="s">
        <v>627</v>
      </c>
      <c r="F187" s="83"/>
      <c r="G187" s="83">
        <v>3</v>
      </c>
      <c r="H187" s="219">
        <v>3</v>
      </c>
      <c r="I187" s="219" t="s">
        <v>1043</v>
      </c>
      <c r="J187" s="219"/>
      <c r="K187" s="219" t="s">
        <v>1066</v>
      </c>
      <c r="L187" s="80"/>
      <c r="M187" s="80"/>
      <c r="N187" t="s">
        <v>1080</v>
      </c>
      <c r="O187" s="80"/>
      <c r="P187" s="80" t="s">
        <v>120</v>
      </c>
      <c r="Q187" s="134" t="s">
        <v>1647</v>
      </c>
      <c r="R187" s="75" t="s">
        <v>1580</v>
      </c>
      <c r="S187" s="81" t="str">
        <f t="shared" si="10"/>
        <v>!</v>
      </c>
      <c r="T187" s="72" t="str">
        <f t="shared" si="11"/>
        <v/>
      </c>
      <c r="U187" s="72" t="str">
        <f t="shared" si="12"/>
        <v/>
      </c>
    </row>
    <row r="188" spans="1:21" ht="40.5" hidden="1">
      <c r="A188" s="74">
        <f t="shared" si="13"/>
        <v>168</v>
      </c>
      <c r="B188" s="219" t="s">
        <v>993</v>
      </c>
      <c r="C188" s="219"/>
      <c r="D188" s="219"/>
      <c r="E188" s="83" t="s">
        <v>631</v>
      </c>
      <c r="F188" s="83"/>
      <c r="G188" s="83">
        <v>4</v>
      </c>
      <c r="H188" s="219">
        <v>4.0999999999999996</v>
      </c>
      <c r="I188" s="219" t="s">
        <v>1044</v>
      </c>
      <c r="J188" s="219"/>
      <c r="K188" s="219" t="s">
        <v>1425</v>
      </c>
      <c r="L188" s="80"/>
      <c r="M188" s="80"/>
      <c r="N188"/>
      <c r="O188" s="80"/>
      <c r="P188" s="80" t="s">
        <v>120</v>
      </c>
      <c r="Q188" s="134" t="s">
        <v>1581</v>
      </c>
      <c r="R188" s="75" t="s">
        <v>1580</v>
      </c>
      <c r="S188" s="81" t="str">
        <f t="shared" si="10"/>
        <v>!</v>
      </c>
      <c r="T188" s="72" t="str">
        <f t="shared" si="11"/>
        <v/>
      </c>
      <c r="U188" s="72" t="str">
        <f t="shared" si="12"/>
        <v/>
      </c>
    </row>
    <row r="189" spans="1:21" ht="40.5" hidden="1">
      <c r="A189" s="74">
        <f t="shared" si="13"/>
        <v>169</v>
      </c>
      <c r="B189" s="219" t="s">
        <v>994</v>
      </c>
      <c r="C189" s="219"/>
      <c r="D189" s="219"/>
      <c r="E189" s="83" t="s">
        <v>627</v>
      </c>
      <c r="F189" s="83"/>
      <c r="G189" s="83" t="s">
        <v>476</v>
      </c>
      <c r="H189" s="219" t="s">
        <v>1028</v>
      </c>
      <c r="I189" s="219"/>
      <c r="J189" s="219"/>
      <c r="K189" s="219" t="s">
        <v>1426</v>
      </c>
      <c r="L189" s="80"/>
      <c r="M189" s="80"/>
      <c r="N189" s="238" t="s">
        <v>1707</v>
      </c>
      <c r="O189" s="80" t="s">
        <v>100</v>
      </c>
      <c r="P189" s="80" t="s">
        <v>120</v>
      </c>
      <c r="Q189" s="134" t="s">
        <v>1647</v>
      </c>
      <c r="R189" s="75" t="s">
        <v>1580</v>
      </c>
      <c r="S189" s="81" t="str">
        <f t="shared" si="10"/>
        <v>!</v>
      </c>
      <c r="T189" s="72" t="str">
        <f t="shared" si="11"/>
        <v/>
      </c>
      <c r="U189" s="72" t="str">
        <f t="shared" si="12"/>
        <v/>
      </c>
    </row>
    <row r="190" spans="1:21" ht="27" hidden="1">
      <c r="A190" s="74">
        <f t="shared" si="13"/>
        <v>170</v>
      </c>
      <c r="B190" s="219" t="s">
        <v>995</v>
      </c>
      <c r="C190" s="219"/>
      <c r="D190" s="219"/>
      <c r="E190" s="83" t="s">
        <v>631</v>
      </c>
      <c r="F190" s="83"/>
      <c r="G190" s="83">
        <v>4</v>
      </c>
      <c r="H190" s="219" t="s">
        <v>834</v>
      </c>
      <c r="I190" s="219"/>
      <c r="J190" s="219"/>
      <c r="K190" s="219" t="s">
        <v>1427</v>
      </c>
      <c r="L190" s="80"/>
      <c r="M190" s="80"/>
      <c r="N190"/>
      <c r="O190" s="80"/>
      <c r="P190" s="80" t="s">
        <v>120</v>
      </c>
      <c r="Q190" s="134" t="s">
        <v>1581</v>
      </c>
      <c r="R190" s="75" t="s">
        <v>1580</v>
      </c>
      <c r="S190" s="81" t="str">
        <f t="shared" si="10"/>
        <v>!</v>
      </c>
      <c r="T190" s="72" t="str">
        <f t="shared" si="11"/>
        <v/>
      </c>
      <c r="U190" s="72" t="str">
        <f t="shared" si="12"/>
        <v/>
      </c>
    </row>
    <row r="191" spans="1:21" ht="40.5" hidden="1">
      <c r="A191" s="74">
        <f t="shared" si="13"/>
        <v>171</v>
      </c>
      <c r="B191" s="219" t="s">
        <v>996</v>
      </c>
      <c r="C191" s="219"/>
      <c r="D191" s="219"/>
      <c r="E191" s="83" t="s">
        <v>627</v>
      </c>
      <c r="F191" s="83"/>
      <c r="G191" s="83">
        <v>4</v>
      </c>
      <c r="H191" s="219">
        <v>4.4000000000000004</v>
      </c>
      <c r="I191" s="219"/>
      <c r="J191" s="219"/>
      <c r="K191" s="219" t="s">
        <v>1067</v>
      </c>
      <c r="L191" s="80"/>
      <c r="M191" s="80"/>
      <c r="N191" t="s">
        <v>1725</v>
      </c>
      <c r="O191" s="80"/>
      <c r="P191" s="80" t="s">
        <v>120</v>
      </c>
      <c r="Q191" s="134" t="s">
        <v>1647</v>
      </c>
      <c r="R191" s="75" t="s">
        <v>1580</v>
      </c>
      <c r="S191" s="81" t="str">
        <f t="shared" si="10"/>
        <v>!</v>
      </c>
      <c r="T191" s="72" t="str">
        <f t="shared" si="11"/>
        <v/>
      </c>
      <c r="U191" s="72" t="str">
        <f t="shared" si="12"/>
        <v/>
      </c>
    </row>
    <row r="192" spans="1:21" ht="40.5" hidden="1">
      <c r="A192" s="74">
        <f t="shared" si="13"/>
        <v>172</v>
      </c>
      <c r="B192" s="219" t="s">
        <v>997</v>
      </c>
      <c r="C192" s="219"/>
      <c r="D192" s="219"/>
      <c r="E192" s="83" t="s">
        <v>631</v>
      </c>
      <c r="F192" s="83"/>
      <c r="G192" s="83">
        <v>5</v>
      </c>
      <c r="H192" s="219">
        <v>5.5</v>
      </c>
      <c r="I192" s="219"/>
      <c r="J192" s="219"/>
      <c r="K192" s="219" t="s">
        <v>1428</v>
      </c>
      <c r="L192" s="80"/>
      <c r="M192" s="80"/>
      <c r="N192"/>
      <c r="O192" s="80"/>
      <c r="P192" s="80" t="s">
        <v>120</v>
      </c>
      <c r="Q192" s="134" t="s">
        <v>1581</v>
      </c>
      <c r="R192" s="75" t="s">
        <v>1580</v>
      </c>
      <c r="S192" s="81" t="str">
        <f t="shared" si="10"/>
        <v>!</v>
      </c>
      <c r="T192" s="72" t="str">
        <f t="shared" si="11"/>
        <v/>
      </c>
      <c r="U192" s="72" t="str">
        <f t="shared" si="12"/>
        <v/>
      </c>
    </row>
    <row r="193" spans="1:21" ht="40.5" hidden="1">
      <c r="A193" s="74">
        <f t="shared" si="13"/>
        <v>173</v>
      </c>
      <c r="B193" s="219" t="s">
        <v>998</v>
      </c>
      <c r="C193" s="219"/>
      <c r="D193" s="219"/>
      <c r="E193" s="83" t="s">
        <v>635</v>
      </c>
      <c r="F193" s="83"/>
      <c r="G193" s="83">
        <v>6</v>
      </c>
      <c r="H193" s="219" t="s">
        <v>837</v>
      </c>
      <c r="I193" s="219" t="s">
        <v>1045</v>
      </c>
      <c r="J193" s="219"/>
      <c r="K193" s="219" t="s">
        <v>1068</v>
      </c>
      <c r="L193" s="80"/>
      <c r="M193" s="80"/>
      <c r="N193" s="238" t="s">
        <v>1678</v>
      </c>
      <c r="O193" s="80"/>
      <c r="P193" s="80" t="s">
        <v>120</v>
      </c>
      <c r="Q193" s="134" t="s">
        <v>1647</v>
      </c>
      <c r="R193" s="75" t="s">
        <v>1580</v>
      </c>
      <c r="S193" s="81" t="str">
        <f t="shared" si="10"/>
        <v>!</v>
      </c>
      <c r="T193" s="72" t="str">
        <f t="shared" si="11"/>
        <v/>
      </c>
      <c r="U193" s="72" t="str">
        <f t="shared" si="12"/>
        <v/>
      </c>
    </row>
    <row r="194" spans="1:21" ht="40.5" hidden="1">
      <c r="A194" s="74">
        <f t="shared" si="13"/>
        <v>174</v>
      </c>
      <c r="B194" s="219" t="s">
        <v>999</v>
      </c>
      <c r="C194" s="219"/>
      <c r="D194" s="219"/>
      <c r="E194" s="83" t="s">
        <v>635</v>
      </c>
      <c r="F194" s="83"/>
      <c r="G194" s="83">
        <v>6</v>
      </c>
      <c r="H194" s="219" t="s">
        <v>838</v>
      </c>
      <c r="I194" s="219" t="s">
        <v>1046</v>
      </c>
      <c r="J194" s="219"/>
      <c r="K194" s="219" t="s">
        <v>1069</v>
      </c>
      <c r="L194" s="80"/>
      <c r="M194" s="80"/>
      <c r="N194" t="s">
        <v>1080</v>
      </c>
      <c r="O194" s="80"/>
      <c r="P194" s="80" t="s">
        <v>120</v>
      </c>
      <c r="Q194" s="134" t="s">
        <v>1647</v>
      </c>
      <c r="R194" s="75" t="s">
        <v>1580</v>
      </c>
      <c r="S194" s="81" t="str">
        <f t="shared" si="10"/>
        <v>!</v>
      </c>
      <c r="T194" s="72" t="str">
        <f t="shared" si="11"/>
        <v/>
      </c>
      <c r="U194" s="72" t="str">
        <f t="shared" si="12"/>
        <v/>
      </c>
    </row>
    <row r="195" spans="1:21" ht="40.5" hidden="1">
      <c r="A195" s="74">
        <f t="shared" si="13"/>
        <v>175</v>
      </c>
      <c r="B195" s="219" t="s">
        <v>1000</v>
      </c>
      <c r="C195" s="219"/>
      <c r="D195" s="219"/>
      <c r="E195" s="83" t="s">
        <v>635</v>
      </c>
      <c r="F195" s="83"/>
      <c r="G195" s="83">
        <v>6</v>
      </c>
      <c r="H195" s="219" t="s">
        <v>838</v>
      </c>
      <c r="I195" s="219" t="s">
        <v>1047</v>
      </c>
      <c r="J195" s="219"/>
      <c r="K195" s="219" t="s">
        <v>1070</v>
      </c>
      <c r="L195" s="80"/>
      <c r="M195" s="80"/>
      <c r="N195" t="s">
        <v>1724</v>
      </c>
      <c r="O195" s="80"/>
      <c r="P195" s="80" t="s">
        <v>120</v>
      </c>
      <c r="Q195" s="134" t="s">
        <v>1647</v>
      </c>
      <c r="R195" s="75" t="s">
        <v>1580</v>
      </c>
      <c r="S195" s="81" t="str">
        <f t="shared" si="10"/>
        <v>!</v>
      </c>
      <c r="T195" s="72" t="str">
        <f t="shared" si="11"/>
        <v/>
      </c>
      <c r="U195" s="72" t="str">
        <f t="shared" si="12"/>
        <v/>
      </c>
    </row>
    <row r="196" spans="1:21" ht="40.5" hidden="1">
      <c r="A196" s="74">
        <f t="shared" si="13"/>
        <v>176</v>
      </c>
      <c r="B196" s="219" t="s">
        <v>1001</v>
      </c>
      <c r="C196" s="219"/>
      <c r="D196" s="219"/>
      <c r="E196" s="83" t="s">
        <v>635</v>
      </c>
      <c r="F196" s="83"/>
      <c r="G196" s="83">
        <v>6</v>
      </c>
      <c r="H196" s="219" t="s">
        <v>959</v>
      </c>
      <c r="I196" s="219" t="s">
        <v>1048</v>
      </c>
      <c r="J196" s="219"/>
      <c r="K196" s="219" t="s">
        <v>1429</v>
      </c>
      <c r="L196" s="80"/>
      <c r="M196" s="80"/>
      <c r="N196" t="s">
        <v>1081</v>
      </c>
      <c r="O196" s="80"/>
      <c r="P196" s="80" t="s">
        <v>120</v>
      </c>
      <c r="Q196" s="134" t="s">
        <v>1647</v>
      </c>
      <c r="R196" s="75" t="s">
        <v>1580</v>
      </c>
      <c r="S196" s="81" t="str">
        <f t="shared" si="10"/>
        <v>!</v>
      </c>
      <c r="T196" s="72" t="str">
        <f t="shared" si="11"/>
        <v/>
      </c>
      <c r="U196" s="72" t="str">
        <f t="shared" si="12"/>
        <v/>
      </c>
    </row>
    <row r="197" spans="1:21" ht="40.5" hidden="1">
      <c r="A197" s="74">
        <f t="shared" si="13"/>
        <v>177</v>
      </c>
      <c r="B197" s="219" t="s">
        <v>1002</v>
      </c>
      <c r="C197" s="219"/>
      <c r="D197" s="219"/>
      <c r="E197" s="83" t="s">
        <v>635</v>
      </c>
      <c r="F197" s="83"/>
      <c r="G197" s="83">
        <v>6</v>
      </c>
      <c r="H197" s="219" t="s">
        <v>959</v>
      </c>
      <c r="I197" s="219" t="s">
        <v>1049</v>
      </c>
      <c r="J197" s="219"/>
      <c r="K197" s="219" t="s">
        <v>1071</v>
      </c>
      <c r="L197" s="80"/>
      <c r="M197" s="80"/>
      <c r="N197" t="s">
        <v>1082</v>
      </c>
      <c r="O197" s="80"/>
      <c r="P197" s="80" t="s">
        <v>120</v>
      </c>
      <c r="Q197" s="134" t="s">
        <v>1647</v>
      </c>
      <c r="R197" s="75" t="s">
        <v>1580</v>
      </c>
      <c r="S197" s="81" t="str">
        <f t="shared" si="10"/>
        <v>!</v>
      </c>
      <c r="T197" s="72" t="str">
        <f t="shared" si="11"/>
        <v/>
      </c>
      <c r="U197" s="72" t="str">
        <f t="shared" si="12"/>
        <v/>
      </c>
    </row>
    <row r="198" spans="1:21" ht="40.5" hidden="1">
      <c r="A198" s="74">
        <f t="shared" si="13"/>
        <v>178</v>
      </c>
      <c r="B198" s="219" t="s">
        <v>1003</v>
      </c>
      <c r="C198" s="219"/>
      <c r="D198" s="219"/>
      <c r="E198" s="83" t="s">
        <v>638</v>
      </c>
      <c r="F198" s="83"/>
      <c r="G198" s="83">
        <v>6</v>
      </c>
      <c r="H198" s="219" t="s">
        <v>960</v>
      </c>
      <c r="I198" s="219" t="s">
        <v>1050</v>
      </c>
      <c r="J198" s="219"/>
      <c r="K198" s="219" t="s">
        <v>1430</v>
      </c>
      <c r="L198" s="80"/>
      <c r="M198" s="80"/>
      <c r="N198" t="s">
        <v>1083</v>
      </c>
      <c r="O198" s="80"/>
      <c r="P198" s="80" t="s">
        <v>120</v>
      </c>
      <c r="Q198" s="134" t="s">
        <v>1647</v>
      </c>
      <c r="R198" s="75" t="s">
        <v>1580</v>
      </c>
      <c r="S198" s="81" t="str">
        <f t="shared" si="10"/>
        <v>!</v>
      </c>
      <c r="T198" s="72" t="str">
        <f t="shared" si="11"/>
        <v/>
      </c>
      <c r="U198" s="72" t="str">
        <f t="shared" si="12"/>
        <v/>
      </c>
    </row>
    <row r="199" spans="1:21" ht="40.5" hidden="1">
      <c r="A199" s="74">
        <f t="shared" si="13"/>
        <v>179</v>
      </c>
      <c r="B199" s="219" t="s">
        <v>1004</v>
      </c>
      <c r="C199" s="219"/>
      <c r="D199" s="219"/>
      <c r="E199" s="83" t="s">
        <v>638</v>
      </c>
      <c r="F199" s="83"/>
      <c r="G199" s="83">
        <v>6</v>
      </c>
      <c r="H199" s="219" t="s">
        <v>960</v>
      </c>
      <c r="I199" s="219" t="s">
        <v>1051</v>
      </c>
      <c r="J199" s="219"/>
      <c r="K199" s="219" t="s">
        <v>1072</v>
      </c>
      <c r="L199" s="80"/>
      <c r="M199" s="80"/>
      <c r="N199" t="s">
        <v>1084</v>
      </c>
      <c r="O199" s="80"/>
      <c r="P199" s="80" t="s">
        <v>120</v>
      </c>
      <c r="Q199" s="134" t="s">
        <v>1647</v>
      </c>
      <c r="R199" s="75" t="s">
        <v>1580</v>
      </c>
      <c r="S199" s="81" t="str">
        <f t="shared" si="10"/>
        <v>!</v>
      </c>
      <c r="T199" s="72" t="str">
        <f t="shared" si="11"/>
        <v/>
      </c>
      <c r="U199" s="72" t="str">
        <f t="shared" si="12"/>
        <v/>
      </c>
    </row>
    <row r="200" spans="1:21" ht="40.5" hidden="1">
      <c r="A200" s="74">
        <f t="shared" si="13"/>
        <v>180</v>
      </c>
      <c r="B200" s="219" t="s">
        <v>1005</v>
      </c>
      <c r="C200" s="219"/>
      <c r="D200" s="219"/>
      <c r="E200" s="83" t="s">
        <v>635</v>
      </c>
      <c r="F200" s="83"/>
      <c r="G200" s="83">
        <v>6</v>
      </c>
      <c r="H200" s="219" t="s">
        <v>961</v>
      </c>
      <c r="I200" s="219" t="s">
        <v>1052</v>
      </c>
      <c r="J200" s="219"/>
      <c r="K200" s="219" t="s">
        <v>1073</v>
      </c>
      <c r="L200" s="80"/>
      <c r="M200" s="80"/>
      <c r="N200" t="s">
        <v>1085</v>
      </c>
      <c r="O200" s="80"/>
      <c r="P200" s="80" t="s">
        <v>120</v>
      </c>
      <c r="Q200" s="134" t="s">
        <v>1647</v>
      </c>
      <c r="R200" s="75" t="s">
        <v>1580</v>
      </c>
      <c r="S200" s="81" t="str">
        <f t="shared" si="10"/>
        <v>!</v>
      </c>
      <c r="T200" s="72" t="str">
        <f t="shared" si="11"/>
        <v/>
      </c>
      <c r="U200" s="72" t="str">
        <f t="shared" si="12"/>
        <v/>
      </c>
    </row>
    <row r="201" spans="1:21" ht="40.5" hidden="1">
      <c r="A201" s="74">
        <f t="shared" si="13"/>
        <v>181</v>
      </c>
      <c r="B201" s="219" t="s">
        <v>1006</v>
      </c>
      <c r="C201" s="219"/>
      <c r="D201" s="219"/>
      <c r="E201" s="83" t="s">
        <v>635</v>
      </c>
      <c r="F201" s="83"/>
      <c r="G201" s="83">
        <v>6</v>
      </c>
      <c r="H201" s="219" t="s">
        <v>962</v>
      </c>
      <c r="I201" s="219" t="s">
        <v>1053</v>
      </c>
      <c r="J201" s="219"/>
      <c r="K201" s="219" t="s">
        <v>1431</v>
      </c>
      <c r="L201" s="80"/>
      <c r="M201" s="80"/>
      <c r="N201" t="s">
        <v>1086</v>
      </c>
      <c r="O201" s="80"/>
      <c r="P201" s="80" t="s">
        <v>120</v>
      </c>
      <c r="Q201" s="134" t="s">
        <v>1647</v>
      </c>
      <c r="R201" s="75" t="s">
        <v>1580</v>
      </c>
      <c r="S201" s="81" t="str">
        <f t="shared" si="10"/>
        <v>!</v>
      </c>
      <c r="T201" s="72" t="str">
        <f t="shared" si="11"/>
        <v/>
      </c>
      <c r="U201" s="72" t="str">
        <f t="shared" si="12"/>
        <v/>
      </c>
    </row>
    <row r="202" spans="1:21" ht="40.5" hidden="1">
      <c r="A202" s="74">
        <f t="shared" si="13"/>
        <v>182</v>
      </c>
      <c r="B202" s="219" t="s">
        <v>1007</v>
      </c>
      <c r="C202" s="219"/>
      <c r="D202" s="219"/>
      <c r="E202" s="83" t="s">
        <v>635</v>
      </c>
      <c r="F202" s="83"/>
      <c r="G202" s="83">
        <v>6</v>
      </c>
      <c r="H202" s="219" t="s">
        <v>962</v>
      </c>
      <c r="I202" s="219" t="s">
        <v>1054</v>
      </c>
      <c r="J202" s="219"/>
      <c r="K202" s="219" t="s">
        <v>1432</v>
      </c>
      <c r="L202" s="80"/>
      <c r="M202" s="80"/>
      <c r="N202" t="s">
        <v>1087</v>
      </c>
      <c r="O202" s="80"/>
      <c r="P202" s="80" t="s">
        <v>120</v>
      </c>
      <c r="Q202" s="134" t="s">
        <v>1647</v>
      </c>
      <c r="R202" s="75" t="s">
        <v>1580</v>
      </c>
      <c r="S202" s="81" t="str">
        <f t="shared" si="10"/>
        <v>!</v>
      </c>
      <c r="T202" s="72" t="str">
        <f t="shared" si="11"/>
        <v/>
      </c>
      <c r="U202" s="72" t="str">
        <f t="shared" si="12"/>
        <v/>
      </c>
    </row>
    <row r="203" spans="1:21" ht="27" hidden="1">
      <c r="A203" s="74">
        <f t="shared" si="13"/>
        <v>183</v>
      </c>
      <c r="B203" s="219" t="s">
        <v>1008</v>
      </c>
      <c r="C203" s="219"/>
      <c r="D203" s="219"/>
      <c r="E203" s="83" t="s">
        <v>631</v>
      </c>
      <c r="F203" s="83"/>
      <c r="G203" s="83">
        <v>7</v>
      </c>
      <c r="H203" s="219" t="s">
        <v>1029</v>
      </c>
      <c r="I203" s="219" t="s">
        <v>1055</v>
      </c>
      <c r="J203" s="219"/>
      <c r="K203" s="219" t="s">
        <v>1074</v>
      </c>
      <c r="L203" s="80"/>
      <c r="M203" s="80"/>
      <c r="N203"/>
      <c r="O203" s="80"/>
      <c r="P203" s="80" t="s">
        <v>120</v>
      </c>
      <c r="Q203" s="134" t="s">
        <v>1581</v>
      </c>
      <c r="R203" s="75" t="s">
        <v>1580</v>
      </c>
      <c r="S203" s="81" t="str">
        <f t="shared" si="10"/>
        <v>!</v>
      </c>
      <c r="T203" s="72" t="str">
        <f t="shared" si="11"/>
        <v/>
      </c>
      <c r="U203" s="72" t="str">
        <f t="shared" si="12"/>
        <v/>
      </c>
    </row>
    <row r="204" spans="1:21" ht="27" hidden="1">
      <c r="A204" s="74">
        <f t="shared" si="13"/>
        <v>184</v>
      </c>
      <c r="B204" s="219" t="s">
        <v>1009</v>
      </c>
      <c r="C204" s="219"/>
      <c r="D204" s="219"/>
      <c r="E204" s="83" t="s">
        <v>631</v>
      </c>
      <c r="F204" s="83"/>
      <c r="G204" s="83">
        <v>7</v>
      </c>
      <c r="H204" s="219" t="s">
        <v>1029</v>
      </c>
      <c r="I204" s="219" t="s">
        <v>1052</v>
      </c>
      <c r="J204" s="219"/>
      <c r="K204" s="219" t="s">
        <v>1433</v>
      </c>
      <c r="L204" s="80"/>
      <c r="M204" s="80"/>
      <c r="N204"/>
      <c r="O204" s="80"/>
      <c r="P204" s="80" t="s">
        <v>120</v>
      </c>
      <c r="Q204" s="134" t="s">
        <v>1581</v>
      </c>
      <c r="R204" s="75" t="s">
        <v>1580</v>
      </c>
      <c r="S204" s="81" t="str">
        <f t="shared" si="10"/>
        <v>!</v>
      </c>
      <c r="T204" s="72" t="str">
        <f t="shared" si="11"/>
        <v/>
      </c>
      <c r="U204" s="72" t="str">
        <f t="shared" si="12"/>
        <v/>
      </c>
    </row>
    <row r="205" spans="1:21" ht="27" hidden="1">
      <c r="A205" s="74">
        <f t="shared" si="13"/>
        <v>185</v>
      </c>
      <c r="B205" s="219" t="s">
        <v>1010</v>
      </c>
      <c r="C205" s="219"/>
      <c r="D205" s="219"/>
      <c r="E205" s="83" t="s">
        <v>631</v>
      </c>
      <c r="F205" s="83"/>
      <c r="G205" s="83">
        <v>7</v>
      </c>
      <c r="H205" s="219" t="s">
        <v>1030</v>
      </c>
      <c r="I205" s="219" t="s">
        <v>1056</v>
      </c>
      <c r="J205" s="219"/>
      <c r="K205" s="219" t="s">
        <v>1075</v>
      </c>
      <c r="L205" s="80"/>
      <c r="M205" s="80"/>
      <c r="N205"/>
      <c r="O205" s="80"/>
      <c r="P205" s="80" t="s">
        <v>120</v>
      </c>
      <c r="Q205" s="134" t="s">
        <v>1581</v>
      </c>
      <c r="R205" s="75" t="s">
        <v>1580</v>
      </c>
      <c r="S205" s="81" t="str">
        <f t="shared" si="10"/>
        <v>!</v>
      </c>
      <c r="T205" s="72" t="str">
        <f t="shared" si="11"/>
        <v/>
      </c>
      <c r="U205" s="72" t="str">
        <f t="shared" si="12"/>
        <v/>
      </c>
    </row>
    <row r="206" spans="1:21" ht="27" hidden="1">
      <c r="A206" s="74">
        <f t="shared" si="13"/>
        <v>186</v>
      </c>
      <c r="B206" s="219" t="s">
        <v>1011</v>
      </c>
      <c r="C206" s="219"/>
      <c r="D206" s="219"/>
      <c r="E206" s="83" t="s">
        <v>631</v>
      </c>
      <c r="F206" s="83"/>
      <c r="G206" s="83">
        <v>14</v>
      </c>
      <c r="H206" s="219" t="s">
        <v>1031</v>
      </c>
      <c r="I206" s="219" t="s">
        <v>1057</v>
      </c>
      <c r="J206" s="219"/>
      <c r="K206" s="219" t="s">
        <v>1076</v>
      </c>
      <c r="L206" s="80"/>
      <c r="M206" s="80"/>
      <c r="N206"/>
      <c r="O206" s="80"/>
      <c r="P206" s="80" t="s">
        <v>120</v>
      </c>
      <c r="Q206" s="134" t="s">
        <v>1581</v>
      </c>
      <c r="R206" s="75" t="s">
        <v>1580</v>
      </c>
      <c r="S206" s="81" t="str">
        <f t="shared" si="10"/>
        <v>!</v>
      </c>
      <c r="T206" s="72" t="str">
        <f t="shared" si="11"/>
        <v/>
      </c>
      <c r="U206" s="72" t="str">
        <f t="shared" si="12"/>
        <v/>
      </c>
    </row>
    <row r="207" spans="1:21" ht="81" hidden="1">
      <c r="A207" s="74">
        <f t="shared" si="13"/>
        <v>187</v>
      </c>
      <c r="B207" s="219" t="s">
        <v>1012</v>
      </c>
      <c r="C207" s="219"/>
      <c r="D207" s="219"/>
      <c r="E207" s="83" t="s">
        <v>648</v>
      </c>
      <c r="F207" s="83"/>
      <c r="G207" s="83" t="s">
        <v>1575</v>
      </c>
      <c r="H207" s="219" t="s">
        <v>1032</v>
      </c>
      <c r="I207" s="219" t="s">
        <v>1040</v>
      </c>
      <c r="J207" s="219"/>
      <c r="K207" s="219" t="s">
        <v>1434</v>
      </c>
      <c r="L207" s="80"/>
      <c r="M207" s="80"/>
      <c r="N207"/>
      <c r="O207" s="80"/>
      <c r="P207" s="80" t="s">
        <v>120</v>
      </c>
      <c r="Q207" s="134" t="s">
        <v>1581</v>
      </c>
      <c r="R207" s="75" t="s">
        <v>1580</v>
      </c>
      <c r="S207" s="81" t="str">
        <f t="shared" si="10"/>
        <v>!</v>
      </c>
      <c r="T207" s="72" t="str">
        <f t="shared" si="11"/>
        <v/>
      </c>
      <c r="U207" s="72" t="str">
        <f t="shared" si="12"/>
        <v/>
      </c>
    </row>
    <row r="208" spans="1:21" ht="27" hidden="1">
      <c r="A208" s="74">
        <f t="shared" si="13"/>
        <v>188</v>
      </c>
      <c r="B208" s="219" t="s">
        <v>1013</v>
      </c>
      <c r="C208" s="219"/>
      <c r="D208" s="219"/>
      <c r="E208" s="83" t="s">
        <v>631</v>
      </c>
      <c r="F208" s="83"/>
      <c r="G208" s="83" t="s">
        <v>1576</v>
      </c>
      <c r="H208" s="219" t="s">
        <v>1033</v>
      </c>
      <c r="I208" s="219" t="s">
        <v>1040</v>
      </c>
      <c r="J208" s="219"/>
      <c r="K208" s="219" t="s">
        <v>1435</v>
      </c>
      <c r="L208" s="80"/>
      <c r="M208" s="80"/>
      <c r="N208"/>
      <c r="O208" s="80"/>
      <c r="P208" s="80" t="s">
        <v>120</v>
      </c>
      <c r="Q208" s="134" t="s">
        <v>1581</v>
      </c>
      <c r="R208" s="75" t="s">
        <v>1580</v>
      </c>
      <c r="S208" s="81" t="str">
        <f t="shared" si="10"/>
        <v>!</v>
      </c>
      <c r="T208" s="72" t="str">
        <f t="shared" si="11"/>
        <v/>
      </c>
      <c r="U208" s="72" t="str">
        <f t="shared" si="12"/>
        <v/>
      </c>
    </row>
    <row r="209" spans="1:21" ht="40.5" hidden="1">
      <c r="A209" s="74">
        <f t="shared" si="13"/>
        <v>189</v>
      </c>
      <c r="B209" s="219" t="s">
        <v>1014</v>
      </c>
      <c r="C209" s="219"/>
      <c r="D209" s="219"/>
      <c r="E209" s="83" t="s">
        <v>627</v>
      </c>
      <c r="F209" s="83"/>
      <c r="G209" s="83" t="s">
        <v>81</v>
      </c>
      <c r="H209" s="219" t="s">
        <v>1034</v>
      </c>
      <c r="I209" s="219" t="s">
        <v>1058</v>
      </c>
      <c r="J209" s="219"/>
      <c r="K209" s="219" t="s">
        <v>1436</v>
      </c>
      <c r="L209" s="80"/>
      <c r="M209" s="80" t="s">
        <v>1660</v>
      </c>
      <c r="N209" s="229"/>
      <c r="O209" s="80"/>
      <c r="P209" s="80" t="s">
        <v>120</v>
      </c>
      <c r="Q209" s="134" t="s">
        <v>1647</v>
      </c>
      <c r="R209" s="75" t="s">
        <v>1580</v>
      </c>
      <c r="S209" s="81" t="str">
        <f t="shared" si="10"/>
        <v>!</v>
      </c>
      <c r="T209" s="72" t="str">
        <f t="shared" si="11"/>
        <v/>
      </c>
      <c r="U209" s="72" t="str">
        <f t="shared" si="12"/>
        <v/>
      </c>
    </row>
    <row r="210" spans="1:21" ht="40.5" hidden="1">
      <c r="A210" s="74">
        <f t="shared" si="13"/>
        <v>190</v>
      </c>
      <c r="B210" s="219" t="s">
        <v>1015</v>
      </c>
      <c r="C210" s="219"/>
      <c r="D210" s="219"/>
      <c r="E210" s="83" t="s">
        <v>627</v>
      </c>
      <c r="F210" s="83"/>
      <c r="G210" s="83" t="s">
        <v>81</v>
      </c>
      <c r="H210" s="219" t="s">
        <v>1034</v>
      </c>
      <c r="I210" s="219" t="s">
        <v>1059</v>
      </c>
      <c r="J210" s="219"/>
      <c r="K210" s="219" t="s">
        <v>1077</v>
      </c>
      <c r="L210" s="80"/>
      <c r="M210" s="80" t="s">
        <v>1661</v>
      </c>
      <c r="N210" s="229"/>
      <c r="O210" s="80"/>
      <c r="P210" s="80" t="s">
        <v>120</v>
      </c>
      <c r="Q210" s="134" t="s">
        <v>1647</v>
      </c>
      <c r="R210" s="75" t="s">
        <v>1580</v>
      </c>
      <c r="S210" s="81" t="str">
        <f t="shared" si="10"/>
        <v>!</v>
      </c>
      <c r="T210" s="72" t="str">
        <f t="shared" si="11"/>
        <v/>
      </c>
      <c r="U210" s="72" t="str">
        <f t="shared" si="12"/>
        <v/>
      </c>
    </row>
    <row r="211" spans="1:21" ht="40.5" hidden="1">
      <c r="A211" s="74">
        <f t="shared" si="13"/>
        <v>191</v>
      </c>
      <c r="B211" s="219" t="s">
        <v>1016</v>
      </c>
      <c r="C211" s="219"/>
      <c r="D211" s="219"/>
      <c r="E211" s="83" t="s">
        <v>627</v>
      </c>
      <c r="F211" s="83"/>
      <c r="G211" s="83" t="s">
        <v>81</v>
      </c>
      <c r="H211" s="219" t="s">
        <v>1034</v>
      </c>
      <c r="I211" s="219" t="s">
        <v>1060</v>
      </c>
      <c r="J211" s="219"/>
      <c r="K211" s="219" t="s">
        <v>1078</v>
      </c>
      <c r="L211" s="80"/>
      <c r="M211" s="80" t="s">
        <v>1664</v>
      </c>
      <c r="N211" s="229"/>
      <c r="O211" s="80"/>
      <c r="P211" s="80" t="s">
        <v>120</v>
      </c>
      <c r="Q211" s="134" t="s">
        <v>1647</v>
      </c>
      <c r="R211" s="75" t="s">
        <v>1580</v>
      </c>
      <c r="S211" s="81" t="str">
        <f t="shared" si="10"/>
        <v>!</v>
      </c>
      <c r="T211" s="72" t="str">
        <f t="shared" si="11"/>
        <v/>
      </c>
      <c r="U211" s="72" t="str">
        <f t="shared" si="12"/>
        <v/>
      </c>
    </row>
    <row r="212" spans="1:21" ht="40.5" hidden="1">
      <c r="A212" s="74">
        <f t="shared" si="13"/>
        <v>192</v>
      </c>
      <c r="B212" s="219" t="s">
        <v>1017</v>
      </c>
      <c r="C212" s="219"/>
      <c r="D212" s="219"/>
      <c r="E212" s="83" t="s">
        <v>648</v>
      </c>
      <c r="F212" s="83"/>
      <c r="G212" s="83" t="s">
        <v>81</v>
      </c>
      <c r="H212" s="219" t="s">
        <v>1034</v>
      </c>
      <c r="I212" s="219" t="s">
        <v>1061</v>
      </c>
      <c r="J212" s="219"/>
      <c r="K212" s="219" t="s">
        <v>1437</v>
      </c>
      <c r="L212" s="80"/>
      <c r="M212" s="80"/>
      <c r="N212" s="230" t="s">
        <v>1665</v>
      </c>
      <c r="O212" s="80"/>
      <c r="P212" s="80" t="s">
        <v>120</v>
      </c>
      <c r="Q212" s="134" t="s">
        <v>1581</v>
      </c>
      <c r="R212" s="75" t="s">
        <v>1580</v>
      </c>
      <c r="S212" s="81" t="str">
        <f t="shared" si="10"/>
        <v>!</v>
      </c>
      <c r="T212" s="72" t="str">
        <f t="shared" si="11"/>
        <v/>
      </c>
      <c r="U212" s="72" t="str">
        <f t="shared" si="12"/>
        <v/>
      </c>
    </row>
    <row r="213" spans="1:21" ht="40.5" hidden="1">
      <c r="A213" s="74">
        <f t="shared" si="13"/>
        <v>193</v>
      </c>
      <c r="B213" s="219" t="s">
        <v>1018</v>
      </c>
      <c r="C213" s="219"/>
      <c r="D213" s="219"/>
      <c r="E213" s="83" t="s">
        <v>627</v>
      </c>
      <c r="F213" s="83"/>
      <c r="G213" s="83" t="s">
        <v>81</v>
      </c>
      <c r="H213" s="219" t="s">
        <v>1034</v>
      </c>
      <c r="I213" s="219" t="s">
        <v>1062</v>
      </c>
      <c r="J213" s="219"/>
      <c r="K213" s="219" t="s">
        <v>1079</v>
      </c>
      <c r="L213" s="80"/>
      <c r="M213" s="80" t="s">
        <v>1666</v>
      </c>
      <c r="N213" s="229"/>
      <c r="O213" s="80"/>
      <c r="P213" s="80" t="s">
        <v>120</v>
      </c>
      <c r="Q213" s="134" t="s">
        <v>1647</v>
      </c>
      <c r="R213" s="75" t="s">
        <v>1580</v>
      </c>
      <c r="S213" s="81" t="str">
        <f t="shared" ref="S213:S354" si="14">IF(OR(AND(CodeFileListUsed="Yes",D213="",COUNTA(B213:C213,E213:J213)&lt;&gt;0),AND(COUNTA(B213:C213,E213:J213)&lt;&gt;0, COUNTA(B213:C213,E213:J213)&lt;&gt;COUNTA(B$20:C$20,F$20:K$20))),CheckErr,CheckOK)</f>
        <v>!</v>
      </c>
      <c r="T213" s="72" t="str">
        <f t="shared" ref="T213:T354" si="15">IF(OR(ISBLANK(J213), AND(NOT(ISBLANK(L213)),OR(AND(O213="Accepted",OR(P213="Y",P213="y")),O213="Noted",O213="Duplicate",AND(O213="Rejected",NOT(ISBLANK(N213)))))),CheckOK,CheckErr)</f>
        <v/>
      </c>
      <c r="U213" s="72" t="str">
        <f t="shared" ref="U213:U354" si="16">IF(OR(ISBLANK(J213),NOT(ISBLANK(Q213))),CheckOK,CheckErr)</f>
        <v/>
      </c>
    </row>
    <row r="214" spans="1:21" ht="40.5" hidden="1">
      <c r="A214" s="74">
        <f t="shared" ref="A214:A354" si="17">A213+1</f>
        <v>194</v>
      </c>
      <c r="B214" s="219" t="s">
        <v>1019</v>
      </c>
      <c r="C214" s="219"/>
      <c r="D214" s="219"/>
      <c r="E214" s="83" t="s">
        <v>627</v>
      </c>
      <c r="F214" s="83"/>
      <c r="G214" s="83" t="s">
        <v>81</v>
      </c>
      <c r="H214" s="219" t="s">
        <v>1035</v>
      </c>
      <c r="I214" s="219" t="s">
        <v>1063</v>
      </c>
      <c r="J214" s="219"/>
      <c r="K214" s="219" t="s">
        <v>1438</v>
      </c>
      <c r="L214" s="80"/>
      <c r="M214" s="80"/>
      <c r="N214" s="240" t="s">
        <v>1720</v>
      </c>
      <c r="O214" s="80"/>
      <c r="P214" s="80" t="s">
        <v>120</v>
      </c>
      <c r="Q214" s="134" t="s">
        <v>1647</v>
      </c>
      <c r="R214" s="75" t="s">
        <v>1580</v>
      </c>
      <c r="S214" s="81" t="str">
        <f t="shared" si="14"/>
        <v>!</v>
      </c>
      <c r="T214" s="72" t="str">
        <f t="shared" si="15"/>
        <v/>
      </c>
      <c r="U214" s="72" t="str">
        <f t="shared" si="16"/>
        <v/>
      </c>
    </row>
    <row r="215" spans="1:21" ht="27" hidden="1">
      <c r="A215" s="74">
        <f t="shared" si="17"/>
        <v>195</v>
      </c>
      <c r="B215" s="219" t="s">
        <v>1020</v>
      </c>
      <c r="C215" s="219"/>
      <c r="D215" s="219"/>
      <c r="E215" s="83" t="s">
        <v>650</v>
      </c>
      <c r="F215" s="83" t="s">
        <v>1535</v>
      </c>
      <c r="G215" s="83">
        <v>4</v>
      </c>
      <c r="H215" s="219" t="s">
        <v>1036</v>
      </c>
      <c r="I215" s="219"/>
      <c r="J215" s="219"/>
      <c r="K215" s="219" t="s">
        <v>1439</v>
      </c>
      <c r="L215" s="80"/>
      <c r="M215" s="80"/>
      <c r="N215"/>
      <c r="O215" s="80"/>
      <c r="P215" s="80" t="s">
        <v>120</v>
      </c>
      <c r="Q215" s="134" t="s">
        <v>1581</v>
      </c>
      <c r="R215" s="75" t="s">
        <v>1580</v>
      </c>
      <c r="S215" s="81" t="str">
        <f t="shared" si="14"/>
        <v>!</v>
      </c>
      <c r="T215" s="72" t="str">
        <f t="shared" si="15"/>
        <v/>
      </c>
      <c r="U215" s="72" t="str">
        <f t="shared" si="16"/>
        <v/>
      </c>
    </row>
    <row r="216" spans="1:21" ht="40.5" hidden="1">
      <c r="A216" s="74">
        <f t="shared" si="17"/>
        <v>196</v>
      </c>
      <c r="B216" s="219" t="s">
        <v>1021</v>
      </c>
      <c r="C216" s="219"/>
      <c r="D216" s="219"/>
      <c r="E216" s="83" t="s">
        <v>627</v>
      </c>
      <c r="F216" s="83"/>
      <c r="G216" s="83">
        <v>4</v>
      </c>
      <c r="H216" s="219" t="s">
        <v>1037</v>
      </c>
      <c r="I216" s="219"/>
      <c r="J216" s="219"/>
      <c r="K216" s="219" t="s">
        <v>1440</v>
      </c>
      <c r="L216" s="80"/>
      <c r="M216" s="80"/>
      <c r="N216" s="239" t="s">
        <v>1723</v>
      </c>
      <c r="O216" s="80"/>
      <c r="P216" s="80" t="s">
        <v>120</v>
      </c>
      <c r="Q216" s="134" t="s">
        <v>1647</v>
      </c>
      <c r="R216" s="75" t="s">
        <v>1580</v>
      </c>
      <c r="S216" s="81" t="str">
        <f t="shared" si="14"/>
        <v>!</v>
      </c>
      <c r="T216" s="72" t="str">
        <f t="shared" si="15"/>
        <v/>
      </c>
      <c r="U216" s="72" t="str">
        <f t="shared" si="16"/>
        <v/>
      </c>
    </row>
    <row r="217" spans="1:21" ht="67.5" hidden="1">
      <c r="A217" s="74">
        <f t="shared" si="17"/>
        <v>197</v>
      </c>
      <c r="B217" s="219" t="s">
        <v>1022</v>
      </c>
      <c r="C217" s="219"/>
      <c r="D217" s="219"/>
      <c r="E217" s="83" t="s">
        <v>650</v>
      </c>
      <c r="F217" s="83" t="s">
        <v>1536</v>
      </c>
      <c r="G217" s="83">
        <v>4</v>
      </c>
      <c r="H217" s="219" t="s">
        <v>1038</v>
      </c>
      <c r="I217" s="219"/>
      <c r="J217" s="219"/>
      <c r="K217" s="219" t="s">
        <v>1441</v>
      </c>
      <c r="L217" s="80"/>
      <c r="M217" s="80"/>
      <c r="N217"/>
      <c r="O217" s="80"/>
      <c r="P217" s="80" t="s">
        <v>120</v>
      </c>
      <c r="Q217" s="134" t="s">
        <v>1581</v>
      </c>
      <c r="R217" s="75" t="s">
        <v>1580</v>
      </c>
      <c r="S217" s="81" t="str">
        <f t="shared" si="14"/>
        <v>!</v>
      </c>
      <c r="T217" s="72" t="str">
        <f t="shared" si="15"/>
        <v/>
      </c>
      <c r="U217" s="72" t="str">
        <f t="shared" si="16"/>
        <v/>
      </c>
    </row>
    <row r="218" spans="1:21" ht="27" hidden="1">
      <c r="A218" s="74">
        <f t="shared" si="17"/>
        <v>198</v>
      </c>
      <c r="B218" s="219" t="s">
        <v>1023</v>
      </c>
      <c r="C218" s="219"/>
      <c r="D218" s="219"/>
      <c r="E218" s="83" t="s">
        <v>648</v>
      </c>
      <c r="F218" s="83"/>
      <c r="G218" s="83" t="s">
        <v>1575</v>
      </c>
      <c r="H218" s="219" t="s">
        <v>1039</v>
      </c>
      <c r="I218" s="219"/>
      <c r="J218" s="219"/>
      <c r="K218" s="219" t="s">
        <v>1442</v>
      </c>
      <c r="L218" s="80"/>
      <c r="M218" s="80"/>
      <c r="N218"/>
      <c r="O218" s="80"/>
      <c r="P218" s="80" t="s">
        <v>120</v>
      </c>
      <c r="Q218" s="134" t="s">
        <v>1581</v>
      </c>
      <c r="R218" s="75" t="s">
        <v>1580</v>
      </c>
      <c r="S218" s="81" t="str">
        <f t="shared" si="14"/>
        <v>!</v>
      </c>
      <c r="T218" s="72" t="str">
        <f t="shared" si="15"/>
        <v/>
      </c>
      <c r="U218" s="72" t="str">
        <f t="shared" si="16"/>
        <v/>
      </c>
    </row>
    <row r="219" spans="1:21" ht="40.5" hidden="1">
      <c r="A219" s="74">
        <f t="shared" si="17"/>
        <v>199</v>
      </c>
      <c r="B219" s="219" t="s">
        <v>1024</v>
      </c>
      <c r="C219" s="219"/>
      <c r="D219" s="219"/>
      <c r="E219" s="83" t="s">
        <v>627</v>
      </c>
      <c r="F219" s="83"/>
      <c r="G219" s="83" t="s">
        <v>476</v>
      </c>
      <c r="H219" s="219" t="s">
        <v>1040</v>
      </c>
      <c r="I219" s="219"/>
      <c r="J219" s="219"/>
      <c r="K219" s="219" t="s">
        <v>1443</v>
      </c>
      <c r="L219" s="80"/>
      <c r="M219" s="80"/>
      <c r="N219" s="241" t="s">
        <v>1747</v>
      </c>
      <c r="O219" s="80" t="s">
        <v>100</v>
      </c>
      <c r="P219" s="80" t="s">
        <v>120</v>
      </c>
      <c r="Q219" s="134" t="s">
        <v>1647</v>
      </c>
      <c r="R219" s="75" t="s">
        <v>1580</v>
      </c>
      <c r="S219" s="81" t="str">
        <f t="shared" si="14"/>
        <v>!</v>
      </c>
      <c r="T219" s="72" t="str">
        <f t="shared" si="15"/>
        <v/>
      </c>
      <c r="U219" s="72" t="str">
        <f t="shared" si="16"/>
        <v/>
      </c>
    </row>
    <row r="220" spans="1:21" ht="40.5" hidden="1">
      <c r="A220" s="74">
        <f t="shared" si="17"/>
        <v>200</v>
      </c>
      <c r="B220" s="219" t="s">
        <v>1025</v>
      </c>
      <c r="C220" s="219"/>
      <c r="D220" s="219"/>
      <c r="E220" s="83" t="s">
        <v>627</v>
      </c>
      <c r="F220" s="83"/>
      <c r="G220" s="83" t="s">
        <v>476</v>
      </c>
      <c r="H220" s="219" t="s">
        <v>1040</v>
      </c>
      <c r="I220" s="219"/>
      <c r="J220" s="219"/>
      <c r="K220" s="219" t="s">
        <v>1444</v>
      </c>
      <c r="L220" s="80"/>
      <c r="M220" s="80"/>
      <c r="N220" t="s">
        <v>1698</v>
      </c>
      <c r="O220" s="80"/>
      <c r="P220" s="80" t="s">
        <v>120</v>
      </c>
      <c r="Q220" s="134" t="s">
        <v>1647</v>
      </c>
      <c r="R220" s="75" t="s">
        <v>1580</v>
      </c>
      <c r="S220" s="81" t="str">
        <f t="shared" si="14"/>
        <v>!</v>
      </c>
      <c r="T220" s="72" t="str">
        <f t="shared" si="15"/>
        <v/>
      </c>
      <c r="U220" s="72" t="str">
        <f t="shared" si="16"/>
        <v/>
      </c>
    </row>
    <row r="221" spans="1:21" ht="54" hidden="1">
      <c r="A221" s="74">
        <f t="shared" si="17"/>
        <v>201</v>
      </c>
      <c r="B221" s="219" t="s">
        <v>1026</v>
      </c>
      <c r="C221" s="219"/>
      <c r="D221" s="219"/>
      <c r="E221" s="83" t="s">
        <v>635</v>
      </c>
      <c r="F221" s="83"/>
      <c r="G221" s="83">
        <v>6</v>
      </c>
      <c r="H221" s="219" t="s">
        <v>1040</v>
      </c>
      <c r="I221" s="219"/>
      <c r="J221" s="219"/>
      <c r="K221" s="219" t="s">
        <v>1445</v>
      </c>
      <c r="L221" s="80"/>
      <c r="M221" s="80"/>
      <c r="N221" s="181" t="s">
        <v>1722</v>
      </c>
      <c r="O221" s="80"/>
      <c r="P221" s="80" t="s">
        <v>120</v>
      </c>
      <c r="Q221" s="134" t="s">
        <v>1647</v>
      </c>
      <c r="R221" s="75" t="s">
        <v>1580</v>
      </c>
      <c r="S221" s="81" t="str">
        <f t="shared" si="14"/>
        <v>!</v>
      </c>
      <c r="T221" s="72" t="str">
        <f t="shared" si="15"/>
        <v/>
      </c>
      <c r="U221" s="72" t="str">
        <f t="shared" si="16"/>
        <v/>
      </c>
    </row>
    <row r="222" spans="1:21" ht="27" hidden="1">
      <c r="A222" s="74">
        <f t="shared" si="17"/>
        <v>202</v>
      </c>
      <c r="B222" s="219" t="s">
        <v>1027</v>
      </c>
      <c r="C222" s="83"/>
      <c r="D222" s="83"/>
      <c r="E222" s="83" t="s">
        <v>648</v>
      </c>
      <c r="F222" s="83"/>
      <c r="G222" s="83" t="s">
        <v>476</v>
      </c>
      <c r="H222" s="219" t="s">
        <v>1040</v>
      </c>
      <c r="I222" s="219"/>
      <c r="J222" s="219"/>
      <c r="K222" s="219" t="s">
        <v>1446</v>
      </c>
      <c r="L222" s="80"/>
      <c r="M222" s="80"/>
      <c r="N222" s="181"/>
      <c r="O222" s="80"/>
      <c r="P222" s="80" t="s">
        <v>120</v>
      </c>
      <c r="Q222" s="134" t="s">
        <v>1581</v>
      </c>
      <c r="R222" s="75" t="s">
        <v>1580</v>
      </c>
      <c r="S222" s="81" t="str">
        <f t="shared" si="14"/>
        <v>!</v>
      </c>
      <c r="T222" s="72" t="str">
        <f t="shared" si="15"/>
        <v/>
      </c>
      <c r="U222" s="72" t="str">
        <f t="shared" si="16"/>
        <v/>
      </c>
    </row>
    <row r="223" spans="1:21" ht="81" hidden="1">
      <c r="A223" s="74">
        <f t="shared" si="17"/>
        <v>203</v>
      </c>
      <c r="B223" s="219" t="s">
        <v>1088</v>
      </c>
      <c r="C223" s="83"/>
      <c r="D223" s="83"/>
      <c r="E223" s="83" t="s">
        <v>627</v>
      </c>
      <c r="F223" s="83"/>
      <c r="G223" s="83">
        <v>1</v>
      </c>
      <c r="H223" s="219" t="s">
        <v>1099</v>
      </c>
      <c r="I223" s="219" t="s">
        <v>1101</v>
      </c>
      <c r="J223" s="219"/>
      <c r="K223" s="219" t="s">
        <v>1447</v>
      </c>
      <c r="L223" s="80"/>
      <c r="M223" s="80"/>
      <c r="N223"/>
      <c r="O223" s="80"/>
      <c r="P223" s="80" t="s">
        <v>120</v>
      </c>
      <c r="Q223" s="134" t="s">
        <v>1647</v>
      </c>
      <c r="R223" s="75" t="s">
        <v>1580</v>
      </c>
      <c r="S223" s="81" t="str">
        <f t="shared" si="14"/>
        <v>!</v>
      </c>
      <c r="T223" s="72" t="str">
        <f t="shared" si="15"/>
        <v/>
      </c>
      <c r="U223" s="72" t="str">
        <f t="shared" si="16"/>
        <v/>
      </c>
    </row>
    <row r="224" spans="1:21" ht="40.5" hidden="1">
      <c r="A224" s="74">
        <f t="shared" si="17"/>
        <v>204</v>
      </c>
      <c r="B224" s="219" t="s">
        <v>1089</v>
      </c>
      <c r="C224" s="83"/>
      <c r="D224" s="83"/>
      <c r="E224" s="83" t="s">
        <v>627</v>
      </c>
      <c r="F224" s="83"/>
      <c r="G224" s="83">
        <v>4</v>
      </c>
      <c r="H224" s="219">
        <v>4.2</v>
      </c>
      <c r="I224" s="219" t="s">
        <v>1102</v>
      </c>
      <c r="J224" s="219"/>
      <c r="K224" s="219" t="s">
        <v>1111</v>
      </c>
      <c r="L224" s="80"/>
      <c r="M224" s="80"/>
      <c r="N224" s="241" t="s">
        <v>1748</v>
      </c>
      <c r="O224" s="80" t="s">
        <v>100</v>
      </c>
      <c r="P224" s="80" t="s">
        <v>120</v>
      </c>
      <c r="Q224" s="134" t="s">
        <v>1647</v>
      </c>
      <c r="R224" s="75" t="s">
        <v>1580</v>
      </c>
      <c r="S224" s="81" t="str">
        <f t="shared" si="14"/>
        <v>!</v>
      </c>
      <c r="T224" s="72" t="str">
        <f t="shared" si="15"/>
        <v/>
      </c>
      <c r="U224" s="72" t="str">
        <f t="shared" si="16"/>
        <v/>
      </c>
    </row>
    <row r="225" spans="1:21" ht="40.5" hidden="1">
      <c r="A225" s="74">
        <f t="shared" si="17"/>
        <v>205</v>
      </c>
      <c r="B225" s="219" t="s">
        <v>1090</v>
      </c>
      <c r="C225" s="83"/>
      <c r="D225" s="83"/>
      <c r="E225" s="83" t="s">
        <v>648</v>
      </c>
      <c r="F225" s="83"/>
      <c r="G225" s="83">
        <v>4</v>
      </c>
      <c r="H225" s="219" t="s">
        <v>834</v>
      </c>
      <c r="I225" s="219" t="s">
        <v>1103</v>
      </c>
      <c r="J225" s="219"/>
      <c r="K225" s="219" t="s">
        <v>1448</v>
      </c>
      <c r="L225" s="80"/>
      <c r="M225" s="80"/>
      <c r="N225" s="241"/>
      <c r="O225" s="80"/>
      <c r="P225" s="80" t="s">
        <v>120</v>
      </c>
      <c r="Q225" s="134" t="s">
        <v>1581</v>
      </c>
      <c r="R225" s="75" t="s">
        <v>1580</v>
      </c>
      <c r="S225" s="81" t="str">
        <f t="shared" si="14"/>
        <v>!</v>
      </c>
      <c r="T225" s="72" t="str">
        <f t="shared" si="15"/>
        <v/>
      </c>
      <c r="U225" s="72" t="str">
        <f t="shared" si="16"/>
        <v/>
      </c>
    </row>
    <row r="226" spans="1:21" ht="27" hidden="1">
      <c r="A226" s="74">
        <f t="shared" si="17"/>
        <v>206</v>
      </c>
      <c r="B226" s="219" t="s">
        <v>1091</v>
      </c>
      <c r="C226" s="83"/>
      <c r="D226" s="83"/>
      <c r="E226" s="83" t="s">
        <v>631</v>
      </c>
      <c r="F226" s="83"/>
      <c r="G226" s="83">
        <v>5</v>
      </c>
      <c r="H226" s="219" t="s">
        <v>835</v>
      </c>
      <c r="I226" s="219" t="s">
        <v>1104</v>
      </c>
      <c r="J226" s="219"/>
      <c r="K226" s="219" t="s">
        <v>1449</v>
      </c>
      <c r="L226" s="80"/>
      <c r="M226" s="80"/>
      <c r="N226" s="241"/>
      <c r="O226" s="80"/>
      <c r="P226" s="80" t="s">
        <v>120</v>
      </c>
      <c r="Q226" s="134" t="s">
        <v>1581</v>
      </c>
      <c r="R226" s="75" t="s">
        <v>1580</v>
      </c>
      <c r="S226" s="81" t="str">
        <f t="shared" si="14"/>
        <v>!</v>
      </c>
      <c r="T226" s="72" t="str">
        <f t="shared" si="15"/>
        <v/>
      </c>
      <c r="U226" s="72" t="str">
        <f t="shared" si="16"/>
        <v/>
      </c>
    </row>
    <row r="227" spans="1:21" ht="67.5" hidden="1">
      <c r="A227" s="74">
        <f t="shared" si="17"/>
        <v>207</v>
      </c>
      <c r="B227" s="219" t="s">
        <v>1092</v>
      </c>
      <c r="C227" s="83"/>
      <c r="D227" s="83"/>
      <c r="E227" s="83" t="s">
        <v>631</v>
      </c>
      <c r="F227" s="83"/>
      <c r="G227" s="83">
        <v>5</v>
      </c>
      <c r="H227" s="219" t="s">
        <v>835</v>
      </c>
      <c r="I227" s="219" t="s">
        <v>1105</v>
      </c>
      <c r="J227" s="219"/>
      <c r="K227" s="219" t="s">
        <v>1450</v>
      </c>
      <c r="L227" s="80"/>
      <c r="M227" s="80"/>
      <c r="N227" s="241"/>
      <c r="O227" s="80"/>
      <c r="P227" s="80" t="s">
        <v>120</v>
      </c>
      <c r="Q227" s="134" t="s">
        <v>1581</v>
      </c>
      <c r="R227" s="75" t="s">
        <v>1580</v>
      </c>
      <c r="S227" s="81" t="str">
        <f t="shared" si="14"/>
        <v>!</v>
      </c>
      <c r="T227" s="72" t="str">
        <f t="shared" si="15"/>
        <v/>
      </c>
      <c r="U227" s="72" t="str">
        <f t="shared" si="16"/>
        <v/>
      </c>
    </row>
    <row r="228" spans="1:21" ht="27" hidden="1">
      <c r="A228" s="74">
        <f t="shared" si="17"/>
        <v>208</v>
      </c>
      <c r="B228" s="219" t="s">
        <v>1093</v>
      </c>
      <c r="C228" s="83"/>
      <c r="D228" s="83"/>
      <c r="E228" s="83" t="s">
        <v>631</v>
      </c>
      <c r="F228" s="83"/>
      <c r="G228" s="83">
        <v>5</v>
      </c>
      <c r="H228" s="219">
        <v>5.9</v>
      </c>
      <c r="I228" s="219" t="s">
        <v>1106</v>
      </c>
      <c r="J228" s="219"/>
      <c r="K228" s="219" t="s">
        <v>1451</v>
      </c>
      <c r="L228" s="80"/>
      <c r="M228" s="80"/>
      <c r="N228" s="241"/>
      <c r="O228" s="80"/>
      <c r="P228" s="80" t="s">
        <v>120</v>
      </c>
      <c r="Q228" s="134" t="s">
        <v>1581</v>
      </c>
      <c r="R228" s="75" t="s">
        <v>1580</v>
      </c>
      <c r="S228" s="81" t="str">
        <f t="shared" si="14"/>
        <v>!</v>
      </c>
      <c r="T228" s="72" t="str">
        <f t="shared" si="15"/>
        <v/>
      </c>
      <c r="U228" s="72" t="str">
        <f t="shared" si="16"/>
        <v/>
      </c>
    </row>
    <row r="229" spans="1:21" ht="54" hidden="1">
      <c r="A229" s="74">
        <f t="shared" si="17"/>
        <v>209</v>
      </c>
      <c r="B229" s="219" t="s">
        <v>1094</v>
      </c>
      <c r="C229" s="83"/>
      <c r="D229" s="83"/>
      <c r="E229" s="83" t="s">
        <v>638</v>
      </c>
      <c r="F229" s="83"/>
      <c r="G229" s="83">
        <v>6</v>
      </c>
      <c r="H229" s="219" t="s">
        <v>960</v>
      </c>
      <c r="I229" s="219" t="s">
        <v>1107</v>
      </c>
      <c r="J229" s="219"/>
      <c r="K229" s="219" t="s">
        <v>1452</v>
      </c>
      <c r="L229" s="80"/>
      <c r="M229" s="80"/>
      <c r="N229" s="241" t="s">
        <v>1113</v>
      </c>
      <c r="O229" s="80"/>
      <c r="P229" s="80" t="s">
        <v>120</v>
      </c>
      <c r="Q229" s="134" t="s">
        <v>1647</v>
      </c>
      <c r="R229" s="75" t="s">
        <v>1580</v>
      </c>
      <c r="S229" s="81" t="str">
        <f t="shared" si="14"/>
        <v>!</v>
      </c>
      <c r="T229" s="72" t="str">
        <f t="shared" si="15"/>
        <v/>
      </c>
      <c r="U229" s="72" t="str">
        <f t="shared" si="16"/>
        <v/>
      </c>
    </row>
    <row r="230" spans="1:21" ht="54" hidden="1">
      <c r="A230" s="74">
        <f t="shared" si="17"/>
        <v>210</v>
      </c>
      <c r="B230" s="219" t="s">
        <v>1095</v>
      </c>
      <c r="C230" s="83"/>
      <c r="D230" s="83"/>
      <c r="E230" s="83" t="s">
        <v>638</v>
      </c>
      <c r="F230" s="83"/>
      <c r="G230" s="83">
        <v>6</v>
      </c>
      <c r="H230" s="219" t="s">
        <v>960</v>
      </c>
      <c r="I230" s="219"/>
      <c r="J230" s="219"/>
      <c r="K230" s="219" t="s">
        <v>1453</v>
      </c>
      <c r="L230" s="80"/>
      <c r="M230" s="80"/>
      <c r="N230" s="241" t="s">
        <v>1114</v>
      </c>
      <c r="O230" s="80"/>
      <c r="P230" s="80" t="s">
        <v>120</v>
      </c>
      <c r="Q230" s="134" t="s">
        <v>1647</v>
      </c>
      <c r="R230" s="75" t="s">
        <v>1580</v>
      </c>
      <c r="S230" s="81" t="str">
        <f t="shared" si="14"/>
        <v>!</v>
      </c>
      <c r="T230" s="72" t="str">
        <f t="shared" si="15"/>
        <v/>
      </c>
      <c r="U230" s="72" t="str">
        <f t="shared" si="16"/>
        <v/>
      </c>
    </row>
    <row r="231" spans="1:21" ht="40.5" hidden="1">
      <c r="A231" s="74">
        <f t="shared" si="17"/>
        <v>211</v>
      </c>
      <c r="B231" s="219" t="s">
        <v>1096</v>
      </c>
      <c r="C231" s="83"/>
      <c r="D231" s="83"/>
      <c r="E231" s="83" t="s">
        <v>635</v>
      </c>
      <c r="F231" s="83"/>
      <c r="G231" s="83">
        <v>6</v>
      </c>
      <c r="H231" s="219" t="s">
        <v>962</v>
      </c>
      <c r="I231" s="219" t="s">
        <v>1108</v>
      </c>
      <c r="J231" s="219"/>
      <c r="K231" s="219" t="s">
        <v>1112</v>
      </c>
      <c r="L231" s="80"/>
      <c r="M231" s="80"/>
      <c r="N231" s="241" t="s">
        <v>1115</v>
      </c>
      <c r="O231" s="80"/>
      <c r="P231" s="80" t="s">
        <v>120</v>
      </c>
      <c r="Q231" s="134" t="s">
        <v>1647</v>
      </c>
      <c r="R231" s="75" t="s">
        <v>1580</v>
      </c>
      <c r="S231" s="81" t="str">
        <f t="shared" si="14"/>
        <v>!</v>
      </c>
      <c r="T231" s="72" t="str">
        <f t="shared" si="15"/>
        <v/>
      </c>
      <c r="U231" s="72" t="str">
        <f t="shared" si="16"/>
        <v/>
      </c>
    </row>
    <row r="232" spans="1:21" ht="54" hidden="1">
      <c r="A232" s="74">
        <f t="shared" si="17"/>
        <v>212</v>
      </c>
      <c r="B232" s="219" t="s">
        <v>1097</v>
      </c>
      <c r="C232" s="83"/>
      <c r="D232" s="83"/>
      <c r="E232" s="83" t="s">
        <v>635</v>
      </c>
      <c r="F232" s="83"/>
      <c r="G232" s="83">
        <v>6</v>
      </c>
      <c r="H232" s="219" t="s">
        <v>962</v>
      </c>
      <c r="I232" s="219" t="s">
        <v>1109</v>
      </c>
      <c r="J232" s="219"/>
      <c r="K232" s="219" t="s">
        <v>1454</v>
      </c>
      <c r="L232" s="80"/>
      <c r="M232" s="80"/>
      <c r="N232" s="241" t="s">
        <v>1116</v>
      </c>
      <c r="O232" s="80"/>
      <c r="P232" s="80" t="s">
        <v>120</v>
      </c>
      <c r="Q232" s="134" t="s">
        <v>1647</v>
      </c>
      <c r="R232" s="75" t="s">
        <v>1580</v>
      </c>
      <c r="S232" s="81" t="str">
        <f t="shared" si="14"/>
        <v>!</v>
      </c>
      <c r="T232" s="72" t="str">
        <f t="shared" si="15"/>
        <v/>
      </c>
      <c r="U232" s="72" t="str">
        <f t="shared" si="16"/>
        <v/>
      </c>
    </row>
    <row r="233" spans="1:21" ht="54" hidden="1">
      <c r="A233" s="74">
        <f t="shared" si="17"/>
        <v>213</v>
      </c>
      <c r="B233" s="219" t="s">
        <v>1098</v>
      </c>
      <c r="C233" s="83"/>
      <c r="D233" s="83"/>
      <c r="E233" s="83" t="s">
        <v>635</v>
      </c>
      <c r="F233" s="83"/>
      <c r="G233" s="83">
        <v>6</v>
      </c>
      <c r="H233" s="219" t="s">
        <v>1100</v>
      </c>
      <c r="I233" s="219" t="s">
        <v>1110</v>
      </c>
      <c r="J233" s="219"/>
      <c r="K233" s="219" t="s">
        <v>1455</v>
      </c>
      <c r="L233" s="80"/>
      <c r="M233" s="80"/>
      <c r="N233" s="241" t="s">
        <v>1749</v>
      </c>
      <c r="O233" s="80" t="s">
        <v>99</v>
      </c>
      <c r="P233" s="80" t="s">
        <v>120</v>
      </c>
      <c r="Q233" s="134" t="s">
        <v>1647</v>
      </c>
      <c r="R233" s="75" t="s">
        <v>1580</v>
      </c>
      <c r="S233" s="81" t="str">
        <f t="shared" si="14"/>
        <v>!</v>
      </c>
      <c r="T233" s="72" t="str">
        <f t="shared" si="15"/>
        <v/>
      </c>
      <c r="U233" s="72" t="str">
        <f t="shared" si="16"/>
        <v/>
      </c>
    </row>
    <row r="234" spans="1:21" ht="27" hidden="1">
      <c r="A234" s="74">
        <f t="shared" si="17"/>
        <v>214</v>
      </c>
      <c r="B234" s="219" t="s">
        <v>1117</v>
      </c>
      <c r="C234" s="83"/>
      <c r="D234" s="83"/>
      <c r="E234" s="83" t="s">
        <v>631</v>
      </c>
      <c r="F234" s="83"/>
      <c r="G234" s="83">
        <v>1</v>
      </c>
      <c r="H234" s="219">
        <v>1.4</v>
      </c>
      <c r="I234" s="219"/>
      <c r="J234" s="219"/>
      <c r="K234" s="219" t="s">
        <v>1456</v>
      </c>
      <c r="L234" s="80"/>
      <c r="M234" s="80"/>
      <c r="N234" s="241" t="s">
        <v>141</v>
      </c>
      <c r="O234" s="80"/>
      <c r="P234" s="80" t="s">
        <v>120</v>
      </c>
      <c r="Q234" s="134" t="s">
        <v>1647</v>
      </c>
      <c r="R234" s="75" t="s">
        <v>1580</v>
      </c>
      <c r="S234" s="81" t="str">
        <f t="shared" si="14"/>
        <v>!</v>
      </c>
      <c r="T234" s="72" t="str">
        <f t="shared" si="15"/>
        <v/>
      </c>
      <c r="U234" s="72" t="str">
        <f t="shared" si="16"/>
        <v/>
      </c>
    </row>
    <row r="235" spans="1:21" ht="40.5" hidden="1">
      <c r="A235" s="74">
        <f t="shared" si="17"/>
        <v>215</v>
      </c>
      <c r="B235" s="219" t="s">
        <v>1118</v>
      </c>
      <c r="C235" s="83"/>
      <c r="D235" s="83"/>
      <c r="E235" s="83" t="s">
        <v>627</v>
      </c>
      <c r="F235" s="83"/>
      <c r="G235" s="83">
        <v>1</v>
      </c>
      <c r="H235" s="219">
        <v>1.4</v>
      </c>
      <c r="I235" s="219"/>
      <c r="J235" s="219"/>
      <c r="K235" s="219" t="s">
        <v>1167</v>
      </c>
      <c r="L235" s="80"/>
      <c r="M235" s="80"/>
      <c r="N235" s="241"/>
      <c r="O235" s="80"/>
      <c r="P235" s="80"/>
      <c r="Q235" s="134" t="s">
        <v>1647</v>
      </c>
      <c r="R235" s="75" t="s">
        <v>1580</v>
      </c>
      <c r="S235" s="81"/>
      <c r="T235" s="72"/>
      <c r="U235" s="72"/>
    </row>
    <row r="236" spans="1:21" ht="40.5" hidden="1">
      <c r="A236" s="74">
        <f t="shared" si="17"/>
        <v>216</v>
      </c>
      <c r="B236" s="219" t="s">
        <v>1119</v>
      </c>
      <c r="C236" s="83"/>
      <c r="D236" s="83"/>
      <c r="E236" s="83" t="s">
        <v>627</v>
      </c>
      <c r="F236" s="83"/>
      <c r="G236" s="83">
        <v>1</v>
      </c>
      <c r="H236" s="219">
        <v>1.5</v>
      </c>
      <c r="I236" s="219"/>
      <c r="J236" s="219"/>
      <c r="K236" s="219" t="s">
        <v>1168</v>
      </c>
      <c r="L236" s="80"/>
      <c r="M236" s="80"/>
      <c r="N236" s="241" t="s">
        <v>1698</v>
      </c>
      <c r="O236" s="80"/>
      <c r="P236" s="80"/>
      <c r="Q236" s="134" t="s">
        <v>1647</v>
      </c>
      <c r="R236" s="75" t="s">
        <v>1580</v>
      </c>
      <c r="S236" s="81"/>
      <c r="T236" s="72"/>
      <c r="U236" s="72"/>
    </row>
    <row r="237" spans="1:21" ht="54" hidden="1">
      <c r="A237" s="74">
        <f t="shared" si="17"/>
        <v>217</v>
      </c>
      <c r="B237" s="219" t="s">
        <v>1120</v>
      </c>
      <c r="C237" s="83"/>
      <c r="D237" s="83"/>
      <c r="E237" s="83" t="s">
        <v>627</v>
      </c>
      <c r="F237" s="83"/>
      <c r="G237" s="83">
        <v>1</v>
      </c>
      <c r="H237" s="219">
        <v>1.5</v>
      </c>
      <c r="I237" s="219" t="s">
        <v>845</v>
      </c>
      <c r="J237" s="219"/>
      <c r="K237" s="219" t="s">
        <v>1457</v>
      </c>
      <c r="L237" s="80"/>
      <c r="M237" s="80"/>
      <c r="N237" s="241"/>
      <c r="O237" s="80"/>
      <c r="P237" s="80"/>
      <c r="Q237" s="134" t="s">
        <v>1647</v>
      </c>
      <c r="R237" s="75" t="s">
        <v>1580</v>
      </c>
      <c r="S237" s="81"/>
      <c r="T237" s="72"/>
      <c r="U237" s="72"/>
    </row>
    <row r="238" spans="1:21" ht="40.5" hidden="1">
      <c r="A238" s="74">
        <f t="shared" si="17"/>
        <v>218</v>
      </c>
      <c r="B238" s="219" t="s">
        <v>1121</v>
      </c>
      <c r="C238" s="83"/>
      <c r="D238" s="83"/>
      <c r="E238" s="83" t="s">
        <v>627</v>
      </c>
      <c r="F238" s="83"/>
      <c r="G238" s="83">
        <v>1</v>
      </c>
      <c r="H238" s="219">
        <v>1.6</v>
      </c>
      <c r="I238" s="219" t="s">
        <v>1152</v>
      </c>
      <c r="J238" s="219"/>
      <c r="K238" s="219" t="s">
        <v>1458</v>
      </c>
      <c r="L238" s="80"/>
      <c r="M238" s="80"/>
      <c r="N238" s="241"/>
      <c r="O238" s="80"/>
      <c r="P238" s="80"/>
      <c r="Q238" s="134" t="s">
        <v>1647</v>
      </c>
      <c r="R238" s="75" t="s">
        <v>1580</v>
      </c>
      <c r="S238" s="81"/>
      <c r="T238" s="72"/>
      <c r="U238" s="72"/>
    </row>
    <row r="239" spans="1:21" ht="40.5" hidden="1">
      <c r="A239" s="74">
        <f t="shared" si="17"/>
        <v>219</v>
      </c>
      <c r="B239" s="219" t="s">
        <v>1122</v>
      </c>
      <c r="C239" s="83"/>
      <c r="D239" s="83"/>
      <c r="E239" s="83" t="s">
        <v>627</v>
      </c>
      <c r="F239" s="83"/>
      <c r="G239" s="83" t="s">
        <v>81</v>
      </c>
      <c r="H239" s="219" t="s">
        <v>1141</v>
      </c>
      <c r="I239" s="219" t="s">
        <v>845</v>
      </c>
      <c r="J239" s="219"/>
      <c r="K239" s="219" t="s">
        <v>1459</v>
      </c>
      <c r="L239" s="80"/>
      <c r="M239" s="80" t="s">
        <v>1667</v>
      </c>
      <c r="N239" s="241"/>
      <c r="O239" s="80"/>
      <c r="P239" s="80"/>
      <c r="Q239" s="134" t="s">
        <v>1647</v>
      </c>
      <c r="R239" s="75" t="s">
        <v>1580</v>
      </c>
      <c r="S239" s="81"/>
      <c r="T239" s="72"/>
      <c r="U239" s="72"/>
    </row>
    <row r="240" spans="1:21" ht="40.5" hidden="1">
      <c r="A240" s="74">
        <f t="shared" si="17"/>
        <v>220</v>
      </c>
      <c r="B240" s="219" t="s">
        <v>1123</v>
      </c>
      <c r="C240" s="83"/>
      <c r="D240" s="83"/>
      <c r="E240" s="83" t="s">
        <v>627</v>
      </c>
      <c r="F240" s="83"/>
      <c r="G240" s="83" t="s">
        <v>81</v>
      </c>
      <c r="H240" s="219" t="s">
        <v>1142</v>
      </c>
      <c r="I240" s="219" t="s">
        <v>845</v>
      </c>
      <c r="J240" s="219"/>
      <c r="K240" s="219" t="s">
        <v>1169</v>
      </c>
      <c r="L240" s="80"/>
      <c r="M240" s="80" t="s">
        <v>1668</v>
      </c>
      <c r="N240" s="241"/>
      <c r="O240" s="80"/>
      <c r="P240" s="80"/>
      <c r="Q240" s="134" t="s">
        <v>1647</v>
      </c>
      <c r="R240" s="75" t="s">
        <v>1580</v>
      </c>
      <c r="S240" s="81"/>
      <c r="T240" s="72"/>
      <c r="U240" s="72"/>
    </row>
    <row r="241" spans="1:21" ht="54" hidden="1">
      <c r="A241" s="74">
        <f t="shared" si="17"/>
        <v>221</v>
      </c>
      <c r="B241" s="219" t="s">
        <v>1124</v>
      </c>
      <c r="C241" s="83"/>
      <c r="D241" s="83"/>
      <c r="E241" s="83" t="s">
        <v>627</v>
      </c>
      <c r="F241" s="83"/>
      <c r="G241" s="83" t="s">
        <v>81</v>
      </c>
      <c r="H241" s="219" t="s">
        <v>1142</v>
      </c>
      <c r="I241" s="219" t="s">
        <v>1152</v>
      </c>
      <c r="J241" s="219"/>
      <c r="K241" s="219" t="s">
        <v>1170</v>
      </c>
      <c r="L241" s="80"/>
      <c r="M241" s="80"/>
      <c r="N241" s="241" t="s">
        <v>1721</v>
      </c>
      <c r="O241" s="80"/>
      <c r="P241" s="80"/>
      <c r="Q241" s="134" t="s">
        <v>1647</v>
      </c>
      <c r="R241" s="75" t="s">
        <v>1580</v>
      </c>
      <c r="S241" s="81"/>
      <c r="T241" s="72"/>
      <c r="U241" s="72"/>
    </row>
    <row r="242" spans="1:21" ht="40.5" hidden="1">
      <c r="A242" s="74">
        <f t="shared" si="17"/>
        <v>222</v>
      </c>
      <c r="B242" s="219" t="s">
        <v>1125</v>
      </c>
      <c r="C242" s="83"/>
      <c r="D242" s="83"/>
      <c r="E242" s="83" t="s">
        <v>627</v>
      </c>
      <c r="F242" s="83"/>
      <c r="G242" s="83" t="s">
        <v>81</v>
      </c>
      <c r="H242" s="219" t="s">
        <v>1143</v>
      </c>
      <c r="I242" s="219" t="s">
        <v>1152</v>
      </c>
      <c r="J242" s="219"/>
      <c r="K242" s="219" t="s">
        <v>1460</v>
      </c>
      <c r="L242" s="80"/>
      <c r="M242" s="80" t="s">
        <v>1674</v>
      </c>
      <c r="N242" s="241"/>
      <c r="O242" s="80"/>
      <c r="P242" s="80"/>
      <c r="Q242" s="134" t="s">
        <v>1647</v>
      </c>
      <c r="R242" s="75" t="s">
        <v>1580</v>
      </c>
      <c r="S242" s="81"/>
      <c r="T242" s="72"/>
      <c r="U242" s="72"/>
    </row>
    <row r="243" spans="1:21" ht="40.5">
      <c r="A243" s="74">
        <f t="shared" si="17"/>
        <v>223</v>
      </c>
      <c r="B243" s="219" t="s">
        <v>1126</v>
      </c>
      <c r="C243" s="83"/>
      <c r="D243" s="83"/>
      <c r="E243" s="83" t="s">
        <v>627</v>
      </c>
      <c r="F243" s="83"/>
      <c r="G243" s="83" t="s">
        <v>81</v>
      </c>
      <c r="H243" s="219" t="s">
        <v>1144</v>
      </c>
      <c r="I243" s="219" t="s">
        <v>1153</v>
      </c>
      <c r="J243" s="219"/>
      <c r="K243" s="219" t="s">
        <v>1171</v>
      </c>
      <c r="L243" s="80"/>
      <c r="M243" s="80" t="s">
        <v>1738</v>
      </c>
      <c r="N243" s="241" t="s">
        <v>1669</v>
      </c>
      <c r="O243" s="80"/>
      <c r="P243" s="80"/>
      <c r="Q243" s="134" t="s">
        <v>1581</v>
      </c>
      <c r="R243" s="75" t="s">
        <v>1580</v>
      </c>
      <c r="S243" s="81"/>
      <c r="T243" s="72"/>
      <c r="U243" s="72"/>
    </row>
    <row r="244" spans="1:21" ht="40.5" hidden="1">
      <c r="A244" s="74">
        <f t="shared" si="17"/>
        <v>224</v>
      </c>
      <c r="B244" s="219" t="s">
        <v>1127</v>
      </c>
      <c r="C244" s="83"/>
      <c r="D244" s="83"/>
      <c r="E244" s="83" t="s">
        <v>627</v>
      </c>
      <c r="F244" s="83"/>
      <c r="G244" s="83" t="s">
        <v>81</v>
      </c>
      <c r="H244" s="219" t="s">
        <v>1145</v>
      </c>
      <c r="I244" s="219" t="s">
        <v>1154</v>
      </c>
      <c r="J244" s="219"/>
      <c r="K244" s="219" t="s">
        <v>1461</v>
      </c>
      <c r="L244" s="80"/>
      <c r="M244" s="80"/>
      <c r="N244" s="241" t="s">
        <v>1669</v>
      </c>
      <c r="O244" s="80"/>
      <c r="P244" s="80"/>
      <c r="Q244" s="134" t="s">
        <v>1647</v>
      </c>
      <c r="R244" s="75" t="s">
        <v>1580</v>
      </c>
      <c r="S244" s="81"/>
      <c r="T244" s="72"/>
      <c r="U244" s="72"/>
    </row>
    <row r="245" spans="1:21" ht="40.5" hidden="1">
      <c r="A245" s="74">
        <f t="shared" si="17"/>
        <v>225</v>
      </c>
      <c r="B245" s="219" t="s">
        <v>1128</v>
      </c>
      <c r="C245" s="83"/>
      <c r="D245" s="83"/>
      <c r="E245" s="83" t="s">
        <v>627</v>
      </c>
      <c r="F245" s="83"/>
      <c r="G245" s="83" t="s">
        <v>81</v>
      </c>
      <c r="H245" s="219" t="s">
        <v>1146</v>
      </c>
      <c r="I245" s="219" t="s">
        <v>1155</v>
      </c>
      <c r="J245" s="219"/>
      <c r="K245" s="219" t="s">
        <v>1462</v>
      </c>
      <c r="L245" s="80"/>
      <c r="M245" s="80" t="s">
        <v>1670</v>
      </c>
      <c r="N245" s="241"/>
      <c r="O245" s="80"/>
      <c r="P245" s="80"/>
      <c r="Q245" s="134" t="s">
        <v>1647</v>
      </c>
      <c r="R245" s="75" t="s">
        <v>1580</v>
      </c>
      <c r="S245" s="81"/>
      <c r="T245" s="72"/>
      <c r="U245" s="72"/>
    </row>
    <row r="246" spans="1:21" ht="40.5" hidden="1">
      <c r="A246" s="74">
        <f t="shared" si="17"/>
        <v>226</v>
      </c>
      <c r="B246" s="219" t="s">
        <v>1129</v>
      </c>
      <c r="C246" s="83"/>
      <c r="D246" s="83"/>
      <c r="E246" s="83" t="s">
        <v>627</v>
      </c>
      <c r="F246" s="83"/>
      <c r="G246" s="83" t="s">
        <v>81</v>
      </c>
      <c r="H246" s="219" t="s">
        <v>1144</v>
      </c>
      <c r="I246" s="219" t="s">
        <v>1156</v>
      </c>
      <c r="J246" s="219"/>
      <c r="K246" s="219" t="s">
        <v>1463</v>
      </c>
      <c r="L246" s="80"/>
      <c r="M246" s="80"/>
      <c r="N246" s="241" t="s">
        <v>1672</v>
      </c>
      <c r="O246" s="80"/>
      <c r="P246" s="80"/>
      <c r="Q246" s="134" t="s">
        <v>1647</v>
      </c>
      <c r="R246" s="75" t="s">
        <v>1580</v>
      </c>
      <c r="S246" s="81"/>
      <c r="T246" s="72"/>
      <c r="U246" s="72"/>
    </row>
    <row r="247" spans="1:21" ht="40.5" hidden="1">
      <c r="A247" s="74">
        <f t="shared" si="17"/>
        <v>227</v>
      </c>
      <c r="B247" s="219" t="s">
        <v>1130</v>
      </c>
      <c r="C247" s="83"/>
      <c r="D247" s="83"/>
      <c r="E247" s="83" t="s">
        <v>627</v>
      </c>
      <c r="F247" s="83"/>
      <c r="G247" s="83" t="s">
        <v>81</v>
      </c>
      <c r="H247" s="219" t="s">
        <v>1147</v>
      </c>
      <c r="I247" s="219" t="s">
        <v>1157</v>
      </c>
      <c r="J247" s="219"/>
      <c r="K247" s="219" t="s">
        <v>1172</v>
      </c>
      <c r="L247" s="80"/>
      <c r="M247" s="80" t="s">
        <v>1673</v>
      </c>
      <c r="N247" s="241"/>
      <c r="O247" s="80"/>
      <c r="P247" s="80"/>
      <c r="Q247" s="134" t="s">
        <v>1647</v>
      </c>
      <c r="R247" s="75" t="s">
        <v>1580</v>
      </c>
      <c r="S247" s="81"/>
      <c r="T247" s="72"/>
      <c r="U247" s="72"/>
    </row>
    <row r="248" spans="1:21" ht="40.5" hidden="1">
      <c r="A248" s="74">
        <f t="shared" si="17"/>
        <v>228</v>
      </c>
      <c r="B248" s="219" t="s">
        <v>1131</v>
      </c>
      <c r="C248" s="83"/>
      <c r="D248" s="83"/>
      <c r="E248" s="83" t="s">
        <v>627</v>
      </c>
      <c r="F248" s="83"/>
      <c r="G248" s="83" t="s">
        <v>81</v>
      </c>
      <c r="H248" s="219" t="s">
        <v>1147</v>
      </c>
      <c r="I248" s="219" t="s">
        <v>1158</v>
      </c>
      <c r="J248" s="219"/>
      <c r="K248" s="219" t="s">
        <v>1464</v>
      </c>
      <c r="L248" s="80"/>
      <c r="M248" s="80"/>
      <c r="N248" s="241" t="s">
        <v>1671</v>
      </c>
      <c r="O248" s="80"/>
      <c r="P248" s="80"/>
      <c r="Q248" s="134" t="s">
        <v>1647</v>
      </c>
      <c r="R248" s="75" t="s">
        <v>1580</v>
      </c>
      <c r="S248" s="81"/>
      <c r="T248" s="72"/>
      <c r="U248" s="72"/>
    </row>
    <row r="249" spans="1:21" ht="54" hidden="1">
      <c r="A249" s="74">
        <f t="shared" si="17"/>
        <v>229</v>
      </c>
      <c r="B249" s="219" t="s">
        <v>1132</v>
      </c>
      <c r="C249" s="83"/>
      <c r="D249" s="83"/>
      <c r="E249" s="83" t="s">
        <v>627</v>
      </c>
      <c r="F249" s="83"/>
      <c r="G249" s="83" t="s">
        <v>81</v>
      </c>
      <c r="H249" s="219" t="s">
        <v>1148</v>
      </c>
      <c r="I249" s="219" t="s">
        <v>1159</v>
      </c>
      <c r="J249" s="219"/>
      <c r="K249" s="219" t="s">
        <v>1465</v>
      </c>
      <c r="L249" s="80"/>
      <c r="M249" s="80"/>
      <c r="N249" s="241" t="s">
        <v>1669</v>
      </c>
      <c r="O249" s="80"/>
      <c r="P249" s="80"/>
      <c r="Q249" s="134" t="s">
        <v>1647</v>
      </c>
      <c r="R249" s="75" t="s">
        <v>1580</v>
      </c>
      <c r="S249" s="81"/>
      <c r="T249" s="72"/>
      <c r="U249" s="72"/>
    </row>
    <row r="250" spans="1:21" ht="40.5" hidden="1">
      <c r="A250" s="74">
        <f t="shared" si="17"/>
        <v>230</v>
      </c>
      <c r="B250" s="219" t="s">
        <v>1133</v>
      </c>
      <c r="C250" s="83"/>
      <c r="D250" s="83"/>
      <c r="E250" s="83" t="s">
        <v>627</v>
      </c>
      <c r="F250" s="83"/>
      <c r="G250" s="83" t="s">
        <v>1575</v>
      </c>
      <c r="H250" s="219" t="s">
        <v>1149</v>
      </c>
      <c r="I250" s="219" t="s">
        <v>1160</v>
      </c>
      <c r="J250" s="219"/>
      <c r="K250" s="219" t="s">
        <v>1173</v>
      </c>
      <c r="L250" s="80"/>
      <c r="M250" s="80"/>
      <c r="N250" s="241" t="s">
        <v>141</v>
      </c>
      <c r="O250" s="80"/>
      <c r="P250" s="80"/>
      <c r="Q250" s="134" t="s">
        <v>1647</v>
      </c>
      <c r="R250" s="75" t="s">
        <v>1580</v>
      </c>
      <c r="S250" s="81"/>
      <c r="T250" s="72"/>
      <c r="U250" s="72"/>
    </row>
    <row r="251" spans="1:21" ht="27" hidden="1">
      <c r="A251" s="74">
        <f t="shared" si="17"/>
        <v>231</v>
      </c>
      <c r="B251" s="219" t="s">
        <v>1134</v>
      </c>
      <c r="C251" s="83"/>
      <c r="D251" s="83"/>
      <c r="E251" s="83" t="s">
        <v>648</v>
      </c>
      <c r="F251" s="83"/>
      <c r="G251" s="83" t="s">
        <v>1575</v>
      </c>
      <c r="H251" s="219" t="s">
        <v>1150</v>
      </c>
      <c r="I251" s="219" t="s">
        <v>1161</v>
      </c>
      <c r="J251" s="219"/>
      <c r="K251" s="219" t="s">
        <v>1174</v>
      </c>
      <c r="L251" s="80"/>
      <c r="M251" s="80"/>
      <c r="N251" s="241"/>
      <c r="O251" s="80"/>
      <c r="P251" s="80"/>
      <c r="Q251" s="134" t="s">
        <v>1581</v>
      </c>
      <c r="R251" s="75" t="s">
        <v>1580</v>
      </c>
      <c r="S251" s="81"/>
      <c r="T251" s="72"/>
      <c r="U251" s="72"/>
    </row>
    <row r="252" spans="1:21" ht="40.5" hidden="1">
      <c r="A252" s="74">
        <f t="shared" si="17"/>
        <v>232</v>
      </c>
      <c r="B252" s="219" t="s">
        <v>1135</v>
      </c>
      <c r="C252" s="83"/>
      <c r="D252" s="83"/>
      <c r="E252" s="83" t="s">
        <v>627</v>
      </c>
      <c r="F252" s="83"/>
      <c r="G252" s="83" t="s">
        <v>1576</v>
      </c>
      <c r="H252" s="219" t="s">
        <v>1151</v>
      </c>
      <c r="I252" s="219" t="s">
        <v>1162</v>
      </c>
      <c r="J252" s="219"/>
      <c r="K252" s="219" t="s">
        <v>1466</v>
      </c>
      <c r="L252" s="80"/>
      <c r="M252" s="80" t="s">
        <v>644</v>
      </c>
      <c r="N252" s="241" t="s">
        <v>1532</v>
      </c>
      <c r="O252" s="80"/>
      <c r="P252" s="80"/>
      <c r="Q252" s="134" t="s">
        <v>1647</v>
      </c>
      <c r="R252" s="75" t="s">
        <v>1580</v>
      </c>
      <c r="S252" s="81"/>
      <c r="T252" s="72"/>
      <c r="U252" s="72"/>
    </row>
    <row r="253" spans="1:21" ht="40.5" hidden="1">
      <c r="A253" s="74">
        <f t="shared" si="17"/>
        <v>233</v>
      </c>
      <c r="B253" s="219" t="s">
        <v>1136</v>
      </c>
      <c r="C253" s="83"/>
      <c r="D253" s="83"/>
      <c r="E253" s="83" t="s">
        <v>627</v>
      </c>
      <c r="F253" s="83"/>
      <c r="G253" s="83">
        <v>13</v>
      </c>
      <c r="H253" s="219">
        <v>13.1</v>
      </c>
      <c r="I253" s="219" t="s">
        <v>1163</v>
      </c>
      <c r="J253" s="219"/>
      <c r="K253" s="219" t="s">
        <v>1175</v>
      </c>
      <c r="L253" s="80"/>
      <c r="M253" s="80"/>
      <c r="N253" s="241" t="s">
        <v>1698</v>
      </c>
      <c r="O253" s="80"/>
      <c r="P253" s="80"/>
      <c r="Q253" s="134" t="s">
        <v>1647</v>
      </c>
      <c r="R253" s="75" t="s">
        <v>1580</v>
      </c>
      <c r="S253" s="81"/>
      <c r="T253" s="72"/>
      <c r="U253" s="72"/>
    </row>
    <row r="254" spans="1:21" ht="40.5" hidden="1">
      <c r="A254" s="74">
        <f t="shared" si="17"/>
        <v>234</v>
      </c>
      <c r="B254" s="219" t="s">
        <v>1137</v>
      </c>
      <c r="C254" s="83"/>
      <c r="D254" s="83"/>
      <c r="E254" s="83" t="s">
        <v>650</v>
      </c>
      <c r="F254" s="83" t="s">
        <v>1536</v>
      </c>
      <c r="G254" s="83">
        <v>13</v>
      </c>
      <c r="H254" s="219">
        <v>13.1</v>
      </c>
      <c r="I254" s="219" t="s">
        <v>1163</v>
      </c>
      <c r="J254" s="219"/>
      <c r="K254" s="219" t="s">
        <v>1467</v>
      </c>
      <c r="L254" s="80"/>
      <c r="M254" s="80" t="s">
        <v>644</v>
      </c>
      <c r="N254" s="241"/>
      <c r="O254" s="80"/>
      <c r="P254" s="80"/>
      <c r="Q254" s="134" t="s">
        <v>1581</v>
      </c>
      <c r="R254" s="75" t="s">
        <v>1580</v>
      </c>
      <c r="S254" s="81"/>
      <c r="T254" s="72"/>
      <c r="U254" s="72"/>
    </row>
    <row r="255" spans="1:21" ht="27" hidden="1">
      <c r="A255" s="74">
        <f t="shared" si="17"/>
        <v>235</v>
      </c>
      <c r="B255" s="219" t="s">
        <v>1138</v>
      </c>
      <c r="C255" s="83"/>
      <c r="D255" s="83"/>
      <c r="E255" s="83" t="s">
        <v>631</v>
      </c>
      <c r="F255" s="83"/>
      <c r="G255" s="83">
        <v>13</v>
      </c>
      <c r="H255" s="219">
        <v>13.3</v>
      </c>
      <c r="I255" s="219" t="s">
        <v>1164</v>
      </c>
      <c r="J255" s="219"/>
      <c r="K255" s="219" t="s">
        <v>1176</v>
      </c>
      <c r="L255" s="80"/>
      <c r="M255" s="80"/>
      <c r="N255" s="241"/>
      <c r="O255" s="80"/>
      <c r="P255" s="80"/>
      <c r="Q255" s="134" t="s">
        <v>1581</v>
      </c>
      <c r="R255" s="75" t="s">
        <v>1580</v>
      </c>
      <c r="S255" s="81"/>
      <c r="T255" s="72"/>
      <c r="U255" s="72"/>
    </row>
    <row r="256" spans="1:21" ht="27" hidden="1">
      <c r="A256" s="74">
        <f t="shared" si="17"/>
        <v>236</v>
      </c>
      <c r="B256" s="219" t="s">
        <v>1139</v>
      </c>
      <c r="C256" s="83"/>
      <c r="D256" s="83"/>
      <c r="E256" s="83" t="s">
        <v>631</v>
      </c>
      <c r="F256" s="83"/>
      <c r="G256" s="83">
        <v>13</v>
      </c>
      <c r="H256" s="219">
        <v>13.4</v>
      </c>
      <c r="I256" s="219" t="s">
        <v>1165</v>
      </c>
      <c r="J256" s="219"/>
      <c r="K256" s="219" t="s">
        <v>1468</v>
      </c>
      <c r="L256" s="80"/>
      <c r="M256" s="80"/>
      <c r="N256" s="241"/>
      <c r="O256" s="80"/>
      <c r="P256" s="80"/>
      <c r="Q256" s="134" t="s">
        <v>1581</v>
      </c>
      <c r="R256" s="75" t="s">
        <v>1580</v>
      </c>
      <c r="S256" s="81"/>
      <c r="T256" s="72"/>
      <c r="U256" s="72"/>
    </row>
    <row r="257" spans="1:21" ht="27" hidden="1">
      <c r="A257" s="74">
        <f t="shared" si="17"/>
        <v>237</v>
      </c>
      <c r="B257" s="219" t="s">
        <v>1140</v>
      </c>
      <c r="C257" s="83"/>
      <c r="D257" s="83"/>
      <c r="E257" s="83" t="s">
        <v>631</v>
      </c>
      <c r="F257" s="83"/>
      <c r="G257" s="83">
        <v>9</v>
      </c>
      <c r="H257" s="219">
        <v>9</v>
      </c>
      <c r="I257" s="219" t="s">
        <v>1166</v>
      </c>
      <c r="J257" s="219"/>
      <c r="K257" s="219" t="s">
        <v>1469</v>
      </c>
      <c r="L257" s="80"/>
      <c r="M257" s="80"/>
      <c r="N257" s="241"/>
      <c r="O257" s="80"/>
      <c r="P257" s="80"/>
      <c r="Q257" s="134" t="s">
        <v>1581</v>
      </c>
      <c r="R257" s="75" t="s">
        <v>1580</v>
      </c>
      <c r="S257" s="81"/>
      <c r="T257" s="72"/>
      <c r="U257" s="72"/>
    </row>
    <row r="258" spans="1:21" ht="40.5" hidden="1">
      <c r="A258" s="74">
        <f t="shared" si="17"/>
        <v>238</v>
      </c>
      <c r="B258" s="219" t="s">
        <v>1177</v>
      </c>
      <c r="C258" s="83"/>
      <c r="D258" s="83"/>
      <c r="E258" s="83" t="s">
        <v>627</v>
      </c>
      <c r="F258" s="83"/>
      <c r="G258" s="83">
        <v>1</v>
      </c>
      <c r="H258" s="219">
        <v>1</v>
      </c>
      <c r="I258" s="219" t="s">
        <v>1221</v>
      </c>
      <c r="J258" s="219"/>
      <c r="K258" s="219" t="s">
        <v>1247</v>
      </c>
      <c r="L258" s="80"/>
      <c r="M258" s="80"/>
      <c r="N258" s="241"/>
      <c r="O258" s="80"/>
      <c r="P258" s="80"/>
      <c r="Q258" s="134" t="s">
        <v>1647</v>
      </c>
      <c r="R258" s="75" t="s">
        <v>1580</v>
      </c>
      <c r="S258" s="81"/>
      <c r="T258" s="72"/>
      <c r="U258" s="72"/>
    </row>
    <row r="259" spans="1:21" ht="40.5" hidden="1">
      <c r="A259" s="74">
        <f t="shared" si="17"/>
        <v>239</v>
      </c>
      <c r="B259" s="219" t="s">
        <v>1178</v>
      </c>
      <c r="C259" s="83"/>
      <c r="D259" s="83"/>
      <c r="E259" s="83" t="s">
        <v>627</v>
      </c>
      <c r="F259" s="83"/>
      <c r="G259" s="83">
        <v>1</v>
      </c>
      <c r="H259" s="219">
        <v>1</v>
      </c>
      <c r="I259" s="219" t="s">
        <v>855</v>
      </c>
      <c r="J259" s="219"/>
      <c r="K259" s="219" t="s">
        <v>1248</v>
      </c>
      <c r="L259" s="80"/>
      <c r="M259" s="80"/>
      <c r="N259" s="241" t="s">
        <v>1694</v>
      </c>
      <c r="O259" s="80" t="s">
        <v>100</v>
      </c>
      <c r="P259" s="80"/>
      <c r="Q259" s="134" t="s">
        <v>1647</v>
      </c>
      <c r="R259" s="75" t="s">
        <v>1580</v>
      </c>
      <c r="S259" s="81"/>
      <c r="T259" s="72"/>
      <c r="U259" s="72"/>
    </row>
    <row r="260" spans="1:21" ht="40.5" hidden="1">
      <c r="A260" s="74">
        <f t="shared" si="17"/>
        <v>240</v>
      </c>
      <c r="B260" s="219" t="s">
        <v>1179</v>
      </c>
      <c r="C260" s="83"/>
      <c r="D260" s="83"/>
      <c r="E260" s="83" t="s">
        <v>627</v>
      </c>
      <c r="F260" s="83"/>
      <c r="G260" s="83">
        <v>1</v>
      </c>
      <c r="H260" s="219">
        <v>1.1000000000000001</v>
      </c>
      <c r="I260" s="219" t="s">
        <v>856</v>
      </c>
      <c r="J260" s="219"/>
      <c r="K260" s="219" t="s">
        <v>1249</v>
      </c>
      <c r="L260" s="80"/>
      <c r="M260" s="80"/>
      <c r="N260" s="241"/>
      <c r="O260" s="80"/>
      <c r="P260" s="80"/>
      <c r="Q260" s="134" t="s">
        <v>1647</v>
      </c>
      <c r="R260" s="75" t="s">
        <v>1580</v>
      </c>
      <c r="S260" s="81"/>
      <c r="T260" s="72"/>
      <c r="U260" s="72"/>
    </row>
    <row r="261" spans="1:21" ht="40.5" hidden="1">
      <c r="A261" s="74">
        <f t="shared" si="17"/>
        <v>241</v>
      </c>
      <c r="B261" s="219" t="s">
        <v>1180</v>
      </c>
      <c r="C261" s="83"/>
      <c r="D261" s="83"/>
      <c r="E261" s="83" t="s">
        <v>627</v>
      </c>
      <c r="F261" s="83"/>
      <c r="G261" s="83">
        <v>1</v>
      </c>
      <c r="H261" s="219">
        <v>1.1000000000000001</v>
      </c>
      <c r="I261" s="219" t="s">
        <v>857</v>
      </c>
      <c r="J261" s="219"/>
      <c r="K261" s="219" t="s">
        <v>1250</v>
      </c>
      <c r="L261" s="80"/>
      <c r="M261" s="80"/>
      <c r="N261" s="241"/>
      <c r="O261" s="80"/>
      <c r="P261" s="80"/>
      <c r="Q261" s="134" t="s">
        <v>1647</v>
      </c>
      <c r="R261" s="75" t="s">
        <v>1580</v>
      </c>
      <c r="S261" s="81"/>
      <c r="T261" s="72"/>
      <c r="U261" s="72"/>
    </row>
    <row r="262" spans="1:21" ht="40.5" hidden="1">
      <c r="A262" s="74">
        <f t="shared" si="17"/>
        <v>242</v>
      </c>
      <c r="B262" s="219" t="s">
        <v>1181</v>
      </c>
      <c r="C262" s="83"/>
      <c r="D262" s="83"/>
      <c r="E262" s="83" t="s">
        <v>627</v>
      </c>
      <c r="F262" s="83"/>
      <c r="G262" s="83">
        <v>1</v>
      </c>
      <c r="H262" s="219">
        <v>1.1000000000000001</v>
      </c>
      <c r="I262" s="219" t="s">
        <v>1222</v>
      </c>
      <c r="J262" s="219"/>
      <c r="K262" s="219" t="s">
        <v>1251</v>
      </c>
      <c r="L262" s="80"/>
      <c r="M262" s="80"/>
      <c r="N262" s="241"/>
      <c r="O262" s="80"/>
      <c r="P262" s="80"/>
      <c r="Q262" s="134" t="s">
        <v>1647</v>
      </c>
      <c r="R262" s="75" t="s">
        <v>1580</v>
      </c>
      <c r="S262" s="81"/>
      <c r="T262" s="72"/>
      <c r="U262" s="72"/>
    </row>
    <row r="263" spans="1:21" ht="40.5" hidden="1">
      <c r="A263" s="74">
        <f t="shared" si="17"/>
        <v>243</v>
      </c>
      <c r="B263" s="219" t="s">
        <v>1182</v>
      </c>
      <c r="C263" s="83"/>
      <c r="D263" s="83"/>
      <c r="E263" s="83" t="s">
        <v>627</v>
      </c>
      <c r="F263" s="83"/>
      <c r="G263" s="83">
        <v>1</v>
      </c>
      <c r="H263" s="219">
        <v>1.2</v>
      </c>
      <c r="I263" s="219" t="s">
        <v>1223</v>
      </c>
      <c r="J263" s="219"/>
      <c r="K263" s="219" t="s">
        <v>1470</v>
      </c>
      <c r="L263" s="80"/>
      <c r="M263" s="80"/>
      <c r="N263" s="241"/>
      <c r="O263" s="80"/>
      <c r="P263" s="80"/>
      <c r="Q263" s="134" t="s">
        <v>1647</v>
      </c>
      <c r="R263" s="75" t="s">
        <v>1580</v>
      </c>
      <c r="S263" s="81"/>
      <c r="T263" s="72"/>
      <c r="U263" s="72"/>
    </row>
    <row r="264" spans="1:21" ht="40.5" hidden="1">
      <c r="A264" s="74">
        <f t="shared" si="17"/>
        <v>244</v>
      </c>
      <c r="B264" s="219" t="s">
        <v>1183</v>
      </c>
      <c r="C264" s="83"/>
      <c r="D264" s="83"/>
      <c r="E264" s="83" t="s">
        <v>627</v>
      </c>
      <c r="F264" s="83"/>
      <c r="G264" s="83">
        <v>1</v>
      </c>
      <c r="H264" s="219">
        <v>1.3</v>
      </c>
      <c r="I264" s="219" t="s">
        <v>1224</v>
      </c>
      <c r="J264" s="219"/>
      <c r="K264" s="219" t="s">
        <v>1252</v>
      </c>
      <c r="L264" s="80"/>
      <c r="M264" s="80"/>
      <c r="N264" s="241" t="s">
        <v>1695</v>
      </c>
      <c r="O264" s="80" t="s">
        <v>100</v>
      </c>
      <c r="P264" s="80"/>
      <c r="Q264" s="134" t="s">
        <v>1647</v>
      </c>
      <c r="R264" s="75" t="s">
        <v>1580</v>
      </c>
      <c r="S264" s="81"/>
      <c r="T264" s="72"/>
      <c r="U264" s="72"/>
    </row>
    <row r="265" spans="1:21" ht="40.5" hidden="1">
      <c r="A265" s="74">
        <f t="shared" si="17"/>
        <v>245</v>
      </c>
      <c r="B265" s="219" t="s">
        <v>1184</v>
      </c>
      <c r="C265" s="83"/>
      <c r="D265" s="83"/>
      <c r="E265" s="83" t="s">
        <v>627</v>
      </c>
      <c r="F265" s="83"/>
      <c r="G265" s="83">
        <v>1</v>
      </c>
      <c r="H265" s="219">
        <v>1.3</v>
      </c>
      <c r="I265" s="219" t="s">
        <v>1225</v>
      </c>
      <c r="J265" s="219"/>
      <c r="K265" s="219" t="s">
        <v>1253</v>
      </c>
      <c r="L265" s="80"/>
      <c r="M265" s="80"/>
      <c r="N265" s="241" t="s">
        <v>1695</v>
      </c>
      <c r="O265" s="80" t="s">
        <v>100</v>
      </c>
      <c r="P265" s="134" t="s">
        <v>1647</v>
      </c>
      <c r="Q265" s="134" t="s">
        <v>1647</v>
      </c>
      <c r="R265" s="75" t="s">
        <v>1580</v>
      </c>
      <c r="S265" s="81"/>
      <c r="T265" s="72"/>
      <c r="U265" s="72"/>
    </row>
    <row r="266" spans="1:21" ht="40.5" hidden="1">
      <c r="A266" s="74">
        <f t="shared" si="17"/>
        <v>246</v>
      </c>
      <c r="B266" s="219" t="s">
        <v>1185</v>
      </c>
      <c r="C266" s="83"/>
      <c r="D266" s="83"/>
      <c r="E266" s="83" t="s">
        <v>627</v>
      </c>
      <c r="F266" s="83"/>
      <c r="G266" s="83">
        <v>1</v>
      </c>
      <c r="H266" s="219">
        <v>1.4</v>
      </c>
      <c r="I266" s="219" t="s">
        <v>1226</v>
      </c>
      <c r="J266" s="219"/>
      <c r="K266" s="219" t="s">
        <v>1254</v>
      </c>
      <c r="L266" s="80"/>
      <c r="M266" s="80"/>
      <c r="N266" s="241" t="s">
        <v>1695</v>
      </c>
      <c r="O266" s="80" t="s">
        <v>100</v>
      </c>
      <c r="P266" s="134" t="s">
        <v>1647</v>
      </c>
      <c r="Q266" s="134" t="s">
        <v>1647</v>
      </c>
      <c r="R266" s="75" t="s">
        <v>1580</v>
      </c>
      <c r="S266" s="81"/>
      <c r="T266" s="72"/>
      <c r="U266" s="72"/>
    </row>
    <row r="267" spans="1:21" ht="40.5" hidden="1">
      <c r="A267" s="74">
        <f t="shared" si="17"/>
        <v>247</v>
      </c>
      <c r="B267" s="219" t="s">
        <v>1186</v>
      </c>
      <c r="C267" s="83"/>
      <c r="D267" s="83"/>
      <c r="E267" s="83" t="s">
        <v>627</v>
      </c>
      <c r="F267" s="83"/>
      <c r="G267" s="83">
        <v>1</v>
      </c>
      <c r="H267" s="219">
        <v>1.4</v>
      </c>
      <c r="I267" s="219" t="s">
        <v>1227</v>
      </c>
      <c r="J267" s="219"/>
      <c r="K267" s="219" t="s">
        <v>1471</v>
      </c>
      <c r="L267" s="80"/>
      <c r="M267" s="80"/>
      <c r="N267" s="241" t="s">
        <v>1705</v>
      </c>
      <c r="O267" s="80" t="s">
        <v>100</v>
      </c>
      <c r="P267" s="80"/>
      <c r="Q267" s="134" t="s">
        <v>1647</v>
      </c>
      <c r="R267" s="75" t="s">
        <v>1580</v>
      </c>
      <c r="S267" s="81"/>
      <c r="T267" s="72"/>
      <c r="U267" s="72"/>
    </row>
    <row r="268" spans="1:21" ht="40.5" hidden="1">
      <c r="A268" s="74">
        <f t="shared" si="17"/>
        <v>248</v>
      </c>
      <c r="B268" s="219" t="s">
        <v>1187</v>
      </c>
      <c r="C268" s="83"/>
      <c r="D268" s="83"/>
      <c r="E268" s="83" t="s">
        <v>627</v>
      </c>
      <c r="F268" s="83"/>
      <c r="G268" s="83">
        <v>1</v>
      </c>
      <c r="H268" s="219" t="s">
        <v>1210</v>
      </c>
      <c r="I268" s="219" t="s">
        <v>1228</v>
      </c>
      <c r="J268" s="219"/>
      <c r="K268" s="219" t="s">
        <v>1472</v>
      </c>
      <c r="L268" s="80"/>
      <c r="M268" s="80"/>
      <c r="N268" s="241" t="s">
        <v>1704</v>
      </c>
      <c r="O268" s="80"/>
      <c r="P268" s="80"/>
      <c r="Q268" s="134" t="s">
        <v>1647</v>
      </c>
      <c r="R268" s="75" t="s">
        <v>1580</v>
      </c>
      <c r="S268" s="81"/>
      <c r="T268" s="72"/>
      <c r="U268" s="72"/>
    </row>
    <row r="269" spans="1:21" ht="40.5" hidden="1">
      <c r="A269" s="74">
        <f t="shared" si="17"/>
        <v>249</v>
      </c>
      <c r="B269" s="219" t="s">
        <v>1188</v>
      </c>
      <c r="C269" s="83"/>
      <c r="D269" s="83"/>
      <c r="E269" s="83" t="s">
        <v>627</v>
      </c>
      <c r="F269" s="83"/>
      <c r="G269" s="83">
        <v>1</v>
      </c>
      <c r="H269" s="219" t="s">
        <v>1210</v>
      </c>
      <c r="I269" s="219" t="s">
        <v>1228</v>
      </c>
      <c r="J269" s="219"/>
      <c r="K269" s="219" t="s">
        <v>1255</v>
      </c>
      <c r="L269" s="80"/>
      <c r="M269" s="80" t="s">
        <v>1703</v>
      </c>
      <c r="N269" s="241"/>
      <c r="O269" s="80"/>
      <c r="P269" s="80"/>
      <c r="Q269" s="134" t="s">
        <v>1647</v>
      </c>
      <c r="R269" s="75" t="s">
        <v>1580</v>
      </c>
      <c r="S269" s="81"/>
      <c r="T269" s="72"/>
      <c r="U269" s="72"/>
    </row>
    <row r="270" spans="1:21" ht="40.5" hidden="1">
      <c r="A270" s="74">
        <f t="shared" si="17"/>
        <v>250</v>
      </c>
      <c r="B270" s="219" t="s">
        <v>1189</v>
      </c>
      <c r="C270" s="83"/>
      <c r="D270" s="83"/>
      <c r="E270" s="83" t="s">
        <v>627</v>
      </c>
      <c r="F270" s="83"/>
      <c r="G270" s="83">
        <v>1</v>
      </c>
      <c r="H270" s="219" t="s">
        <v>1211</v>
      </c>
      <c r="I270" s="219" t="s">
        <v>1229</v>
      </c>
      <c r="J270" s="219"/>
      <c r="K270" s="219" t="s">
        <v>1256</v>
      </c>
      <c r="L270" s="80"/>
      <c r="M270" s="80"/>
      <c r="N270" s="241"/>
      <c r="O270" s="80"/>
      <c r="P270" s="80"/>
      <c r="Q270" s="134" t="s">
        <v>1647</v>
      </c>
      <c r="R270" s="75" t="s">
        <v>1580</v>
      </c>
      <c r="S270" s="81"/>
      <c r="T270" s="72"/>
      <c r="U270" s="72"/>
    </row>
    <row r="271" spans="1:21" ht="40.5" hidden="1">
      <c r="A271" s="74">
        <f t="shared" si="17"/>
        <v>251</v>
      </c>
      <c r="B271" s="219" t="s">
        <v>1190</v>
      </c>
      <c r="C271" s="83"/>
      <c r="D271" s="83"/>
      <c r="E271" s="83" t="s">
        <v>627</v>
      </c>
      <c r="F271" s="83"/>
      <c r="G271" s="83">
        <v>2</v>
      </c>
      <c r="H271" s="219">
        <v>2.9</v>
      </c>
      <c r="I271" s="219" t="s">
        <v>1230</v>
      </c>
      <c r="J271" s="219"/>
      <c r="K271" s="219" t="s">
        <v>1257</v>
      </c>
      <c r="L271" s="80"/>
      <c r="M271" s="80"/>
      <c r="N271" s="241" t="s">
        <v>1718</v>
      </c>
      <c r="O271" s="80"/>
      <c r="P271" s="80"/>
      <c r="Q271" s="134" t="s">
        <v>1647</v>
      </c>
      <c r="R271" s="75" t="s">
        <v>1580</v>
      </c>
      <c r="S271" s="81"/>
      <c r="T271" s="72"/>
      <c r="U271" s="72"/>
    </row>
    <row r="272" spans="1:21" ht="27" hidden="1">
      <c r="A272" s="74">
        <f t="shared" si="17"/>
        <v>252</v>
      </c>
      <c r="B272" s="219" t="s">
        <v>1191</v>
      </c>
      <c r="C272" s="83"/>
      <c r="D272" s="83"/>
      <c r="E272" s="83" t="s">
        <v>631</v>
      </c>
      <c r="F272" s="83"/>
      <c r="G272" s="83">
        <v>3</v>
      </c>
      <c r="H272" s="219" t="s">
        <v>1212</v>
      </c>
      <c r="I272" s="219" t="s">
        <v>1231</v>
      </c>
      <c r="J272" s="219"/>
      <c r="K272" s="219" t="s">
        <v>1473</v>
      </c>
      <c r="L272" s="80"/>
      <c r="M272" s="80"/>
      <c r="N272" s="241"/>
      <c r="O272" s="80"/>
      <c r="P272" s="80"/>
      <c r="Q272" s="134" t="s">
        <v>1581</v>
      </c>
      <c r="R272" s="75" t="s">
        <v>1580</v>
      </c>
      <c r="S272" s="81"/>
      <c r="T272" s="72"/>
      <c r="U272" s="72"/>
    </row>
    <row r="273" spans="1:21" ht="27" hidden="1">
      <c r="A273" s="74">
        <f t="shared" si="17"/>
        <v>253</v>
      </c>
      <c r="B273" s="219" t="s">
        <v>1192</v>
      </c>
      <c r="C273" s="83"/>
      <c r="D273" s="83"/>
      <c r="E273" s="83" t="s">
        <v>631</v>
      </c>
      <c r="F273" s="83"/>
      <c r="G273" s="83">
        <v>3</v>
      </c>
      <c r="H273" s="219" t="s">
        <v>1213</v>
      </c>
      <c r="I273" s="219" t="s">
        <v>1232</v>
      </c>
      <c r="J273" s="219"/>
      <c r="K273" s="219" t="s">
        <v>1258</v>
      </c>
      <c r="L273" s="80"/>
      <c r="M273" s="80"/>
      <c r="N273" s="241"/>
      <c r="O273" s="80"/>
      <c r="P273" s="80"/>
      <c r="Q273" s="134" t="s">
        <v>1581</v>
      </c>
      <c r="R273" s="75" t="s">
        <v>1580</v>
      </c>
      <c r="S273" s="81"/>
      <c r="T273" s="72"/>
      <c r="U273" s="72"/>
    </row>
    <row r="274" spans="1:21" ht="40.5">
      <c r="A274" s="74">
        <f t="shared" si="17"/>
        <v>254</v>
      </c>
      <c r="B274" s="219" t="s">
        <v>1193</v>
      </c>
      <c r="C274" s="83"/>
      <c r="D274" s="83"/>
      <c r="E274" s="83" t="s">
        <v>635</v>
      </c>
      <c r="F274" s="83"/>
      <c r="G274" s="83">
        <v>3</v>
      </c>
      <c r="H274" s="219">
        <v>3.3</v>
      </c>
      <c r="I274" s="219" t="s">
        <v>1233</v>
      </c>
      <c r="J274" s="219"/>
      <c r="K274" s="219" t="s">
        <v>1259</v>
      </c>
      <c r="L274" s="80"/>
      <c r="M274" s="242" t="s">
        <v>1750</v>
      </c>
      <c r="N274" s="241"/>
      <c r="O274" s="80"/>
      <c r="P274" s="80"/>
      <c r="Q274" s="134" t="s">
        <v>1581</v>
      </c>
      <c r="R274" s="75" t="s">
        <v>1580</v>
      </c>
      <c r="S274" s="81"/>
      <c r="T274" s="72"/>
      <c r="U274" s="72"/>
    </row>
    <row r="275" spans="1:21" ht="27" hidden="1">
      <c r="A275" s="74">
        <f t="shared" si="17"/>
        <v>255</v>
      </c>
      <c r="B275" s="219" t="s">
        <v>1194</v>
      </c>
      <c r="C275" s="83"/>
      <c r="D275" s="83"/>
      <c r="E275" s="83" t="s">
        <v>631</v>
      </c>
      <c r="F275" s="83"/>
      <c r="G275" s="83">
        <v>3</v>
      </c>
      <c r="H275" s="219">
        <v>3.6</v>
      </c>
      <c r="I275" s="219" t="s">
        <v>1234</v>
      </c>
      <c r="J275" s="219"/>
      <c r="K275" s="219" t="s">
        <v>1260</v>
      </c>
      <c r="L275" s="80"/>
      <c r="M275" s="80"/>
      <c r="N275" s="241"/>
      <c r="O275" s="80"/>
      <c r="P275" s="80"/>
      <c r="Q275" s="134" t="s">
        <v>1581</v>
      </c>
      <c r="R275" s="75" t="s">
        <v>1580</v>
      </c>
      <c r="S275" s="81"/>
      <c r="T275" s="72"/>
      <c r="U275" s="72"/>
    </row>
    <row r="276" spans="1:21" ht="27" hidden="1">
      <c r="A276" s="74">
        <f t="shared" si="17"/>
        <v>256</v>
      </c>
      <c r="B276" s="219" t="s">
        <v>1195</v>
      </c>
      <c r="C276" s="83"/>
      <c r="D276" s="83"/>
      <c r="E276" s="83" t="s">
        <v>631</v>
      </c>
      <c r="F276" s="83"/>
      <c r="G276" s="83">
        <v>3</v>
      </c>
      <c r="H276" s="219">
        <v>3.8</v>
      </c>
      <c r="I276" s="219" t="s">
        <v>1235</v>
      </c>
      <c r="J276" s="219"/>
      <c r="K276" s="219" t="s">
        <v>1261</v>
      </c>
      <c r="L276" s="80"/>
      <c r="M276" s="80"/>
      <c r="N276" s="241"/>
      <c r="O276" s="80"/>
      <c r="P276" s="80"/>
      <c r="Q276" s="134" t="s">
        <v>1581</v>
      </c>
      <c r="R276" s="75" t="s">
        <v>1580</v>
      </c>
      <c r="S276" s="81"/>
      <c r="T276" s="72"/>
      <c r="U276" s="72"/>
    </row>
    <row r="277" spans="1:21" ht="40.5" hidden="1">
      <c r="A277" s="74">
        <f t="shared" si="17"/>
        <v>257</v>
      </c>
      <c r="B277" s="219" t="s">
        <v>1196</v>
      </c>
      <c r="C277" s="83"/>
      <c r="D277" s="83"/>
      <c r="E277" s="83" t="s">
        <v>627</v>
      </c>
      <c r="F277" s="83"/>
      <c r="G277" s="83">
        <v>4</v>
      </c>
      <c r="H277" s="219">
        <v>4</v>
      </c>
      <c r="I277" s="219" t="s">
        <v>1236</v>
      </c>
      <c r="J277" s="219"/>
      <c r="K277" s="219" t="s">
        <v>1262</v>
      </c>
      <c r="L277" s="80"/>
      <c r="M277" s="80"/>
      <c r="N277" s="241" t="s">
        <v>1698</v>
      </c>
      <c r="O277" s="80"/>
      <c r="P277" s="80"/>
      <c r="Q277" s="134" t="s">
        <v>1647</v>
      </c>
      <c r="R277" s="75" t="s">
        <v>1580</v>
      </c>
      <c r="S277" s="81"/>
      <c r="T277" s="72"/>
      <c r="U277" s="72"/>
    </row>
    <row r="278" spans="1:21" ht="40.5" hidden="1">
      <c r="A278" s="74">
        <f t="shared" si="17"/>
        <v>258</v>
      </c>
      <c r="B278" s="219" t="s">
        <v>1197</v>
      </c>
      <c r="C278" s="83"/>
      <c r="D278" s="83"/>
      <c r="E278" s="83" t="s">
        <v>627</v>
      </c>
      <c r="F278" s="83"/>
      <c r="G278" s="83">
        <v>4</v>
      </c>
      <c r="H278" s="219">
        <v>4</v>
      </c>
      <c r="I278" s="219" t="s">
        <v>1236</v>
      </c>
      <c r="J278" s="219"/>
      <c r="K278" s="219" t="s">
        <v>1263</v>
      </c>
      <c r="L278" s="80"/>
      <c r="M278" s="80"/>
      <c r="N278" s="241" t="s">
        <v>1698</v>
      </c>
      <c r="O278" s="80"/>
      <c r="P278" s="80"/>
      <c r="Q278" s="134" t="s">
        <v>1647</v>
      </c>
      <c r="R278" s="75" t="s">
        <v>1580</v>
      </c>
      <c r="S278" s="81"/>
      <c r="T278" s="72"/>
      <c r="U278" s="72"/>
    </row>
    <row r="279" spans="1:21" ht="54" hidden="1">
      <c r="A279" s="74">
        <f t="shared" si="17"/>
        <v>259</v>
      </c>
      <c r="B279" s="219" t="s">
        <v>1198</v>
      </c>
      <c r="C279" s="83"/>
      <c r="D279" s="83"/>
      <c r="E279" s="83" t="s">
        <v>650</v>
      </c>
      <c r="F279" s="83" t="s">
        <v>1535</v>
      </c>
      <c r="G279" s="83">
        <v>4</v>
      </c>
      <c r="H279" s="219" t="s">
        <v>1214</v>
      </c>
      <c r="I279" s="219" t="s">
        <v>1237</v>
      </c>
      <c r="J279" s="219"/>
      <c r="K279" s="219" t="s">
        <v>1474</v>
      </c>
      <c r="L279" s="80"/>
      <c r="M279" s="80"/>
      <c r="N279" s="241"/>
      <c r="O279" s="80"/>
      <c r="P279" s="80"/>
      <c r="Q279" s="134" t="s">
        <v>1581</v>
      </c>
      <c r="R279" s="75" t="s">
        <v>1580</v>
      </c>
      <c r="S279" s="81"/>
      <c r="T279" s="72"/>
      <c r="U279" s="72"/>
    </row>
    <row r="280" spans="1:21" ht="40.5" hidden="1">
      <c r="A280" s="74">
        <f t="shared" si="17"/>
        <v>260</v>
      </c>
      <c r="B280" s="219" t="s">
        <v>1199</v>
      </c>
      <c r="C280" s="83"/>
      <c r="D280" s="83"/>
      <c r="E280" s="83" t="s">
        <v>631</v>
      </c>
      <c r="F280" s="83"/>
      <c r="G280" s="83">
        <v>4</v>
      </c>
      <c r="H280" s="219">
        <v>4.3</v>
      </c>
      <c r="I280" s="219" t="s">
        <v>1238</v>
      </c>
      <c r="J280" s="219"/>
      <c r="K280" s="219" t="s">
        <v>1475</v>
      </c>
      <c r="L280" s="80"/>
      <c r="M280" s="80"/>
      <c r="N280" s="241"/>
      <c r="O280" s="80"/>
      <c r="P280" s="80"/>
      <c r="Q280" s="134" t="s">
        <v>1581</v>
      </c>
      <c r="R280" s="75" t="s">
        <v>1580</v>
      </c>
      <c r="S280" s="81"/>
      <c r="T280" s="72"/>
      <c r="U280" s="72"/>
    </row>
    <row r="281" spans="1:21" ht="27" hidden="1">
      <c r="A281" s="74">
        <f t="shared" si="17"/>
        <v>261</v>
      </c>
      <c r="B281" s="219" t="s">
        <v>1200</v>
      </c>
      <c r="C281" s="83"/>
      <c r="D281" s="83"/>
      <c r="E281" s="83" t="s">
        <v>631</v>
      </c>
      <c r="F281" s="83"/>
      <c r="G281" s="83">
        <v>4</v>
      </c>
      <c r="H281" s="219" t="s">
        <v>1215</v>
      </c>
      <c r="I281" s="219" t="s">
        <v>1239</v>
      </c>
      <c r="J281" s="219"/>
      <c r="K281" s="219" t="s">
        <v>1255</v>
      </c>
      <c r="L281" s="80"/>
      <c r="M281" s="80"/>
      <c r="N281" s="241"/>
      <c r="O281" s="80"/>
      <c r="P281" s="80"/>
      <c r="Q281" s="134" t="s">
        <v>1581</v>
      </c>
      <c r="R281" s="75" t="s">
        <v>1580</v>
      </c>
      <c r="S281" s="81"/>
      <c r="T281" s="72"/>
      <c r="U281" s="72"/>
    </row>
    <row r="282" spans="1:21" ht="67.5" hidden="1">
      <c r="A282" s="74">
        <f t="shared" si="17"/>
        <v>262</v>
      </c>
      <c r="B282" s="219" t="s">
        <v>1201</v>
      </c>
      <c r="C282" s="83"/>
      <c r="D282" s="83"/>
      <c r="E282" s="83" t="s">
        <v>631</v>
      </c>
      <c r="F282" s="83"/>
      <c r="G282" s="83">
        <v>4</v>
      </c>
      <c r="H282" s="219" t="s">
        <v>1216</v>
      </c>
      <c r="I282" s="219" t="s">
        <v>1240</v>
      </c>
      <c r="J282" s="219"/>
      <c r="K282" s="219" t="s">
        <v>1476</v>
      </c>
      <c r="L282" s="80"/>
      <c r="M282" s="80"/>
      <c r="N282" s="241"/>
      <c r="O282" s="80"/>
      <c r="P282" s="80"/>
      <c r="Q282" s="134" t="s">
        <v>1581</v>
      </c>
      <c r="R282" s="75" t="s">
        <v>1580</v>
      </c>
      <c r="S282" s="81"/>
      <c r="T282" s="72"/>
      <c r="U282" s="72"/>
    </row>
    <row r="283" spans="1:21" ht="94.5" hidden="1">
      <c r="A283" s="74">
        <f t="shared" si="17"/>
        <v>263</v>
      </c>
      <c r="B283" s="219" t="s">
        <v>1202</v>
      </c>
      <c r="C283" s="83"/>
      <c r="D283" s="83"/>
      <c r="E283" s="83" t="s">
        <v>631</v>
      </c>
      <c r="F283" s="83"/>
      <c r="G283" s="83">
        <v>4</v>
      </c>
      <c r="H283" s="219" t="s">
        <v>1217</v>
      </c>
      <c r="I283" s="219" t="s">
        <v>1241</v>
      </c>
      <c r="J283" s="219"/>
      <c r="K283" s="219" t="s">
        <v>1477</v>
      </c>
      <c r="L283" s="80"/>
      <c r="M283" s="80"/>
      <c r="N283" s="241"/>
      <c r="O283" s="80"/>
      <c r="P283" s="80"/>
      <c r="Q283" s="134" t="s">
        <v>1581</v>
      </c>
      <c r="R283" s="75" t="s">
        <v>1580</v>
      </c>
      <c r="S283" s="81"/>
      <c r="T283" s="72"/>
      <c r="U283" s="72"/>
    </row>
    <row r="284" spans="1:21" ht="40.5" hidden="1">
      <c r="A284" s="74">
        <f t="shared" si="17"/>
        <v>264</v>
      </c>
      <c r="B284" s="219" t="s">
        <v>1203</v>
      </c>
      <c r="C284" s="83"/>
      <c r="D284" s="83"/>
      <c r="E284" s="83" t="s">
        <v>627</v>
      </c>
      <c r="F284" s="83"/>
      <c r="G284" s="83">
        <v>4</v>
      </c>
      <c r="H284" s="219" t="s">
        <v>1218</v>
      </c>
      <c r="I284" s="219" t="s">
        <v>1242</v>
      </c>
      <c r="J284" s="219"/>
      <c r="K284" s="219" t="s">
        <v>1264</v>
      </c>
      <c r="L284" s="80"/>
      <c r="M284" s="80"/>
      <c r="N284" s="241" t="s">
        <v>1717</v>
      </c>
      <c r="O284" s="80"/>
      <c r="P284" s="80"/>
      <c r="Q284" s="134" t="s">
        <v>1647</v>
      </c>
      <c r="R284" s="75" t="s">
        <v>1580</v>
      </c>
      <c r="S284" s="81"/>
      <c r="T284" s="72"/>
      <c r="U284" s="72"/>
    </row>
    <row r="285" spans="1:21" ht="40.5" hidden="1">
      <c r="A285" s="74">
        <f t="shared" si="17"/>
        <v>265</v>
      </c>
      <c r="B285" s="219" t="s">
        <v>1204</v>
      </c>
      <c r="C285" s="83"/>
      <c r="D285" s="83"/>
      <c r="E285" s="83" t="s">
        <v>631</v>
      </c>
      <c r="F285" s="83"/>
      <c r="G285" s="83">
        <v>5</v>
      </c>
      <c r="H285" s="219" t="s">
        <v>835</v>
      </c>
      <c r="I285" s="219" t="s">
        <v>864</v>
      </c>
      <c r="J285" s="219"/>
      <c r="K285" s="219" t="s">
        <v>1478</v>
      </c>
      <c r="L285" s="80"/>
      <c r="M285" s="80"/>
      <c r="N285" s="241"/>
      <c r="O285" s="80"/>
      <c r="P285" s="80"/>
      <c r="Q285" s="134" t="s">
        <v>1581</v>
      </c>
      <c r="R285" s="75" t="s">
        <v>1580</v>
      </c>
      <c r="S285" s="81"/>
      <c r="T285" s="72"/>
      <c r="U285" s="72"/>
    </row>
    <row r="286" spans="1:21" ht="54" hidden="1">
      <c r="A286" s="74">
        <f t="shared" si="17"/>
        <v>266</v>
      </c>
      <c r="B286" s="219" t="s">
        <v>1205</v>
      </c>
      <c r="C286" s="83"/>
      <c r="D286" s="83"/>
      <c r="E286" s="83" t="s">
        <v>631</v>
      </c>
      <c r="F286" s="83"/>
      <c r="G286" s="83">
        <v>5</v>
      </c>
      <c r="H286" s="219" t="s">
        <v>1219</v>
      </c>
      <c r="I286" s="219" t="s">
        <v>1243</v>
      </c>
      <c r="J286" s="219"/>
      <c r="K286" s="219" t="s">
        <v>1479</v>
      </c>
      <c r="L286" s="80"/>
      <c r="M286" s="80"/>
      <c r="N286" s="241"/>
      <c r="O286" s="80"/>
      <c r="P286" s="80"/>
      <c r="Q286" s="134" t="s">
        <v>1581</v>
      </c>
      <c r="R286" s="75" t="s">
        <v>1580</v>
      </c>
      <c r="S286" s="81"/>
      <c r="T286" s="72"/>
      <c r="U286" s="72"/>
    </row>
    <row r="287" spans="1:21" ht="27" hidden="1">
      <c r="A287" s="74">
        <f t="shared" si="17"/>
        <v>267</v>
      </c>
      <c r="B287" s="219" t="s">
        <v>1206</v>
      </c>
      <c r="C287" s="83"/>
      <c r="D287" s="83"/>
      <c r="E287" s="83" t="s">
        <v>631</v>
      </c>
      <c r="F287" s="83"/>
      <c r="G287" s="83">
        <v>5</v>
      </c>
      <c r="H287" s="219" t="s">
        <v>1219</v>
      </c>
      <c r="I287" s="219" t="s">
        <v>1244</v>
      </c>
      <c r="J287" s="219"/>
      <c r="K287" s="219" t="s">
        <v>1480</v>
      </c>
      <c r="L287" s="80"/>
      <c r="M287" s="80"/>
      <c r="N287" s="241"/>
      <c r="O287" s="80"/>
      <c r="P287" s="80"/>
      <c r="Q287" s="134" t="s">
        <v>1581</v>
      </c>
      <c r="R287" s="75" t="s">
        <v>1580</v>
      </c>
      <c r="S287" s="81"/>
      <c r="T287" s="72"/>
      <c r="U287" s="72"/>
    </row>
    <row r="288" spans="1:21" ht="27" hidden="1">
      <c r="A288" s="74">
        <f t="shared" si="17"/>
        <v>268</v>
      </c>
      <c r="B288" s="219" t="s">
        <v>1207</v>
      </c>
      <c r="C288" s="83"/>
      <c r="D288" s="83"/>
      <c r="E288" s="83" t="s">
        <v>631</v>
      </c>
      <c r="F288" s="83"/>
      <c r="G288" s="83">
        <v>5</v>
      </c>
      <c r="H288" s="219" t="s">
        <v>1219</v>
      </c>
      <c r="I288" s="219" t="s">
        <v>1245</v>
      </c>
      <c r="J288" s="219"/>
      <c r="K288" s="219" t="s">
        <v>1481</v>
      </c>
      <c r="L288" s="80"/>
      <c r="M288" s="80"/>
      <c r="N288" s="241"/>
      <c r="O288" s="80"/>
      <c r="P288" s="80"/>
      <c r="Q288" s="134" t="s">
        <v>1581</v>
      </c>
      <c r="R288" s="75" t="s">
        <v>1580</v>
      </c>
      <c r="S288" s="81"/>
      <c r="T288" s="72"/>
      <c r="U288" s="72"/>
    </row>
    <row r="289" spans="1:21" ht="27" hidden="1">
      <c r="A289" s="74">
        <f t="shared" si="17"/>
        <v>269</v>
      </c>
      <c r="B289" s="219" t="s">
        <v>1208</v>
      </c>
      <c r="C289" s="83"/>
      <c r="D289" s="83"/>
      <c r="E289" s="83" t="s">
        <v>631</v>
      </c>
      <c r="F289" s="83"/>
      <c r="G289" s="83">
        <v>5</v>
      </c>
      <c r="H289" s="219" t="s">
        <v>1220</v>
      </c>
      <c r="I289" s="219" t="s">
        <v>1246</v>
      </c>
      <c r="J289" s="219"/>
      <c r="K289" s="219" t="s">
        <v>1482</v>
      </c>
      <c r="L289" s="80"/>
      <c r="M289" s="80"/>
      <c r="N289" s="241"/>
      <c r="O289" s="80"/>
      <c r="P289" s="80"/>
      <c r="Q289" s="134" t="s">
        <v>1581</v>
      </c>
      <c r="R289" s="75" t="s">
        <v>1580</v>
      </c>
      <c r="S289" s="81"/>
      <c r="T289" s="72"/>
      <c r="U289" s="72"/>
    </row>
    <row r="290" spans="1:21" ht="40.5" hidden="1">
      <c r="A290" s="74">
        <f t="shared" si="17"/>
        <v>270</v>
      </c>
      <c r="B290" s="219" t="s">
        <v>1209</v>
      </c>
      <c r="C290" s="83"/>
      <c r="D290" s="83"/>
      <c r="E290" s="83" t="s">
        <v>638</v>
      </c>
      <c r="F290" s="83"/>
      <c r="G290" s="83">
        <v>6</v>
      </c>
      <c r="H290" s="219">
        <v>6</v>
      </c>
      <c r="I290" s="219" t="s">
        <v>845</v>
      </c>
      <c r="J290" s="219"/>
      <c r="K290" s="219" t="s">
        <v>1265</v>
      </c>
      <c r="L290" s="80"/>
      <c r="M290" s="80"/>
      <c r="N290" s="241" t="s">
        <v>141</v>
      </c>
      <c r="O290" s="80"/>
      <c r="P290" s="80"/>
      <c r="Q290" s="134" t="s">
        <v>1647</v>
      </c>
      <c r="R290" s="75" t="s">
        <v>1580</v>
      </c>
      <c r="S290" s="81"/>
      <c r="T290" s="72"/>
      <c r="U290" s="72"/>
    </row>
    <row r="291" spans="1:21" ht="67.5" hidden="1">
      <c r="A291" s="74">
        <f t="shared" si="17"/>
        <v>271</v>
      </c>
      <c r="B291" s="219" t="s">
        <v>1266</v>
      </c>
      <c r="C291" s="83"/>
      <c r="D291" s="83"/>
      <c r="E291" s="83" t="s">
        <v>638</v>
      </c>
      <c r="F291" s="83"/>
      <c r="G291" s="83">
        <v>6</v>
      </c>
      <c r="H291" s="219" t="s">
        <v>959</v>
      </c>
      <c r="I291" s="219" t="s">
        <v>1296</v>
      </c>
      <c r="J291" s="219"/>
      <c r="K291" s="219" t="s">
        <v>1483</v>
      </c>
      <c r="L291" s="80"/>
      <c r="M291" s="80"/>
      <c r="N291" s="241" t="s">
        <v>1317</v>
      </c>
      <c r="O291" s="80"/>
      <c r="P291" s="80"/>
      <c r="Q291" s="134" t="s">
        <v>1647</v>
      </c>
      <c r="R291" s="75" t="s">
        <v>1580</v>
      </c>
      <c r="S291" s="81"/>
      <c r="T291" s="72"/>
      <c r="U291" s="72"/>
    </row>
    <row r="292" spans="1:21" ht="94.5" hidden="1">
      <c r="A292" s="74">
        <f t="shared" si="17"/>
        <v>272</v>
      </c>
      <c r="B292" s="219" t="s">
        <v>1267</v>
      </c>
      <c r="C292" s="83"/>
      <c r="D292" s="83"/>
      <c r="E292" s="83" t="s">
        <v>638</v>
      </c>
      <c r="F292" s="83"/>
      <c r="G292" s="83">
        <v>6</v>
      </c>
      <c r="H292" s="219" t="s">
        <v>960</v>
      </c>
      <c r="I292" s="219">
        <v>29</v>
      </c>
      <c r="J292" s="219"/>
      <c r="K292" s="219" t="s">
        <v>1484</v>
      </c>
      <c r="L292" s="80"/>
      <c r="M292" s="80"/>
      <c r="N292" s="241" t="s">
        <v>1318</v>
      </c>
      <c r="O292" s="80"/>
      <c r="P292" s="80"/>
      <c r="Q292" s="134" t="s">
        <v>1647</v>
      </c>
      <c r="R292" s="75" t="s">
        <v>1580</v>
      </c>
      <c r="S292" s="81"/>
      <c r="T292" s="72"/>
      <c r="U292" s="72"/>
    </row>
    <row r="293" spans="1:21" ht="40.5" hidden="1">
      <c r="A293" s="74">
        <f t="shared" si="17"/>
        <v>273</v>
      </c>
      <c r="B293" s="219" t="s">
        <v>1268</v>
      </c>
      <c r="C293" s="83"/>
      <c r="D293" s="83"/>
      <c r="E293" s="83" t="s">
        <v>635</v>
      </c>
      <c r="F293" s="83"/>
      <c r="G293" s="83">
        <v>6</v>
      </c>
      <c r="H293" s="219" t="s">
        <v>961</v>
      </c>
      <c r="I293" s="219">
        <v>30</v>
      </c>
      <c r="J293" s="219"/>
      <c r="K293" s="219" t="s">
        <v>1485</v>
      </c>
      <c r="L293" s="80"/>
      <c r="M293" s="80"/>
      <c r="N293" s="241" t="s">
        <v>1319</v>
      </c>
      <c r="O293" s="80"/>
      <c r="P293" s="80"/>
      <c r="Q293" s="134" t="s">
        <v>1647</v>
      </c>
      <c r="R293" s="75" t="s">
        <v>1580</v>
      </c>
      <c r="S293" s="81"/>
      <c r="T293" s="72"/>
      <c r="U293" s="72"/>
    </row>
    <row r="294" spans="1:21" ht="216" hidden="1">
      <c r="A294" s="74">
        <f t="shared" si="17"/>
        <v>274</v>
      </c>
      <c r="B294" s="219" t="s">
        <v>1269</v>
      </c>
      <c r="C294" s="83"/>
      <c r="D294" s="83"/>
      <c r="E294" s="83" t="s">
        <v>635</v>
      </c>
      <c r="F294" s="83"/>
      <c r="G294" s="83">
        <v>6</v>
      </c>
      <c r="H294" s="219" t="s">
        <v>962</v>
      </c>
      <c r="I294" s="219">
        <v>31</v>
      </c>
      <c r="J294" s="219"/>
      <c r="K294" s="219" t="s">
        <v>1486</v>
      </c>
      <c r="L294" s="80"/>
      <c r="M294" s="80"/>
      <c r="N294" s="241" t="s">
        <v>1320</v>
      </c>
      <c r="O294" s="80"/>
      <c r="P294" s="80"/>
      <c r="Q294" s="134" t="s">
        <v>1647</v>
      </c>
      <c r="R294" s="75" t="s">
        <v>1580</v>
      </c>
      <c r="S294" s="81"/>
      <c r="T294" s="72"/>
      <c r="U294" s="72"/>
    </row>
    <row r="295" spans="1:21" ht="40.5" hidden="1">
      <c r="A295" s="74">
        <f t="shared" si="17"/>
        <v>275</v>
      </c>
      <c r="B295" s="219" t="s">
        <v>1270</v>
      </c>
      <c r="C295" s="83"/>
      <c r="D295" s="83"/>
      <c r="E295" s="83" t="s">
        <v>635</v>
      </c>
      <c r="F295" s="83"/>
      <c r="G295" s="83">
        <v>6</v>
      </c>
      <c r="H295" s="219" t="s">
        <v>962</v>
      </c>
      <c r="I295" s="219">
        <v>32</v>
      </c>
      <c r="J295" s="219"/>
      <c r="K295" s="219" t="s">
        <v>1310</v>
      </c>
      <c r="L295" s="80"/>
      <c r="M295" s="80"/>
      <c r="N295" s="241" t="s">
        <v>1321</v>
      </c>
      <c r="O295" s="80"/>
      <c r="P295" s="80"/>
      <c r="Q295" s="134" t="s">
        <v>1647</v>
      </c>
      <c r="R295" s="75" t="s">
        <v>1580</v>
      </c>
      <c r="S295" s="81"/>
      <c r="T295" s="72"/>
      <c r="U295" s="72"/>
    </row>
    <row r="296" spans="1:21" ht="54" hidden="1">
      <c r="A296" s="74">
        <f t="shared" si="17"/>
        <v>276</v>
      </c>
      <c r="B296" s="219" t="s">
        <v>1271</v>
      </c>
      <c r="C296" s="83"/>
      <c r="D296" s="83"/>
      <c r="E296" s="83" t="s">
        <v>635</v>
      </c>
      <c r="F296" s="83"/>
      <c r="G296" s="83">
        <v>6</v>
      </c>
      <c r="H296" s="219" t="s">
        <v>962</v>
      </c>
      <c r="I296" s="219">
        <v>33</v>
      </c>
      <c r="J296" s="219"/>
      <c r="K296" s="219" t="s">
        <v>1487</v>
      </c>
      <c r="L296" s="80"/>
      <c r="M296" s="80"/>
      <c r="N296" s="241" t="s">
        <v>1322</v>
      </c>
      <c r="O296" s="80"/>
      <c r="P296" s="80"/>
      <c r="Q296" s="134" t="s">
        <v>1647</v>
      </c>
      <c r="R296" s="75" t="s">
        <v>1580</v>
      </c>
      <c r="S296" s="81"/>
      <c r="T296" s="72"/>
      <c r="U296" s="72"/>
    </row>
    <row r="297" spans="1:21" ht="40.5" hidden="1">
      <c r="A297" s="74">
        <f t="shared" si="17"/>
        <v>277</v>
      </c>
      <c r="B297" s="219" t="s">
        <v>1272</v>
      </c>
      <c r="C297" s="83"/>
      <c r="D297" s="83"/>
      <c r="E297" s="83" t="s">
        <v>635</v>
      </c>
      <c r="F297" s="83"/>
      <c r="G297" s="83">
        <v>6</v>
      </c>
      <c r="H297" s="219" t="s">
        <v>962</v>
      </c>
      <c r="I297" s="219" t="s">
        <v>1297</v>
      </c>
      <c r="J297" s="219"/>
      <c r="K297" s="219" t="s">
        <v>1311</v>
      </c>
      <c r="L297" s="80"/>
      <c r="M297" s="80"/>
      <c r="N297" s="241" t="s">
        <v>1323</v>
      </c>
      <c r="O297" s="80"/>
      <c r="P297" s="80"/>
      <c r="Q297" s="134" t="s">
        <v>1647</v>
      </c>
      <c r="R297" s="75" t="s">
        <v>1580</v>
      </c>
      <c r="S297" s="81"/>
      <c r="T297" s="72"/>
      <c r="U297" s="72"/>
    </row>
    <row r="298" spans="1:21" ht="40.5" hidden="1">
      <c r="A298" s="74">
        <f t="shared" si="17"/>
        <v>278</v>
      </c>
      <c r="B298" s="219" t="s">
        <v>1273</v>
      </c>
      <c r="C298" s="83"/>
      <c r="D298" s="83"/>
      <c r="E298" s="83" t="s">
        <v>635</v>
      </c>
      <c r="F298" s="83"/>
      <c r="G298" s="83">
        <v>6</v>
      </c>
      <c r="H298" s="219" t="s">
        <v>1291</v>
      </c>
      <c r="I298" s="219" t="s">
        <v>1298</v>
      </c>
      <c r="J298" s="219"/>
      <c r="K298" s="219" t="s">
        <v>1488</v>
      </c>
      <c r="L298" s="80"/>
      <c r="M298" s="80"/>
      <c r="N298" s="241" t="s">
        <v>1716</v>
      </c>
      <c r="O298" s="80"/>
      <c r="P298" s="80"/>
      <c r="Q298" s="134" t="s">
        <v>1647</v>
      </c>
      <c r="R298" s="75" t="s">
        <v>1580</v>
      </c>
      <c r="S298" s="81"/>
      <c r="T298" s="72"/>
      <c r="U298" s="72"/>
    </row>
    <row r="299" spans="1:21" ht="67.5" hidden="1">
      <c r="A299" s="74">
        <f t="shared" si="17"/>
        <v>279</v>
      </c>
      <c r="B299" s="219" t="s">
        <v>1274</v>
      </c>
      <c r="C299" s="83"/>
      <c r="D299" s="83"/>
      <c r="E299" s="83" t="s">
        <v>635</v>
      </c>
      <c r="F299" s="83"/>
      <c r="G299" s="83">
        <v>6</v>
      </c>
      <c r="H299" s="219" t="s">
        <v>963</v>
      </c>
      <c r="I299" s="219">
        <v>36</v>
      </c>
      <c r="J299" s="219"/>
      <c r="K299" s="219" t="s">
        <v>1312</v>
      </c>
      <c r="L299" s="80"/>
      <c r="M299" s="242"/>
      <c r="N299" s="243" t="s">
        <v>1755</v>
      </c>
      <c r="O299" s="80" t="s">
        <v>100</v>
      </c>
      <c r="P299" s="80"/>
      <c r="Q299" s="134" t="s">
        <v>1647</v>
      </c>
      <c r="R299" s="75" t="s">
        <v>1580</v>
      </c>
      <c r="S299" s="81"/>
      <c r="T299" s="72"/>
      <c r="U299" s="72"/>
    </row>
    <row r="300" spans="1:21" ht="54" hidden="1">
      <c r="A300" s="74">
        <f t="shared" si="17"/>
        <v>280</v>
      </c>
      <c r="B300" s="219" t="s">
        <v>1275</v>
      </c>
      <c r="C300" s="83"/>
      <c r="D300" s="83"/>
      <c r="E300" s="83" t="s">
        <v>631</v>
      </c>
      <c r="F300" s="83"/>
      <c r="G300" s="83">
        <v>6</v>
      </c>
      <c r="H300" s="219" t="s">
        <v>963</v>
      </c>
      <c r="I300" s="219">
        <v>36</v>
      </c>
      <c r="J300" s="219"/>
      <c r="K300" s="219" t="s">
        <v>1489</v>
      </c>
      <c r="L300" s="80"/>
      <c r="M300" s="80"/>
      <c r="N300" s="241"/>
      <c r="O300" s="80"/>
      <c r="P300" s="80"/>
      <c r="Q300" s="134" t="s">
        <v>1581</v>
      </c>
      <c r="R300" s="75" t="s">
        <v>1580</v>
      </c>
      <c r="S300" s="81"/>
      <c r="T300" s="72"/>
      <c r="U300" s="72"/>
    </row>
    <row r="301" spans="1:21" ht="40.5" hidden="1">
      <c r="A301" s="74">
        <f t="shared" si="17"/>
        <v>281</v>
      </c>
      <c r="B301" s="219" t="s">
        <v>1276</v>
      </c>
      <c r="C301" s="83"/>
      <c r="D301" s="83"/>
      <c r="E301" s="83" t="s">
        <v>635</v>
      </c>
      <c r="F301" s="83"/>
      <c r="G301" s="83">
        <v>6</v>
      </c>
      <c r="H301" s="219" t="s">
        <v>963</v>
      </c>
      <c r="I301" s="219">
        <v>36</v>
      </c>
      <c r="J301" s="219"/>
      <c r="K301" s="219" t="s">
        <v>1490</v>
      </c>
      <c r="L301" s="80"/>
      <c r="M301" s="80"/>
      <c r="N301" s="241" t="s">
        <v>1715</v>
      </c>
      <c r="O301" s="80"/>
      <c r="P301" s="80"/>
      <c r="Q301" s="134" t="s">
        <v>1647</v>
      </c>
      <c r="R301" s="75" t="s">
        <v>1580</v>
      </c>
      <c r="S301" s="81"/>
      <c r="T301" s="72"/>
      <c r="U301" s="72"/>
    </row>
    <row r="302" spans="1:21" ht="54" hidden="1">
      <c r="A302" s="74">
        <f t="shared" si="17"/>
        <v>282</v>
      </c>
      <c r="B302" s="219" t="s">
        <v>1277</v>
      </c>
      <c r="C302" s="83"/>
      <c r="D302" s="83"/>
      <c r="E302" s="83" t="s">
        <v>650</v>
      </c>
      <c r="F302" s="83" t="s">
        <v>1534</v>
      </c>
      <c r="G302" s="83">
        <v>1</v>
      </c>
      <c r="H302" s="219" t="s">
        <v>1040</v>
      </c>
      <c r="I302" s="219" t="s">
        <v>1299</v>
      </c>
      <c r="J302" s="219"/>
      <c r="K302" s="219" t="s">
        <v>1491</v>
      </c>
      <c r="L302" s="80"/>
      <c r="M302" s="80" t="s">
        <v>1681</v>
      </c>
      <c r="N302" s="241"/>
      <c r="O302" s="80"/>
      <c r="P302" s="80"/>
      <c r="Q302" s="134" t="s">
        <v>1647</v>
      </c>
      <c r="R302" s="75" t="s">
        <v>1580</v>
      </c>
      <c r="S302" s="81"/>
      <c r="T302" s="72"/>
      <c r="U302" s="72"/>
    </row>
    <row r="303" spans="1:21" ht="54" hidden="1">
      <c r="A303" s="74">
        <f t="shared" si="17"/>
        <v>283</v>
      </c>
      <c r="B303" s="219" t="s">
        <v>1278</v>
      </c>
      <c r="C303" s="83"/>
      <c r="D303" s="83"/>
      <c r="E303" s="83" t="s">
        <v>631</v>
      </c>
      <c r="F303" s="83"/>
      <c r="G303" s="83" t="s">
        <v>476</v>
      </c>
      <c r="H303" s="219" t="s">
        <v>1040</v>
      </c>
      <c r="I303" s="219" t="s">
        <v>1299</v>
      </c>
      <c r="J303" s="219"/>
      <c r="K303" s="219" t="s">
        <v>1492</v>
      </c>
      <c r="L303" s="80"/>
      <c r="M303" s="80"/>
      <c r="N303" s="241"/>
      <c r="O303" s="80"/>
      <c r="P303" s="80"/>
      <c r="Q303" s="134" t="s">
        <v>1581</v>
      </c>
      <c r="R303" s="75" t="s">
        <v>1580</v>
      </c>
      <c r="S303" s="81"/>
      <c r="T303" s="72"/>
      <c r="U303" s="72"/>
    </row>
    <row r="304" spans="1:21" ht="67.5" hidden="1">
      <c r="A304" s="74">
        <f t="shared" si="17"/>
        <v>284</v>
      </c>
      <c r="B304" s="219" t="s">
        <v>1279</v>
      </c>
      <c r="C304" s="83"/>
      <c r="D304" s="83"/>
      <c r="E304" s="83" t="s">
        <v>631</v>
      </c>
      <c r="F304" s="83"/>
      <c r="G304" s="83" t="s">
        <v>476</v>
      </c>
      <c r="H304" s="219" t="s">
        <v>1040</v>
      </c>
      <c r="I304" s="219" t="s">
        <v>1299</v>
      </c>
      <c r="J304" s="219"/>
      <c r="K304" s="219" t="s">
        <v>1493</v>
      </c>
      <c r="L304" s="80"/>
      <c r="M304" s="80"/>
      <c r="N304" s="241"/>
      <c r="O304" s="80"/>
      <c r="P304" s="80"/>
      <c r="Q304" s="134" t="s">
        <v>1581</v>
      </c>
      <c r="R304" s="75" t="s">
        <v>1580</v>
      </c>
      <c r="S304" s="81"/>
      <c r="T304" s="72"/>
      <c r="U304" s="72"/>
    </row>
    <row r="305" spans="1:21" ht="40.5" hidden="1">
      <c r="A305" s="74">
        <f t="shared" si="17"/>
        <v>285</v>
      </c>
      <c r="B305" s="219" t="s">
        <v>1280</v>
      </c>
      <c r="C305" s="83"/>
      <c r="D305" s="83"/>
      <c r="E305" s="83" t="s">
        <v>650</v>
      </c>
      <c r="F305" s="83" t="s">
        <v>1535</v>
      </c>
      <c r="G305" s="83">
        <v>4</v>
      </c>
      <c r="H305" s="219" t="s">
        <v>1036</v>
      </c>
      <c r="I305" s="219">
        <v>13</v>
      </c>
      <c r="J305" s="219"/>
      <c r="K305" s="219" t="s">
        <v>1494</v>
      </c>
      <c r="L305" s="80"/>
      <c r="M305" s="80"/>
      <c r="N305" s="241"/>
      <c r="O305" s="80"/>
      <c r="P305" s="80"/>
      <c r="Q305" s="134" t="s">
        <v>1581</v>
      </c>
      <c r="R305" s="75" t="s">
        <v>1580</v>
      </c>
      <c r="S305" s="81"/>
      <c r="T305" s="72"/>
      <c r="U305" s="72"/>
    </row>
    <row r="306" spans="1:21" ht="27" hidden="1">
      <c r="A306" s="74">
        <f t="shared" si="17"/>
        <v>286</v>
      </c>
      <c r="B306" s="219" t="s">
        <v>1281</v>
      </c>
      <c r="C306" s="83"/>
      <c r="D306" s="83"/>
      <c r="E306" s="83" t="s">
        <v>631</v>
      </c>
      <c r="F306" s="83"/>
      <c r="G306" s="83">
        <v>4</v>
      </c>
      <c r="H306" s="219" t="s">
        <v>834</v>
      </c>
      <c r="I306" s="219" t="s">
        <v>1300</v>
      </c>
      <c r="J306" s="219"/>
      <c r="K306" s="219" t="s">
        <v>1495</v>
      </c>
      <c r="L306" s="80"/>
      <c r="M306" s="80"/>
      <c r="N306" s="241"/>
      <c r="O306" s="80"/>
      <c r="P306" s="80"/>
      <c r="Q306" s="134" t="s">
        <v>1581</v>
      </c>
      <c r="R306" s="75" t="s">
        <v>1580</v>
      </c>
      <c r="S306" s="81"/>
      <c r="T306" s="72"/>
      <c r="U306" s="72"/>
    </row>
    <row r="307" spans="1:21" ht="40.5" hidden="1">
      <c r="A307" s="74">
        <f t="shared" si="17"/>
        <v>287</v>
      </c>
      <c r="B307" s="219" t="s">
        <v>1282</v>
      </c>
      <c r="C307" s="83"/>
      <c r="D307" s="83"/>
      <c r="E307" s="83" t="s">
        <v>635</v>
      </c>
      <c r="F307" s="83"/>
      <c r="G307" s="83">
        <v>6</v>
      </c>
      <c r="H307" s="219" t="s">
        <v>962</v>
      </c>
      <c r="I307" s="219" t="s">
        <v>1301</v>
      </c>
      <c r="J307" s="219"/>
      <c r="K307" s="219" t="s">
        <v>1496</v>
      </c>
      <c r="L307" s="80"/>
      <c r="M307" s="80"/>
      <c r="N307" s="241" t="s">
        <v>1324</v>
      </c>
      <c r="O307" s="80"/>
      <c r="P307" s="80"/>
      <c r="Q307" s="134" t="s">
        <v>1647</v>
      </c>
      <c r="R307" s="75" t="s">
        <v>1580</v>
      </c>
      <c r="S307" s="81"/>
      <c r="T307" s="72"/>
      <c r="U307" s="72"/>
    </row>
    <row r="308" spans="1:21" ht="54" hidden="1">
      <c r="A308" s="74">
        <f t="shared" si="17"/>
        <v>288</v>
      </c>
      <c r="B308" s="219" t="s">
        <v>1283</v>
      </c>
      <c r="C308" s="83"/>
      <c r="D308" s="83"/>
      <c r="E308" s="83" t="s">
        <v>635</v>
      </c>
      <c r="F308" s="83"/>
      <c r="G308" s="83">
        <v>6</v>
      </c>
      <c r="H308" s="219" t="s">
        <v>962</v>
      </c>
      <c r="I308" s="219" t="s">
        <v>1302</v>
      </c>
      <c r="J308" s="219"/>
      <c r="K308" s="219" t="s">
        <v>1313</v>
      </c>
      <c r="L308" s="80"/>
      <c r="M308" s="80"/>
      <c r="N308" s="241" t="s">
        <v>1325</v>
      </c>
      <c r="O308" s="80"/>
      <c r="P308" s="80"/>
      <c r="Q308" s="134" t="s">
        <v>1647</v>
      </c>
      <c r="R308" s="75" t="s">
        <v>1580</v>
      </c>
      <c r="S308" s="81"/>
      <c r="T308" s="72"/>
      <c r="U308" s="72"/>
    </row>
    <row r="309" spans="1:21" ht="40.5" hidden="1">
      <c r="A309" s="74">
        <f t="shared" si="17"/>
        <v>289</v>
      </c>
      <c r="B309" s="219" t="s">
        <v>1284</v>
      </c>
      <c r="C309" s="83"/>
      <c r="D309" s="83"/>
      <c r="E309" s="83" t="s">
        <v>635</v>
      </c>
      <c r="F309" s="83"/>
      <c r="G309" s="83">
        <v>6</v>
      </c>
      <c r="H309" s="219" t="s">
        <v>962</v>
      </c>
      <c r="I309" s="219" t="s">
        <v>1303</v>
      </c>
      <c r="J309" s="219"/>
      <c r="K309" s="219" t="s">
        <v>1314</v>
      </c>
      <c r="L309" s="80"/>
      <c r="M309" s="80"/>
      <c r="N309" s="241" t="s">
        <v>1326</v>
      </c>
      <c r="O309" s="80"/>
      <c r="P309" s="80"/>
      <c r="Q309" s="134" t="s">
        <v>1647</v>
      </c>
      <c r="R309" s="75" t="s">
        <v>1580</v>
      </c>
      <c r="S309" s="81"/>
      <c r="T309" s="72"/>
      <c r="U309" s="72"/>
    </row>
    <row r="310" spans="1:21" ht="40.5" hidden="1">
      <c r="A310" s="74">
        <f t="shared" si="17"/>
        <v>290</v>
      </c>
      <c r="B310" s="219" t="s">
        <v>1285</v>
      </c>
      <c r="C310" s="83"/>
      <c r="D310" s="83"/>
      <c r="E310" s="83" t="s">
        <v>627</v>
      </c>
      <c r="F310" s="83"/>
      <c r="G310" s="83">
        <v>7</v>
      </c>
      <c r="H310" s="219" t="s">
        <v>966</v>
      </c>
      <c r="I310" s="219" t="s">
        <v>1304</v>
      </c>
      <c r="J310" s="219"/>
      <c r="K310" s="219" t="s">
        <v>1315</v>
      </c>
      <c r="L310" s="80"/>
      <c r="M310" s="80"/>
      <c r="N310" s="241" t="s">
        <v>1327</v>
      </c>
      <c r="O310" s="80"/>
      <c r="P310" s="80"/>
      <c r="Q310" s="134" t="s">
        <v>1647</v>
      </c>
      <c r="R310" s="75" t="s">
        <v>1580</v>
      </c>
      <c r="S310" s="81"/>
      <c r="T310" s="72"/>
      <c r="U310" s="72"/>
    </row>
    <row r="311" spans="1:21" ht="94.5" hidden="1">
      <c r="A311" s="74">
        <f t="shared" si="17"/>
        <v>291</v>
      </c>
      <c r="B311" s="219" t="s">
        <v>1286</v>
      </c>
      <c r="C311" s="83"/>
      <c r="D311" s="83"/>
      <c r="E311" s="83" t="s">
        <v>627</v>
      </c>
      <c r="F311" s="83"/>
      <c r="G311" s="83">
        <v>7</v>
      </c>
      <c r="H311" s="219" t="s">
        <v>1292</v>
      </c>
      <c r="I311" s="219" t="s">
        <v>1305</v>
      </c>
      <c r="J311" s="219"/>
      <c r="K311" s="219" t="s">
        <v>1316</v>
      </c>
      <c r="L311" s="80"/>
      <c r="M311" s="80"/>
      <c r="N311" s="241" t="s">
        <v>1328</v>
      </c>
      <c r="O311" s="80"/>
      <c r="P311" s="80"/>
      <c r="Q311" s="134" t="s">
        <v>1647</v>
      </c>
      <c r="R311" s="75" t="s">
        <v>1580</v>
      </c>
      <c r="S311" s="81"/>
      <c r="T311" s="72"/>
      <c r="U311" s="72"/>
    </row>
    <row r="312" spans="1:21" ht="27" hidden="1">
      <c r="A312" s="74">
        <f t="shared" si="17"/>
        <v>292</v>
      </c>
      <c r="B312" s="219" t="s">
        <v>1287</v>
      </c>
      <c r="C312" s="83"/>
      <c r="D312" s="83"/>
      <c r="E312" s="83" t="s">
        <v>631</v>
      </c>
      <c r="F312" s="83"/>
      <c r="G312" s="83">
        <v>7</v>
      </c>
      <c r="H312" s="219" t="s">
        <v>1293</v>
      </c>
      <c r="I312" s="219" t="s">
        <v>1306</v>
      </c>
      <c r="J312" s="219"/>
      <c r="K312" s="219" t="s">
        <v>1497</v>
      </c>
      <c r="L312" s="80"/>
      <c r="M312" s="80"/>
      <c r="N312" s="241"/>
      <c r="O312" s="80"/>
      <c r="P312" s="80"/>
      <c r="Q312" s="134" t="s">
        <v>1581</v>
      </c>
      <c r="R312" s="75" t="s">
        <v>1580</v>
      </c>
      <c r="S312" s="81"/>
      <c r="T312" s="72"/>
      <c r="U312" s="72"/>
    </row>
    <row r="313" spans="1:21" ht="27" hidden="1">
      <c r="A313" s="74">
        <f t="shared" si="17"/>
        <v>293</v>
      </c>
      <c r="B313" s="219" t="s">
        <v>1288</v>
      </c>
      <c r="C313" s="83"/>
      <c r="D313" s="83"/>
      <c r="E313" s="83" t="s">
        <v>631</v>
      </c>
      <c r="F313" s="83"/>
      <c r="G313" s="83">
        <v>7</v>
      </c>
      <c r="H313" s="219" t="s">
        <v>1294</v>
      </c>
      <c r="I313" s="219" t="s">
        <v>1307</v>
      </c>
      <c r="J313" s="219"/>
      <c r="K313" s="219" t="s">
        <v>1498</v>
      </c>
      <c r="L313" s="80"/>
      <c r="M313" s="80"/>
      <c r="N313" s="241"/>
      <c r="O313" s="80"/>
      <c r="P313" s="80"/>
      <c r="Q313" s="134" t="s">
        <v>1581</v>
      </c>
      <c r="R313" s="75" t="s">
        <v>1580</v>
      </c>
      <c r="S313" s="81"/>
      <c r="T313" s="72"/>
      <c r="U313" s="72"/>
    </row>
    <row r="314" spans="1:21" ht="27" hidden="1">
      <c r="A314" s="74">
        <f t="shared" si="17"/>
        <v>294</v>
      </c>
      <c r="B314" s="219" t="s">
        <v>1289</v>
      </c>
      <c r="C314" s="83"/>
      <c r="D314" s="83"/>
      <c r="E314" s="83" t="s">
        <v>648</v>
      </c>
      <c r="F314" s="83"/>
      <c r="G314" s="83" t="s">
        <v>1575</v>
      </c>
      <c r="H314" s="219" t="s">
        <v>1295</v>
      </c>
      <c r="I314" s="219" t="s">
        <v>1308</v>
      </c>
      <c r="J314" s="219"/>
      <c r="K314" s="219" t="s">
        <v>1499</v>
      </c>
      <c r="L314" s="80"/>
      <c r="M314" s="80"/>
      <c r="N314" s="241"/>
      <c r="O314" s="80"/>
      <c r="P314" s="80"/>
      <c r="Q314" s="134" t="s">
        <v>1581</v>
      </c>
      <c r="R314" s="75" t="s">
        <v>1580</v>
      </c>
      <c r="S314" s="81"/>
      <c r="T314" s="72"/>
      <c r="U314" s="72"/>
    </row>
    <row r="315" spans="1:21" ht="67.5" hidden="1">
      <c r="A315" s="74">
        <f t="shared" si="17"/>
        <v>295</v>
      </c>
      <c r="B315" s="219" t="s">
        <v>1290</v>
      </c>
      <c r="C315" s="83"/>
      <c r="D315" s="83"/>
      <c r="E315" s="83" t="s">
        <v>648</v>
      </c>
      <c r="F315" s="83"/>
      <c r="G315" s="83" t="s">
        <v>1575</v>
      </c>
      <c r="H315" s="219" t="s">
        <v>1295</v>
      </c>
      <c r="I315" s="219" t="s">
        <v>1309</v>
      </c>
      <c r="J315" s="219"/>
      <c r="K315" s="219" t="s">
        <v>1500</v>
      </c>
      <c r="L315" s="80"/>
      <c r="M315" s="80"/>
      <c r="N315" s="241"/>
      <c r="O315" s="80"/>
      <c r="P315" s="80"/>
      <c r="Q315" s="134" t="s">
        <v>1581</v>
      </c>
      <c r="R315" s="75" t="s">
        <v>1580</v>
      </c>
      <c r="S315" s="81"/>
      <c r="T315" s="72"/>
      <c r="U315" s="72"/>
    </row>
    <row r="316" spans="1:21" ht="121.5" hidden="1">
      <c r="A316" s="74">
        <f t="shared" si="17"/>
        <v>296</v>
      </c>
      <c r="B316" s="219" t="s">
        <v>1329</v>
      </c>
      <c r="C316" s="83"/>
      <c r="D316" s="83"/>
      <c r="E316" s="83" t="s">
        <v>627</v>
      </c>
      <c r="F316" s="83"/>
      <c r="G316" s="83">
        <v>1</v>
      </c>
      <c r="H316" s="219">
        <v>1</v>
      </c>
      <c r="I316" s="219" t="s">
        <v>1355</v>
      </c>
      <c r="J316" s="219"/>
      <c r="K316" s="219" t="s">
        <v>1501</v>
      </c>
      <c r="L316" s="80"/>
      <c r="M316" s="221" t="s">
        <v>1384</v>
      </c>
      <c r="N316" s="241"/>
      <c r="O316" s="80"/>
      <c r="P316" s="80"/>
      <c r="Q316" s="134" t="s">
        <v>1581</v>
      </c>
      <c r="R316" s="75" t="s">
        <v>1580</v>
      </c>
      <c r="S316" s="81"/>
      <c r="T316" s="72"/>
      <c r="U316" s="72"/>
    </row>
    <row r="317" spans="1:21" ht="40.5" hidden="1">
      <c r="A317" s="74">
        <f t="shared" si="17"/>
        <v>297</v>
      </c>
      <c r="B317" s="219" t="s">
        <v>1330</v>
      </c>
      <c r="C317" s="83"/>
      <c r="D317" s="83"/>
      <c r="E317" s="83" t="s">
        <v>650</v>
      </c>
      <c r="F317" s="83"/>
      <c r="G317" s="83" t="s">
        <v>476</v>
      </c>
      <c r="H317" s="219" t="s">
        <v>1350</v>
      </c>
      <c r="I317" s="219" t="s">
        <v>1350</v>
      </c>
      <c r="J317" s="219"/>
      <c r="K317" s="219" t="s">
        <v>1502</v>
      </c>
      <c r="L317" s="80"/>
      <c r="M317" s="80" t="s">
        <v>1375</v>
      </c>
      <c r="N317" s="241" t="s">
        <v>1714</v>
      </c>
      <c r="O317" s="80"/>
      <c r="P317" s="80"/>
      <c r="Q317" s="134" t="s">
        <v>1647</v>
      </c>
      <c r="R317" s="75" t="s">
        <v>1580</v>
      </c>
      <c r="S317" s="81"/>
      <c r="T317" s="72"/>
      <c r="U317" s="72"/>
    </row>
    <row r="318" spans="1:21" ht="54" hidden="1">
      <c r="A318" s="74">
        <f t="shared" si="17"/>
        <v>298</v>
      </c>
      <c r="B318" s="219" t="s">
        <v>1331</v>
      </c>
      <c r="C318" s="83"/>
      <c r="D318" s="83"/>
      <c r="E318" s="83" t="s">
        <v>627</v>
      </c>
      <c r="F318" s="83"/>
      <c r="G318" s="83">
        <v>1</v>
      </c>
      <c r="H318" s="219">
        <v>1</v>
      </c>
      <c r="I318" s="219"/>
      <c r="J318" s="219"/>
      <c r="K318" s="219" t="s">
        <v>1503</v>
      </c>
      <c r="L318" s="80"/>
      <c r="M318" s="80" t="s">
        <v>1385</v>
      </c>
      <c r="N318" s="241"/>
      <c r="O318" s="80"/>
      <c r="P318" s="80"/>
      <c r="Q318" s="134" t="s">
        <v>1647</v>
      </c>
      <c r="R318" s="75" t="s">
        <v>1580</v>
      </c>
      <c r="S318" s="81"/>
      <c r="T318" s="72"/>
      <c r="U318" s="72"/>
    </row>
    <row r="319" spans="1:21" ht="54" hidden="1">
      <c r="A319" s="74">
        <f t="shared" si="17"/>
        <v>299</v>
      </c>
      <c r="B319" s="219" t="s">
        <v>1332</v>
      </c>
      <c r="C319" s="83"/>
      <c r="D319" s="83"/>
      <c r="E319" s="83" t="s">
        <v>627</v>
      </c>
      <c r="F319" s="83"/>
      <c r="G319" s="83">
        <v>1</v>
      </c>
      <c r="H319" s="219">
        <v>1</v>
      </c>
      <c r="I319" s="219"/>
      <c r="J319" s="219"/>
      <c r="K319" s="219" t="s">
        <v>1360</v>
      </c>
      <c r="L319" s="80"/>
      <c r="M319" s="80" t="s">
        <v>1386</v>
      </c>
      <c r="N319" s="241"/>
      <c r="O319" s="80"/>
      <c r="P319" s="80"/>
      <c r="Q319" s="134" t="s">
        <v>1647</v>
      </c>
      <c r="R319" s="75" t="s">
        <v>1580</v>
      </c>
      <c r="S319" s="81"/>
      <c r="T319" s="72"/>
      <c r="U319" s="72"/>
    </row>
    <row r="320" spans="1:21" ht="40.5" hidden="1">
      <c r="A320" s="74">
        <f t="shared" si="17"/>
        <v>300</v>
      </c>
      <c r="B320" s="219" t="s">
        <v>1333</v>
      </c>
      <c r="C320" s="83"/>
      <c r="D320" s="83"/>
      <c r="E320" s="83" t="s">
        <v>648</v>
      </c>
      <c r="F320" s="83"/>
      <c r="G320" s="83">
        <v>1</v>
      </c>
      <c r="H320" s="219">
        <v>1</v>
      </c>
      <c r="I320" s="219"/>
      <c r="J320" s="219"/>
      <c r="K320" s="219" t="s">
        <v>1361</v>
      </c>
      <c r="L320" s="80"/>
      <c r="M320" s="80" t="s">
        <v>1756</v>
      </c>
      <c r="N320" s="241"/>
      <c r="O320" s="80"/>
      <c r="P320" s="80"/>
      <c r="Q320" s="134" t="s">
        <v>1581</v>
      </c>
      <c r="R320" s="75" t="s">
        <v>1580</v>
      </c>
      <c r="S320" s="81"/>
      <c r="T320" s="72"/>
      <c r="U320" s="72"/>
    </row>
    <row r="321" spans="1:21" ht="40.5" hidden="1">
      <c r="A321" s="74">
        <f t="shared" si="17"/>
        <v>301</v>
      </c>
      <c r="B321" s="219" t="s">
        <v>1334</v>
      </c>
      <c r="C321" s="83"/>
      <c r="D321" s="83"/>
      <c r="E321" s="83" t="s">
        <v>627</v>
      </c>
      <c r="F321" s="83"/>
      <c r="G321" s="83">
        <v>6</v>
      </c>
      <c r="H321" s="219"/>
      <c r="I321" s="219"/>
      <c r="J321" s="219"/>
      <c r="K321" s="219" t="s">
        <v>1362</v>
      </c>
      <c r="L321" s="80"/>
      <c r="M321" s="80" t="s">
        <v>1387</v>
      </c>
      <c r="N321" s="241" t="s">
        <v>1713</v>
      </c>
      <c r="O321" s="80"/>
      <c r="P321" s="80"/>
      <c r="Q321" s="134" t="s">
        <v>1647</v>
      </c>
      <c r="R321" s="75" t="s">
        <v>1580</v>
      </c>
      <c r="S321" s="81"/>
      <c r="T321" s="72"/>
      <c r="U321" s="72"/>
    </row>
    <row r="322" spans="1:21" ht="40.5" hidden="1">
      <c r="A322" s="74">
        <f t="shared" si="17"/>
        <v>302</v>
      </c>
      <c r="B322" s="219" t="s">
        <v>1335</v>
      </c>
      <c r="C322" s="83"/>
      <c r="D322" s="83"/>
      <c r="E322" s="83" t="s">
        <v>627</v>
      </c>
      <c r="F322" s="83"/>
      <c r="G322" s="83">
        <v>1</v>
      </c>
      <c r="H322" s="219" t="s">
        <v>1351</v>
      </c>
      <c r="I322" s="219" t="s">
        <v>1356</v>
      </c>
      <c r="J322" s="219"/>
      <c r="K322" s="219" t="s">
        <v>1363</v>
      </c>
      <c r="L322" s="80"/>
      <c r="M322" s="80" t="s">
        <v>1388</v>
      </c>
      <c r="N322" s="241"/>
      <c r="O322" s="80" t="s">
        <v>100</v>
      </c>
      <c r="P322" s="80"/>
      <c r="Q322" s="134" t="s">
        <v>1647</v>
      </c>
      <c r="R322" s="75" t="s">
        <v>1580</v>
      </c>
      <c r="S322" s="81"/>
      <c r="T322" s="72"/>
      <c r="U322" s="72"/>
    </row>
    <row r="323" spans="1:21" ht="40.5" hidden="1">
      <c r="A323" s="74">
        <f t="shared" si="17"/>
        <v>303</v>
      </c>
      <c r="B323" s="219" t="s">
        <v>1336</v>
      </c>
      <c r="C323" s="83"/>
      <c r="D323" s="83"/>
      <c r="E323" s="83" t="s">
        <v>627</v>
      </c>
      <c r="F323" s="83"/>
      <c r="G323" s="83">
        <v>1</v>
      </c>
      <c r="H323" s="219" t="s">
        <v>1352</v>
      </c>
      <c r="I323" s="219" t="s">
        <v>1357</v>
      </c>
      <c r="J323" s="219"/>
      <c r="K323" s="219" t="s">
        <v>1364</v>
      </c>
      <c r="L323" s="80"/>
      <c r="M323" s="80" t="s">
        <v>1389</v>
      </c>
      <c r="N323" s="241"/>
      <c r="O323" s="80"/>
      <c r="P323" s="80"/>
      <c r="Q323" s="134" t="s">
        <v>1647</v>
      </c>
      <c r="R323" s="75" t="s">
        <v>1580</v>
      </c>
      <c r="S323" s="81"/>
      <c r="T323" s="72"/>
      <c r="U323" s="72"/>
    </row>
    <row r="324" spans="1:21" ht="54" hidden="1">
      <c r="A324" s="74">
        <f t="shared" si="17"/>
        <v>304</v>
      </c>
      <c r="B324" s="219" t="s">
        <v>1337</v>
      </c>
      <c r="C324" s="83"/>
      <c r="D324" s="83"/>
      <c r="E324" s="83" t="s">
        <v>627</v>
      </c>
      <c r="F324" s="83"/>
      <c r="G324" s="83">
        <v>1</v>
      </c>
      <c r="H324" s="219" t="s">
        <v>1352</v>
      </c>
      <c r="I324" s="219" t="s">
        <v>1358</v>
      </c>
      <c r="J324" s="219"/>
      <c r="K324" s="219" t="s">
        <v>1504</v>
      </c>
      <c r="L324" s="80"/>
      <c r="M324" s="80" t="s">
        <v>1390</v>
      </c>
      <c r="N324" s="241"/>
      <c r="O324" s="80"/>
      <c r="P324" s="80"/>
      <c r="Q324" s="134" t="s">
        <v>1647</v>
      </c>
      <c r="R324" s="75" t="s">
        <v>1580</v>
      </c>
      <c r="S324" s="81"/>
      <c r="T324" s="72"/>
      <c r="U324" s="72"/>
    </row>
    <row r="325" spans="1:21" ht="54" hidden="1">
      <c r="A325" s="74">
        <f t="shared" si="17"/>
        <v>305</v>
      </c>
      <c r="B325" s="219" t="s">
        <v>1338</v>
      </c>
      <c r="C325" s="83"/>
      <c r="D325" s="83"/>
      <c r="E325" s="83" t="s">
        <v>627</v>
      </c>
      <c r="F325" s="83"/>
      <c r="G325" s="83">
        <v>2</v>
      </c>
      <c r="H325" s="219" t="s">
        <v>831</v>
      </c>
      <c r="I325" s="219"/>
      <c r="J325" s="219"/>
      <c r="K325" s="219" t="s">
        <v>1365</v>
      </c>
      <c r="L325" s="80"/>
      <c r="M325" s="80" t="s">
        <v>1391</v>
      </c>
      <c r="N325" s="241" t="s">
        <v>1712</v>
      </c>
      <c r="O325" s="80"/>
      <c r="P325" s="80"/>
      <c r="Q325" s="134" t="s">
        <v>1647</v>
      </c>
      <c r="R325" s="75" t="s">
        <v>1580</v>
      </c>
      <c r="S325" s="81"/>
      <c r="T325" s="72"/>
      <c r="U325" s="72"/>
    </row>
    <row r="326" spans="1:21" ht="40.5">
      <c r="A326" s="74">
        <f t="shared" si="17"/>
        <v>306</v>
      </c>
      <c r="B326" s="219" t="s">
        <v>1339</v>
      </c>
      <c r="C326" s="83"/>
      <c r="D326" s="83"/>
      <c r="E326" s="83" t="s">
        <v>627</v>
      </c>
      <c r="F326" s="83"/>
      <c r="G326" s="83">
        <v>2</v>
      </c>
      <c r="H326" s="219" t="s">
        <v>831</v>
      </c>
      <c r="I326" s="219"/>
      <c r="J326" s="219"/>
      <c r="K326" s="219" t="s">
        <v>1366</v>
      </c>
      <c r="L326" s="80"/>
      <c r="M326" s="80" t="s">
        <v>1751</v>
      </c>
      <c r="N326" s="241"/>
      <c r="O326" s="80"/>
      <c r="P326" s="80"/>
      <c r="Q326" s="134" t="s">
        <v>1581</v>
      </c>
      <c r="R326" s="75" t="s">
        <v>1580</v>
      </c>
      <c r="S326" s="81"/>
      <c r="T326" s="72"/>
      <c r="U326" s="72"/>
    </row>
    <row r="327" spans="1:21" ht="27" hidden="1">
      <c r="A327" s="74">
        <f t="shared" si="17"/>
        <v>307</v>
      </c>
      <c r="B327" s="219" t="s">
        <v>1340</v>
      </c>
      <c r="C327" s="83"/>
      <c r="D327" s="83"/>
      <c r="E327" s="83" t="s">
        <v>648</v>
      </c>
      <c r="F327" s="83"/>
      <c r="G327" s="83" t="s">
        <v>81</v>
      </c>
      <c r="H327" s="219" t="s">
        <v>1353</v>
      </c>
      <c r="I327" s="219" t="s">
        <v>1359</v>
      </c>
      <c r="J327" s="219"/>
      <c r="K327" s="219" t="s">
        <v>1505</v>
      </c>
      <c r="L327" s="80"/>
      <c r="M327" s="80" t="s">
        <v>1719</v>
      </c>
      <c r="N327" s="241"/>
      <c r="O327" s="80"/>
      <c r="P327" s="80"/>
      <c r="Q327" s="134" t="s">
        <v>1581</v>
      </c>
      <c r="R327" s="75" t="s">
        <v>1580</v>
      </c>
      <c r="S327" s="81"/>
      <c r="T327" s="72"/>
      <c r="U327" s="72"/>
    </row>
    <row r="328" spans="1:21" ht="54" hidden="1">
      <c r="A328" s="74">
        <f t="shared" si="17"/>
        <v>308</v>
      </c>
      <c r="B328" s="219" t="s">
        <v>1341</v>
      </c>
      <c r="C328" s="83"/>
      <c r="D328" s="83"/>
      <c r="E328" s="83" t="s">
        <v>627</v>
      </c>
      <c r="F328" s="83"/>
      <c r="G328" s="83">
        <v>6</v>
      </c>
      <c r="H328" s="219"/>
      <c r="I328" s="219"/>
      <c r="J328" s="219"/>
      <c r="K328" s="219" t="s">
        <v>1367</v>
      </c>
      <c r="L328" s="80"/>
      <c r="M328" s="80" t="s">
        <v>1392</v>
      </c>
      <c r="N328" s="241" t="s">
        <v>1381</v>
      </c>
      <c r="O328" s="80"/>
      <c r="P328" s="80"/>
      <c r="Q328" s="134" t="s">
        <v>1647</v>
      </c>
      <c r="R328" s="75" t="s">
        <v>1580</v>
      </c>
      <c r="S328" s="81"/>
      <c r="T328" s="72"/>
      <c r="U328" s="72"/>
    </row>
    <row r="329" spans="1:21" ht="40.5" hidden="1">
      <c r="A329" s="74">
        <f t="shared" si="17"/>
        <v>309</v>
      </c>
      <c r="B329" s="219" t="s">
        <v>1342</v>
      </c>
      <c r="C329" s="83"/>
      <c r="D329" s="83"/>
      <c r="E329" s="83" t="s">
        <v>627</v>
      </c>
      <c r="F329" s="83"/>
      <c r="G329" s="83">
        <v>6</v>
      </c>
      <c r="H329" s="219">
        <v>6.2</v>
      </c>
      <c r="I329" s="219"/>
      <c r="J329" s="219"/>
      <c r="K329" s="219" t="s">
        <v>1368</v>
      </c>
      <c r="L329" s="80"/>
      <c r="M329" s="80" t="s">
        <v>1376</v>
      </c>
      <c r="N329" s="241"/>
      <c r="O329" s="80"/>
      <c r="P329" s="80"/>
      <c r="Q329" s="134" t="s">
        <v>1647</v>
      </c>
      <c r="R329" s="75" t="s">
        <v>1580</v>
      </c>
      <c r="S329" s="81"/>
      <c r="T329" s="72"/>
      <c r="U329" s="72"/>
    </row>
    <row r="330" spans="1:21" ht="40.5" hidden="1">
      <c r="A330" s="74">
        <f t="shared" si="17"/>
        <v>310</v>
      </c>
      <c r="B330" s="219" t="s">
        <v>1343</v>
      </c>
      <c r="C330" s="83"/>
      <c r="D330" s="83"/>
      <c r="E330" s="83" t="s">
        <v>631</v>
      </c>
      <c r="F330" s="83"/>
      <c r="G330" s="83">
        <v>3</v>
      </c>
      <c r="H330" s="219">
        <v>3</v>
      </c>
      <c r="I330" s="219"/>
      <c r="J330" s="219"/>
      <c r="K330" s="219" t="s">
        <v>1369</v>
      </c>
      <c r="L330" s="80"/>
      <c r="M330" s="80" t="s">
        <v>1393</v>
      </c>
      <c r="N330" s="241"/>
      <c r="O330" s="80"/>
      <c r="P330" s="80"/>
      <c r="Q330" s="134" t="s">
        <v>1581</v>
      </c>
      <c r="R330" s="75" t="s">
        <v>1580</v>
      </c>
      <c r="S330" s="81"/>
      <c r="T330" s="72"/>
      <c r="U330" s="72"/>
    </row>
    <row r="331" spans="1:21" ht="40.5" hidden="1">
      <c r="A331" s="74">
        <f t="shared" si="17"/>
        <v>311</v>
      </c>
      <c r="B331" s="219" t="s">
        <v>1344</v>
      </c>
      <c r="C331" s="83"/>
      <c r="D331" s="83"/>
      <c r="E331" s="83" t="s">
        <v>627</v>
      </c>
      <c r="F331" s="83"/>
      <c r="G331" s="83">
        <v>6</v>
      </c>
      <c r="H331" s="219"/>
      <c r="I331" s="219"/>
      <c r="J331" s="219"/>
      <c r="K331" s="219" t="s">
        <v>1370</v>
      </c>
      <c r="L331" s="80"/>
      <c r="M331" s="80"/>
      <c r="N331" s="241" t="s">
        <v>1752</v>
      </c>
      <c r="O331" s="80"/>
      <c r="P331" s="80"/>
      <c r="Q331" s="134" t="s">
        <v>1647</v>
      </c>
      <c r="R331" s="75" t="s">
        <v>1580</v>
      </c>
      <c r="S331" s="81"/>
      <c r="T331" s="72"/>
      <c r="U331" s="72"/>
    </row>
    <row r="332" spans="1:21" ht="40.5" hidden="1">
      <c r="A332" s="74">
        <f t="shared" si="17"/>
        <v>312</v>
      </c>
      <c r="B332" s="219" t="s">
        <v>1345</v>
      </c>
      <c r="C332" s="83"/>
      <c r="D332" s="83"/>
      <c r="E332" s="83" t="s">
        <v>627</v>
      </c>
      <c r="F332" s="83"/>
      <c r="G332" s="83">
        <v>6</v>
      </c>
      <c r="H332" s="219"/>
      <c r="I332" s="219"/>
      <c r="J332" s="219"/>
      <c r="K332" s="219" t="s">
        <v>1371</v>
      </c>
      <c r="L332" s="80"/>
      <c r="M332" s="80" t="s">
        <v>1377</v>
      </c>
      <c r="N332" s="241" t="s">
        <v>1382</v>
      </c>
      <c r="O332" s="80"/>
      <c r="P332" s="80"/>
      <c r="Q332" s="134" t="s">
        <v>1647</v>
      </c>
      <c r="R332" s="75" t="s">
        <v>1580</v>
      </c>
      <c r="S332" s="81"/>
      <c r="T332" s="72"/>
      <c r="U332" s="72"/>
    </row>
    <row r="333" spans="1:21" ht="67.5" hidden="1">
      <c r="A333" s="74">
        <f t="shared" si="17"/>
        <v>313</v>
      </c>
      <c r="B333" s="219" t="s">
        <v>1346</v>
      </c>
      <c r="C333" s="83"/>
      <c r="D333" s="83"/>
      <c r="E333" s="83" t="s">
        <v>635</v>
      </c>
      <c r="F333" s="83"/>
      <c r="G333" s="83">
        <v>6</v>
      </c>
      <c r="H333" s="219"/>
      <c r="I333" s="219" t="s">
        <v>889</v>
      </c>
      <c r="J333" s="219"/>
      <c r="K333" s="219" t="s">
        <v>1506</v>
      </c>
      <c r="L333" s="80"/>
      <c r="M333" s="80" t="s">
        <v>1378</v>
      </c>
      <c r="N333" s="241" t="s">
        <v>1383</v>
      </c>
      <c r="O333" s="80"/>
      <c r="P333" s="80"/>
      <c r="Q333" s="134" t="s">
        <v>1647</v>
      </c>
      <c r="R333" s="75" t="s">
        <v>1580</v>
      </c>
      <c r="S333" s="81"/>
      <c r="T333" s="72"/>
      <c r="U333" s="72"/>
    </row>
    <row r="334" spans="1:21" ht="40.5" hidden="1">
      <c r="A334" s="74">
        <f t="shared" si="17"/>
        <v>314</v>
      </c>
      <c r="B334" s="219" t="s">
        <v>1347</v>
      </c>
      <c r="C334" s="83"/>
      <c r="D334" s="83"/>
      <c r="E334" s="83" t="s">
        <v>631</v>
      </c>
      <c r="F334" s="83"/>
      <c r="G334" s="83">
        <v>9</v>
      </c>
      <c r="H334" s="219">
        <v>9</v>
      </c>
      <c r="I334" s="219"/>
      <c r="J334" s="219"/>
      <c r="K334" s="219" t="s">
        <v>1372</v>
      </c>
      <c r="L334" s="80"/>
      <c r="M334" s="80" t="s">
        <v>1394</v>
      </c>
      <c r="N334" s="241"/>
      <c r="O334" s="80"/>
      <c r="P334" s="80"/>
      <c r="Q334" s="134" t="s">
        <v>1581</v>
      </c>
      <c r="R334" s="75" t="s">
        <v>1580</v>
      </c>
      <c r="S334" s="81"/>
      <c r="T334" s="72"/>
      <c r="U334" s="72"/>
    </row>
    <row r="335" spans="1:21" ht="27" hidden="1">
      <c r="A335" s="74">
        <f t="shared" si="17"/>
        <v>315</v>
      </c>
      <c r="B335" s="219" t="s">
        <v>1348</v>
      </c>
      <c r="C335" s="83"/>
      <c r="D335" s="83"/>
      <c r="E335" s="83" t="s">
        <v>631</v>
      </c>
      <c r="F335" s="83"/>
      <c r="G335" s="83">
        <v>13</v>
      </c>
      <c r="H335" s="219"/>
      <c r="I335" s="219"/>
      <c r="J335" s="219"/>
      <c r="K335" s="219" t="s">
        <v>1373</v>
      </c>
      <c r="L335" s="80"/>
      <c r="M335" s="80" t="s">
        <v>1379</v>
      </c>
      <c r="N335" s="241"/>
      <c r="O335" s="80"/>
      <c r="P335" s="80"/>
      <c r="Q335" s="134" t="s">
        <v>1581</v>
      </c>
      <c r="R335" s="75" t="s">
        <v>1580</v>
      </c>
      <c r="S335" s="81"/>
      <c r="T335" s="72"/>
      <c r="U335" s="72"/>
    </row>
    <row r="336" spans="1:21" ht="126" hidden="1" customHeight="1">
      <c r="A336" s="74">
        <f t="shared" si="17"/>
        <v>316</v>
      </c>
      <c r="B336" s="219" t="s">
        <v>1349</v>
      </c>
      <c r="C336" s="83"/>
      <c r="D336" s="83"/>
      <c r="E336" s="83" t="s">
        <v>627</v>
      </c>
      <c r="F336" s="83"/>
      <c r="G336" s="83">
        <v>5</v>
      </c>
      <c r="H336" s="219" t="s">
        <v>1354</v>
      </c>
      <c r="I336" s="219"/>
      <c r="J336" s="219"/>
      <c r="K336" s="219" t="s">
        <v>1507</v>
      </c>
      <c r="L336" s="80"/>
      <c r="M336" s="221" t="s">
        <v>1380</v>
      </c>
      <c r="N336" s="241" t="s">
        <v>1533</v>
      </c>
      <c r="O336" s="80"/>
      <c r="P336" s="80"/>
      <c r="Q336" s="134" t="s">
        <v>1647</v>
      </c>
      <c r="R336" s="75" t="s">
        <v>1580</v>
      </c>
      <c r="S336" s="81"/>
      <c r="T336" s="72"/>
      <c r="U336" s="72"/>
    </row>
    <row r="337" spans="1:21" ht="27" hidden="1">
      <c r="A337" s="74">
        <f t="shared" si="17"/>
        <v>317</v>
      </c>
      <c r="B337" s="83" t="s">
        <v>1537</v>
      </c>
      <c r="C337" s="83"/>
      <c r="D337" s="83"/>
      <c r="E337" s="83" t="s">
        <v>650</v>
      </c>
      <c r="F337" s="219" t="s">
        <v>1534</v>
      </c>
      <c r="G337" s="219" t="s">
        <v>476</v>
      </c>
      <c r="H337" s="219"/>
      <c r="I337" s="219"/>
      <c r="J337" s="219"/>
      <c r="K337" s="219" t="s">
        <v>1753</v>
      </c>
      <c r="L337" s="80"/>
      <c r="M337" s="80"/>
      <c r="N337" s="241" t="s">
        <v>1752</v>
      </c>
      <c r="O337" s="80"/>
      <c r="P337" s="80"/>
      <c r="Q337" s="134" t="s">
        <v>1647</v>
      </c>
      <c r="R337" s="75" t="s">
        <v>1580</v>
      </c>
      <c r="S337" s="81"/>
      <c r="T337" s="72"/>
      <c r="U337" s="72"/>
    </row>
    <row r="338" spans="1:21" ht="27" hidden="1">
      <c r="A338" s="74">
        <f t="shared" si="17"/>
        <v>318</v>
      </c>
      <c r="B338" s="83" t="s">
        <v>1538</v>
      </c>
      <c r="C338" s="83"/>
      <c r="D338" s="83"/>
      <c r="E338" s="83" t="s">
        <v>650</v>
      </c>
      <c r="F338" s="219" t="s">
        <v>1535</v>
      </c>
      <c r="G338" s="219" t="s">
        <v>476</v>
      </c>
      <c r="H338" s="219"/>
      <c r="I338" s="219"/>
      <c r="J338" s="219"/>
      <c r="K338" s="219" t="s">
        <v>1556</v>
      </c>
      <c r="L338" s="80"/>
      <c r="M338" s="80"/>
      <c r="N338" s="241"/>
      <c r="O338" s="80"/>
      <c r="P338" s="80"/>
      <c r="Q338" s="134" t="s">
        <v>1581</v>
      </c>
      <c r="R338" s="75" t="s">
        <v>1580</v>
      </c>
      <c r="S338" s="81"/>
      <c r="T338" s="72"/>
      <c r="U338" s="72"/>
    </row>
    <row r="339" spans="1:21" ht="27" hidden="1">
      <c r="A339" s="74">
        <f t="shared" si="17"/>
        <v>319</v>
      </c>
      <c r="B339" s="83" t="s">
        <v>1539</v>
      </c>
      <c r="C339" s="83"/>
      <c r="D339" s="83"/>
      <c r="E339" s="83" t="s">
        <v>650</v>
      </c>
      <c r="F339" s="219" t="s">
        <v>1536</v>
      </c>
      <c r="G339" s="219" t="s">
        <v>476</v>
      </c>
      <c r="H339" s="219"/>
      <c r="I339" s="219"/>
      <c r="J339" s="219"/>
      <c r="K339" s="219" t="s">
        <v>1557</v>
      </c>
      <c r="L339" s="80"/>
      <c r="M339" s="80"/>
      <c r="N339" s="241"/>
      <c r="O339" s="80"/>
      <c r="P339" s="80"/>
      <c r="Q339" s="134" t="s">
        <v>1581</v>
      </c>
      <c r="R339" s="75" t="s">
        <v>1580</v>
      </c>
      <c r="S339" s="81"/>
      <c r="T339" s="72"/>
      <c r="U339" s="72"/>
    </row>
    <row r="340" spans="1:21" ht="27" hidden="1">
      <c r="A340" s="74">
        <f t="shared" si="17"/>
        <v>320</v>
      </c>
      <c r="B340" s="83" t="s">
        <v>1540</v>
      </c>
      <c r="C340" s="83"/>
      <c r="D340" s="83"/>
      <c r="E340" s="83" t="s">
        <v>650</v>
      </c>
      <c r="F340" s="219" t="s">
        <v>1535</v>
      </c>
      <c r="G340" s="219" t="s">
        <v>476</v>
      </c>
      <c r="H340" s="219"/>
      <c r="I340" s="219"/>
      <c r="J340" s="219"/>
      <c r="K340" s="219" t="s">
        <v>1558</v>
      </c>
      <c r="L340" s="80"/>
      <c r="M340" s="80"/>
      <c r="N340" s="241"/>
      <c r="O340" s="80"/>
      <c r="P340" s="80"/>
      <c r="Q340" s="134" t="s">
        <v>1581</v>
      </c>
      <c r="R340" s="75" t="s">
        <v>1580</v>
      </c>
      <c r="S340" s="81"/>
      <c r="T340" s="72"/>
      <c r="U340" s="72"/>
    </row>
    <row r="341" spans="1:21" ht="27" hidden="1">
      <c r="A341" s="74">
        <f t="shared" si="17"/>
        <v>321</v>
      </c>
      <c r="B341" s="83" t="s">
        <v>1541</v>
      </c>
      <c r="C341" s="83"/>
      <c r="D341" s="83"/>
      <c r="E341" s="83" t="s">
        <v>650</v>
      </c>
      <c r="F341" s="219" t="s">
        <v>1536</v>
      </c>
      <c r="G341" s="219" t="s">
        <v>476</v>
      </c>
      <c r="H341" s="219"/>
      <c r="I341" s="219"/>
      <c r="J341" s="219"/>
      <c r="K341" s="219" t="s">
        <v>1559</v>
      </c>
      <c r="L341" s="80"/>
      <c r="M341" s="80"/>
      <c r="N341" s="241"/>
      <c r="O341" s="80"/>
      <c r="P341" s="80"/>
      <c r="Q341" s="134" t="s">
        <v>1581</v>
      </c>
      <c r="R341" s="75" t="s">
        <v>1580</v>
      </c>
      <c r="S341" s="81"/>
      <c r="T341" s="72"/>
      <c r="U341" s="72"/>
    </row>
    <row r="342" spans="1:21" ht="27" hidden="1">
      <c r="A342" s="74">
        <f t="shared" si="17"/>
        <v>322</v>
      </c>
      <c r="B342" s="83" t="s">
        <v>1542</v>
      </c>
      <c r="C342" s="83"/>
      <c r="D342" s="83"/>
      <c r="E342" s="83" t="s">
        <v>650</v>
      </c>
      <c r="F342" s="219" t="s">
        <v>1535</v>
      </c>
      <c r="G342" s="219" t="s">
        <v>476</v>
      </c>
      <c r="H342" s="219"/>
      <c r="I342" s="219"/>
      <c r="J342" s="219"/>
      <c r="K342" s="219" t="s">
        <v>1552</v>
      </c>
      <c r="L342" s="80"/>
      <c r="M342" s="80"/>
      <c r="N342" s="241"/>
      <c r="O342" s="80"/>
      <c r="P342" s="80"/>
      <c r="Q342" s="134" t="s">
        <v>1581</v>
      </c>
      <c r="R342" s="75" t="s">
        <v>1580</v>
      </c>
      <c r="S342" s="81"/>
      <c r="T342" s="72"/>
      <c r="U342" s="72"/>
    </row>
    <row r="343" spans="1:21" ht="27" hidden="1">
      <c r="A343" s="74">
        <f t="shared" si="17"/>
        <v>323</v>
      </c>
      <c r="B343" s="83" t="s">
        <v>1543</v>
      </c>
      <c r="C343" s="83"/>
      <c r="D343" s="83"/>
      <c r="E343" s="83" t="s">
        <v>650</v>
      </c>
      <c r="F343" s="219" t="s">
        <v>1534</v>
      </c>
      <c r="G343" s="219" t="s">
        <v>476</v>
      </c>
      <c r="H343" s="219"/>
      <c r="I343" s="219"/>
      <c r="J343" s="219"/>
      <c r="K343" s="219" t="s">
        <v>1686</v>
      </c>
      <c r="L343" s="80"/>
      <c r="M343" s="80" t="s">
        <v>1739</v>
      </c>
      <c r="N343" s="241"/>
      <c r="O343" s="80"/>
      <c r="P343" s="80"/>
      <c r="Q343" s="134" t="s">
        <v>1581</v>
      </c>
      <c r="R343" s="75" t="s">
        <v>1580</v>
      </c>
      <c r="S343" s="81"/>
      <c r="T343" s="72"/>
      <c r="U343" s="72"/>
    </row>
    <row r="344" spans="1:21" ht="27" hidden="1">
      <c r="A344" s="74">
        <f t="shared" si="17"/>
        <v>324</v>
      </c>
      <c r="B344" s="83" t="s">
        <v>1544</v>
      </c>
      <c r="C344" s="83"/>
      <c r="D344" s="83"/>
      <c r="E344" s="83" t="s">
        <v>650</v>
      </c>
      <c r="F344" s="219" t="s">
        <v>1535</v>
      </c>
      <c r="G344" s="219" t="s">
        <v>476</v>
      </c>
      <c r="H344" s="219"/>
      <c r="I344" s="219"/>
      <c r="J344" s="219"/>
      <c r="K344" s="219" t="s">
        <v>1553</v>
      </c>
      <c r="L344" s="80"/>
      <c r="M344" s="80"/>
      <c r="N344" s="241"/>
      <c r="O344" s="80"/>
      <c r="P344" s="80" t="s">
        <v>120</v>
      </c>
      <c r="Q344" s="134" t="s">
        <v>1581</v>
      </c>
      <c r="R344" s="75" t="s">
        <v>1580</v>
      </c>
      <c r="S344" s="81" t="str">
        <f t="shared" si="14"/>
        <v>!</v>
      </c>
      <c r="T344" s="72" t="str">
        <f t="shared" si="15"/>
        <v/>
      </c>
      <c r="U344" s="72" t="str">
        <f t="shared" si="16"/>
        <v/>
      </c>
    </row>
    <row r="345" spans="1:21" ht="27" hidden="1">
      <c r="A345" s="74">
        <f t="shared" si="17"/>
        <v>325</v>
      </c>
      <c r="B345" s="83" t="s">
        <v>1545</v>
      </c>
      <c r="C345" s="83"/>
      <c r="D345" s="83"/>
      <c r="E345" s="83" t="s">
        <v>650</v>
      </c>
      <c r="F345" s="219" t="s">
        <v>1534</v>
      </c>
      <c r="G345" s="219" t="s">
        <v>476</v>
      </c>
      <c r="H345" s="219"/>
      <c r="I345" s="219"/>
      <c r="J345" s="219"/>
      <c r="K345" s="219" t="s">
        <v>1560</v>
      </c>
      <c r="L345" s="80"/>
      <c r="M345" s="80"/>
      <c r="N345" s="241" t="s">
        <v>1676</v>
      </c>
      <c r="O345" s="80"/>
      <c r="P345" s="80"/>
      <c r="Q345" s="134" t="s">
        <v>1647</v>
      </c>
      <c r="R345" s="75" t="s">
        <v>1580</v>
      </c>
      <c r="S345" s="81" t="str">
        <f t="shared" si="14"/>
        <v>!</v>
      </c>
      <c r="T345" s="72" t="str">
        <f t="shared" si="15"/>
        <v/>
      </c>
      <c r="U345" s="72" t="str">
        <f t="shared" si="16"/>
        <v/>
      </c>
    </row>
    <row r="346" spans="1:21" ht="27" hidden="1">
      <c r="A346" s="74">
        <f t="shared" si="17"/>
        <v>326</v>
      </c>
      <c r="B346" s="83" t="s">
        <v>1546</v>
      </c>
      <c r="C346" s="83"/>
      <c r="D346" s="83"/>
      <c r="E346" s="83" t="s">
        <v>650</v>
      </c>
      <c r="F346" s="219" t="s">
        <v>1534</v>
      </c>
      <c r="G346" s="219" t="s">
        <v>476</v>
      </c>
      <c r="H346" s="219"/>
      <c r="I346" s="219"/>
      <c r="J346" s="219"/>
      <c r="K346" s="219" t="s">
        <v>1554</v>
      </c>
      <c r="L346" s="80"/>
      <c r="M346" s="80"/>
      <c r="N346" s="241" t="s">
        <v>1675</v>
      </c>
      <c r="O346" s="80"/>
      <c r="P346" s="80" t="s">
        <v>120</v>
      </c>
      <c r="Q346" s="134" t="s">
        <v>1647</v>
      </c>
      <c r="R346" s="75" t="s">
        <v>1580</v>
      </c>
      <c r="S346" s="81" t="str">
        <f t="shared" si="14"/>
        <v>!</v>
      </c>
      <c r="T346" s="72" t="str">
        <f t="shared" si="15"/>
        <v/>
      </c>
      <c r="U346" s="72" t="str">
        <f t="shared" si="16"/>
        <v/>
      </c>
    </row>
    <row r="347" spans="1:21" ht="27" hidden="1">
      <c r="A347" s="74">
        <f t="shared" si="17"/>
        <v>327</v>
      </c>
      <c r="B347" s="83" t="s">
        <v>1547</v>
      </c>
      <c r="C347" s="83"/>
      <c r="D347" s="83"/>
      <c r="E347" s="83" t="s">
        <v>650</v>
      </c>
      <c r="F347" s="219" t="s">
        <v>1535</v>
      </c>
      <c r="G347" s="219" t="s">
        <v>476</v>
      </c>
      <c r="H347" s="219"/>
      <c r="I347" s="219"/>
      <c r="J347" s="219"/>
      <c r="K347" s="219" t="s">
        <v>1561</v>
      </c>
      <c r="L347" s="80"/>
      <c r="M347" s="80"/>
      <c r="N347" s="241"/>
      <c r="O347" s="80"/>
      <c r="P347" s="80" t="s">
        <v>120</v>
      </c>
      <c r="Q347" s="134" t="s">
        <v>1581</v>
      </c>
      <c r="R347" s="75" t="s">
        <v>1580</v>
      </c>
      <c r="S347" s="81" t="str">
        <f t="shared" si="14"/>
        <v>!</v>
      </c>
      <c r="T347" s="72" t="str">
        <f t="shared" si="15"/>
        <v/>
      </c>
      <c r="U347" s="72" t="str">
        <f t="shared" si="16"/>
        <v/>
      </c>
    </row>
    <row r="348" spans="1:21" ht="27" hidden="1">
      <c r="A348" s="74">
        <f t="shared" si="17"/>
        <v>328</v>
      </c>
      <c r="B348" s="83" t="s">
        <v>1548</v>
      </c>
      <c r="C348" s="83"/>
      <c r="D348" s="83"/>
      <c r="E348" s="83" t="s">
        <v>650</v>
      </c>
      <c r="F348" s="219" t="s">
        <v>1534</v>
      </c>
      <c r="G348" s="219">
        <v>1</v>
      </c>
      <c r="H348" s="219"/>
      <c r="I348" s="219"/>
      <c r="J348" s="219"/>
      <c r="K348" s="219" t="s">
        <v>1555</v>
      </c>
      <c r="L348" s="80"/>
      <c r="M348" s="80"/>
      <c r="N348" s="241" t="s">
        <v>141</v>
      </c>
      <c r="O348" s="80"/>
      <c r="P348" s="80" t="s">
        <v>120</v>
      </c>
      <c r="Q348" s="134" t="s">
        <v>1647</v>
      </c>
      <c r="R348" s="75" t="s">
        <v>1580</v>
      </c>
      <c r="S348" s="81" t="str">
        <f t="shared" si="14"/>
        <v>!</v>
      </c>
      <c r="T348" s="72" t="str">
        <f t="shared" si="15"/>
        <v/>
      </c>
      <c r="U348" s="72" t="str">
        <f t="shared" si="16"/>
        <v/>
      </c>
    </row>
    <row r="349" spans="1:21" ht="27" hidden="1">
      <c r="A349" s="74">
        <f t="shared" si="17"/>
        <v>329</v>
      </c>
      <c r="B349" s="83" t="s">
        <v>1549</v>
      </c>
      <c r="C349" s="83"/>
      <c r="D349" s="83"/>
      <c r="E349" s="83" t="s">
        <v>650</v>
      </c>
      <c r="F349" s="219" t="s">
        <v>1536</v>
      </c>
      <c r="G349" s="219" t="s">
        <v>476</v>
      </c>
      <c r="H349" s="219"/>
      <c r="I349" s="219"/>
      <c r="J349" s="219"/>
      <c r="K349" s="219" t="s">
        <v>1562</v>
      </c>
      <c r="L349" s="80"/>
      <c r="M349" s="80"/>
      <c r="N349" s="241"/>
      <c r="O349" s="80"/>
      <c r="P349" s="80" t="s">
        <v>120</v>
      </c>
      <c r="Q349" s="134" t="s">
        <v>1581</v>
      </c>
      <c r="R349" s="75" t="s">
        <v>1580</v>
      </c>
      <c r="S349" s="81" t="str">
        <f t="shared" si="14"/>
        <v>!</v>
      </c>
      <c r="T349" s="72" t="str">
        <f t="shared" si="15"/>
        <v/>
      </c>
      <c r="U349" s="72" t="str">
        <f t="shared" si="16"/>
        <v/>
      </c>
    </row>
    <row r="350" spans="1:21" ht="27">
      <c r="A350" s="74">
        <f t="shared" si="17"/>
        <v>330</v>
      </c>
      <c r="B350" s="83" t="s">
        <v>1550</v>
      </c>
      <c r="C350" s="83"/>
      <c r="D350" s="83"/>
      <c r="E350" s="83" t="s">
        <v>650</v>
      </c>
      <c r="F350" s="219" t="s">
        <v>1534</v>
      </c>
      <c r="G350" s="219" t="s">
        <v>476</v>
      </c>
      <c r="H350" s="219"/>
      <c r="I350" s="219"/>
      <c r="J350" s="219"/>
      <c r="K350" s="219" t="s">
        <v>1563</v>
      </c>
      <c r="L350" s="80"/>
      <c r="M350" s="242" t="s">
        <v>1754</v>
      </c>
      <c r="N350" s="241"/>
      <c r="O350" s="80"/>
      <c r="P350" s="80" t="s">
        <v>120</v>
      </c>
      <c r="Q350" s="134" t="s">
        <v>1581</v>
      </c>
      <c r="R350" s="75" t="s">
        <v>1580</v>
      </c>
      <c r="S350" s="81" t="str">
        <f t="shared" si="14"/>
        <v>!</v>
      </c>
      <c r="T350" s="72" t="str">
        <f t="shared" si="15"/>
        <v/>
      </c>
      <c r="U350" s="72" t="str">
        <f t="shared" si="16"/>
        <v/>
      </c>
    </row>
    <row r="351" spans="1:21" ht="40.5" hidden="1">
      <c r="A351" s="74">
        <f t="shared" si="17"/>
        <v>331</v>
      </c>
      <c r="B351" s="83" t="s">
        <v>1566</v>
      </c>
      <c r="C351" s="83"/>
      <c r="D351" s="83"/>
      <c r="E351" s="83" t="s">
        <v>650</v>
      </c>
      <c r="F351" s="219" t="s">
        <v>1534</v>
      </c>
      <c r="G351" s="219" t="s">
        <v>476</v>
      </c>
      <c r="H351" s="219"/>
      <c r="I351" s="219"/>
      <c r="J351" s="219"/>
      <c r="K351" s="219" t="s">
        <v>1564</v>
      </c>
      <c r="L351" s="80"/>
      <c r="M351" s="80"/>
      <c r="N351" s="241" t="s">
        <v>1711</v>
      </c>
      <c r="O351" s="80"/>
      <c r="P351" s="80" t="s">
        <v>120</v>
      </c>
      <c r="Q351" s="134" t="s">
        <v>1647</v>
      </c>
      <c r="R351" s="75" t="s">
        <v>1580</v>
      </c>
      <c r="S351" s="81" t="str">
        <f t="shared" si="14"/>
        <v>!</v>
      </c>
      <c r="T351" s="72" t="str">
        <f t="shared" si="15"/>
        <v/>
      </c>
      <c r="U351" s="72" t="str">
        <f t="shared" si="16"/>
        <v/>
      </c>
    </row>
    <row r="352" spans="1:21" ht="73.5" hidden="1">
      <c r="A352" s="74">
        <f t="shared" si="17"/>
        <v>332</v>
      </c>
      <c r="B352" s="83" t="s">
        <v>1567</v>
      </c>
      <c r="C352" s="83"/>
      <c r="D352" s="83"/>
      <c r="E352" s="83" t="s">
        <v>650</v>
      </c>
      <c r="F352" s="219" t="s">
        <v>1534</v>
      </c>
      <c r="G352" s="219" t="s">
        <v>476</v>
      </c>
      <c r="H352" s="83"/>
      <c r="I352" s="83"/>
      <c r="J352" s="181"/>
      <c r="K352" s="219" t="s">
        <v>1565</v>
      </c>
      <c r="L352" s="80"/>
      <c r="M352" s="80"/>
      <c r="N352" s="241" t="s">
        <v>1752</v>
      </c>
      <c r="O352" s="80"/>
      <c r="P352" s="80" t="s">
        <v>120</v>
      </c>
      <c r="Q352" s="134" t="s">
        <v>1647</v>
      </c>
      <c r="R352" s="75" t="s">
        <v>1580</v>
      </c>
      <c r="S352" s="81" t="str">
        <f t="shared" si="14"/>
        <v>!</v>
      </c>
      <c r="T352" s="72" t="str">
        <f t="shared" si="15"/>
        <v/>
      </c>
      <c r="U352" s="72" t="str">
        <f t="shared" si="16"/>
        <v/>
      </c>
    </row>
    <row r="353" spans="1:21" ht="27" hidden="1">
      <c r="A353" s="74">
        <f t="shared" si="17"/>
        <v>333</v>
      </c>
      <c r="B353" s="83" t="s">
        <v>1582</v>
      </c>
      <c r="C353" s="83"/>
      <c r="D353" s="83"/>
      <c r="E353" s="83" t="s">
        <v>650</v>
      </c>
      <c r="F353" s="83" t="s">
        <v>1536</v>
      </c>
      <c r="G353" s="83" t="s">
        <v>476</v>
      </c>
      <c r="H353" s="83"/>
      <c r="I353" s="83"/>
      <c r="J353" s="181"/>
      <c r="K353" s="82" t="s">
        <v>1585</v>
      </c>
      <c r="L353" s="80"/>
      <c r="M353" s="80"/>
      <c r="N353" s="181"/>
      <c r="O353" s="80"/>
      <c r="P353" s="80" t="s">
        <v>120</v>
      </c>
      <c r="Q353" s="134" t="s">
        <v>1581</v>
      </c>
      <c r="R353" s="75" t="s">
        <v>1580</v>
      </c>
      <c r="S353" s="81" t="str">
        <f t="shared" si="14"/>
        <v>!</v>
      </c>
      <c r="T353" s="72" t="str">
        <f t="shared" si="15"/>
        <v/>
      </c>
      <c r="U353" s="72" t="str">
        <f t="shared" si="16"/>
        <v/>
      </c>
    </row>
    <row r="354" spans="1:21" ht="27" hidden="1">
      <c r="A354" s="74">
        <f t="shared" si="17"/>
        <v>334</v>
      </c>
      <c r="B354" s="83" t="s">
        <v>1583</v>
      </c>
      <c r="C354" s="83"/>
      <c r="D354" s="83"/>
      <c r="E354" s="83" t="s">
        <v>650</v>
      </c>
      <c r="F354" s="83" t="s">
        <v>1584</v>
      </c>
      <c r="G354" s="83" t="s">
        <v>476</v>
      </c>
      <c r="H354" s="83"/>
      <c r="I354" s="83"/>
      <c r="J354" s="181"/>
      <c r="K354" s="82" t="s">
        <v>1586</v>
      </c>
      <c r="L354" s="80"/>
      <c r="M354" s="80"/>
      <c r="N354" s="181" t="s">
        <v>1710</v>
      </c>
      <c r="O354" s="80"/>
      <c r="P354" s="80" t="s">
        <v>120</v>
      </c>
      <c r="Q354" s="134" t="s">
        <v>1647</v>
      </c>
      <c r="R354" s="75" t="s">
        <v>1580</v>
      </c>
      <c r="S354" s="81" t="str">
        <f t="shared" si="14"/>
        <v>!</v>
      </c>
      <c r="T354" s="72" t="str">
        <f t="shared" si="15"/>
        <v/>
      </c>
      <c r="U354" s="72" t="str">
        <f t="shared" si="16"/>
        <v/>
      </c>
    </row>
    <row r="355" spans="1:21" hidden="1">
      <c r="A355" s="252" t="s">
        <v>119</v>
      </c>
      <c r="B355" s="253"/>
      <c r="C355" s="253"/>
      <c r="D355" s="253"/>
      <c r="E355" s="253"/>
      <c r="F355" s="253"/>
      <c r="G355" s="253"/>
      <c r="H355" s="253"/>
      <c r="I355" s="253"/>
      <c r="J355" s="253"/>
      <c r="K355" s="253"/>
      <c r="L355" s="253"/>
      <c r="M355" s="253"/>
      <c r="N355" s="253"/>
      <c r="O355" s="253"/>
      <c r="P355" s="253"/>
      <c r="Q355" s="253"/>
      <c r="R355" s="253"/>
      <c r="S355" s="253"/>
      <c r="T355" s="253"/>
      <c r="U355" s="253"/>
    </row>
  </sheetData>
  <sheetProtection insertRows="0"/>
  <autoFilter ref="A20:U355">
    <filterColumn colId="4">
      <filters>
        <filter val="1 - Basic Spec Aspects"/>
        <filter val="2 - All Package Aspects"/>
        <filter val="3 - All Subprogram Aspects"/>
        <filter val="7 - Discussion"/>
      </filters>
    </filterColumn>
    <filterColumn colId="5">
      <filters blank="1">
        <filter val="REQUIRED"/>
      </filters>
    </filterColumn>
    <filterColumn colId="6"/>
    <filterColumn colId="12">
      <filters blank="1">
        <filter val="Add a ToDo to add more examples in the next release (mapping spec serves a different purpose). JB"/>
        <filter val="Add this subsection to 2-14 and document its_x000a_meaning in 1.9.   JB to discuss with SM."/>
        <filter val="consider addition of section 0/rationale which_x000a_presents vision and goals in the most sales-savvy way. JB to discuss with SM."/>
        <filter val="Copy the text from Ch 3 into 7.4. JB"/>
        <filter val="Discuss during conf call. JB"/>
        <filter val="DURING REVIEW"/>
        <filter val="Get SB to action."/>
        <filter val="Move the Exactly_One_Of check to the postcondition. JB."/>
        <filter val="Raise during conf call. JB"/>
        <filter val="TJJ"/>
        <filter val="Update the sentence as suggested, but no additional example early on. JB"/>
      </filters>
    </filterColumn>
    <filterColumn colId="16">
      <filters>
        <filter val="NOT DONE"/>
      </filters>
    </filterColumn>
  </autoFilter>
  <mergeCells count="17">
    <mergeCell ref="E3:O3"/>
    <mergeCell ref="E10:O10"/>
    <mergeCell ref="A3:D3"/>
    <mergeCell ref="A4:D4"/>
    <mergeCell ref="E4:J4"/>
    <mergeCell ref="A355:U355"/>
    <mergeCell ref="A9:F9"/>
    <mergeCell ref="E5:J5"/>
    <mergeCell ref="E6:J6"/>
    <mergeCell ref="A6:D6"/>
    <mergeCell ref="E11:H11"/>
    <mergeCell ref="L11:O11"/>
    <mergeCell ref="A5:D5"/>
    <mergeCell ref="A7:D7"/>
    <mergeCell ref="E7:J7"/>
    <mergeCell ref="A8:D8"/>
    <mergeCell ref="E8:J8"/>
  </mergeCells>
  <conditionalFormatting sqref="S4:S5 S356:U65652 T1:U19 S21:U354 U20:V20">
    <cfRule type="cellIs" dxfId="22" priority="16" stopIfTrue="1" operator="equal">
      <formula>CheckErr</formula>
    </cfRule>
  </conditionalFormatting>
  <conditionalFormatting sqref="Q21:Q354">
    <cfRule type="expression" dxfId="21" priority="7" stopIfTrue="1">
      <formula>$U21=CheckErr</formula>
    </cfRule>
  </conditionalFormatting>
  <conditionalFormatting sqref="E4:J5 H352:J354 B337:B354 C222:D354 F353:G354 F21:F336 G21:G48 G51:G66 G68:G336 E27:E354">
    <cfRule type="expression" dxfId="20" priority="19" stopIfTrue="1">
      <formula>$S4=CheckErr</formula>
    </cfRule>
  </conditionalFormatting>
  <conditionalFormatting sqref="L21:P354">
    <cfRule type="expression" dxfId="19" priority="23" stopIfTrue="1">
      <formula>$T21=CheckErr</formula>
    </cfRule>
  </conditionalFormatting>
  <conditionalFormatting sqref="P157">
    <cfRule type="expression" dxfId="18" priority="5" stopIfTrue="1">
      <formula>$U157=CheckErr</formula>
    </cfRule>
  </conditionalFormatting>
  <conditionalFormatting sqref="P153">
    <cfRule type="expression" dxfId="17" priority="4" stopIfTrue="1">
      <formula>$U153=CheckErr</formula>
    </cfRule>
  </conditionalFormatting>
  <conditionalFormatting sqref="P265">
    <cfRule type="expression" dxfId="16" priority="3" stopIfTrue="1">
      <formula>$U265=CheckErr</formula>
    </cfRule>
  </conditionalFormatting>
  <conditionalFormatting sqref="P266">
    <cfRule type="expression" dxfId="15" priority="2" stopIfTrue="1">
      <formula>$U266=CheckErr</formula>
    </cfRule>
  </conditionalFormatting>
  <conditionalFormatting sqref="P265">
    <cfRule type="expression" dxfId="14" priority="1" stopIfTrue="1">
      <formula>$U265=CheckErr</formula>
    </cfRule>
  </conditionalFormatting>
  <dataValidations count="10">
    <dataValidation allowBlank="1" showErrorMessage="1" promptTitle="Reviewer Name" prompt="The reviewer should enter their name here when performing a review. When producing a consolidated RRR, the author should set this to 'N/A' (the reviewer names can be found on the 'Metrics' sheet)." sqref="T7 U8 S4:S6"/>
    <dataValidation type="textLength" allowBlank="1" showInputMessage="1" showErrorMessage="1" sqref="P153 P157 P265:P266 Q21:Q354">
      <formula1>2</formula1>
      <formula2>8</formula2>
    </dataValidation>
    <dataValidation type="list" allowBlank="1" showInputMessage="1" showErrorMessage="1" sqref="O21:O354">
      <formula1>"Accepted,Rejected,Duplicate,Noted"</formula1>
    </dataValidation>
    <dataValidation type="list" showInputMessage="1" showErrorMessage="1" sqref="P154:P156 P21:P152 P158:P264 P267:P354">
      <formula1>"Y,y,-"</formula1>
    </dataValidation>
    <dataValidation type="list" allowBlank="1" showInputMessage="1" showErrorMessage="1" sqref="H21:I70 H222:I354">
      <formula1>"01 - Mandatory (Op),02 - Mandatory (Non-Op),03 - Desirable,04 - Observation,05 - Typo,06 - No comment"</formula1>
    </dataValidation>
    <dataValidation operator="greaterThan" allowBlank="1" showInputMessage="1" showErrorMessage="1" sqref="F21:G354"/>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E4:J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E5:J5"/>
    <dataValidation allowBlank="1" showInputMessage="1" showErrorMessage="1" promptTitle="Time Spent" prompt="This data is entered in the &quot;Metrics&quot; sheet." sqref="E6:J8"/>
    <dataValidation type="list" operator="greaterThan" allowBlank="1" showInputMessage="1" showErrorMessage="1" sqref="E21:E354">
      <formula1>"12 - General (Misc),11 - General (Minor), 10 - General (Policy), 9 - General (Rules Relevant),8 - Untargeted,7 - Discussion,6 - Post-Milestone 4,5 - General, 1 - Basic Spec Aspects, 2 - All Package Aspects, 3 - All Subprogram Aspects, 4 - Refinement"</formula1>
    </dataValidation>
  </dataValidations>
  <pageMargins left="0.74803149606299213" right="0.74803149606299213" top="0.98425196850393704" bottom="0.98425196850393704" header="0.51181102362204722" footer="0.51181102362204722"/>
  <pageSetup paperSize="9" scale="34"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1">
    <tabColor rgb="FFFFFF99"/>
    <outlinePr summaryBelow="0" summaryRight="0"/>
    <pageSetUpPr fitToPage="1"/>
  </sheetPr>
  <dimension ref="A1:Q326"/>
  <sheetViews>
    <sheetView zoomScaleNormal="100" workbookViewId="0">
      <selection activeCell="B23" sqref="B23"/>
    </sheetView>
  </sheetViews>
  <sheetFormatPr defaultRowHeight="13.5" outlineLevelCol="1"/>
  <cols>
    <col min="1" max="1" width="18.375" customWidth="1"/>
    <col min="2" max="2" width="49.875" style="110" customWidth="1"/>
    <col min="3" max="3" width="9" style="110" collapsed="1"/>
    <col min="4" max="7" width="9" style="110" hidden="1" customWidth="1" outlineLevel="1"/>
    <col min="8" max="8" width="9" style="110" hidden="1" customWidth="1" outlineLevel="1" collapsed="1"/>
    <col min="9" max="9" width="19.75" style="110" customWidth="1"/>
    <col min="10" max="10" width="18" style="110" customWidth="1"/>
    <col min="11" max="11" width="8.75" style="110" customWidth="1"/>
    <col min="12" max="12" width="19.5" style="110" customWidth="1" collapsed="1"/>
    <col min="13" max="13" width="6.125" hidden="1" customWidth="1" outlineLevel="1"/>
    <col min="14" max="14" width="9" hidden="1" customWidth="1" outlineLevel="1"/>
    <col min="15" max="15" width="7" customWidth="1"/>
    <col min="16" max="16" width="15.25" bestFit="1" customWidth="1"/>
    <col min="17" max="17" width="5.25" customWidth="1"/>
  </cols>
  <sheetData>
    <row r="1" spans="1:17">
      <c r="I1" s="194"/>
    </row>
    <row r="2" spans="1:17">
      <c r="B2" s="193" t="str">
        <f>"Total Checks: " &amp; Checklist_Total</f>
        <v>Total Checks: 11</v>
      </c>
      <c r="C2" s="280" t="str">
        <f>"Checks to complete: "&amp;Checklist_ToGo</f>
        <v>Checks to complete: 11</v>
      </c>
      <c r="D2" s="281"/>
      <c r="E2" s="281"/>
      <c r="F2" s="281"/>
      <c r="G2" s="281"/>
      <c r="H2" s="281"/>
      <c r="I2" s="282"/>
      <c r="J2" s="277" t="str">
        <f>"Checks to Sign-Off: "&amp; Checklist_ToSign</f>
        <v>Checks to Sign-Off: 11</v>
      </c>
      <c r="K2" s="278"/>
      <c r="L2" s="279"/>
      <c r="M2" s="211"/>
      <c r="N2" s="211"/>
    </row>
    <row r="3" spans="1:17" s="194" customFormat="1">
      <c r="B3" s="194">
        <f>COUNTA(A7:A2001)-COUNTIF(A:A,"=Heading")</f>
        <v>11</v>
      </c>
      <c r="I3" s="110"/>
      <c r="J3" s="197"/>
      <c r="K3" s="197"/>
      <c r="L3" s="197"/>
      <c r="M3" s="195">
        <f>COUNTIF(M6:M10001,CheckErr)</f>
        <v>11</v>
      </c>
      <c r="N3" s="195">
        <f>COUNTIF(N6:N10001,CheckErr)</f>
        <v>11</v>
      </c>
      <c r="P3"/>
      <c r="Q3"/>
    </row>
    <row r="4" spans="1:17" ht="27">
      <c r="C4" s="138" t="s">
        <v>146</v>
      </c>
      <c r="D4" s="138" t="s">
        <v>146</v>
      </c>
      <c r="E4" s="138" t="s">
        <v>146</v>
      </c>
      <c r="F4" s="138" t="s">
        <v>146</v>
      </c>
      <c r="G4" s="138" t="s">
        <v>146</v>
      </c>
      <c r="H4" s="138" t="s">
        <v>146</v>
      </c>
      <c r="I4" s="138"/>
      <c r="J4" s="197"/>
      <c r="K4" s="197"/>
      <c r="L4" s="197"/>
      <c r="M4" s="138"/>
      <c r="N4" s="138"/>
    </row>
    <row r="5" spans="1:17" ht="41.25" customHeight="1">
      <c r="A5" s="275" t="str">
        <f>"Checklist based on 
" &amp;   StandardNo1 &amp; IF( StandardNo2="",""," and 
"  &amp; StandardNo2)&amp; IF( StandardNo3="",""," and 
"  &amp; StandardNo3)&amp; IF( StandardNo4="",""," and 
"  &amp; StandardNo4)&amp; IF( StandardNo5="",""," and 
"  &amp; StandardNo5)&amp; IF( StandardNo6="",""," and 
"  &amp; StandardNo6)&amp; IF( StandardNo7="",""," and 
"  &amp; StandardNo7)&amp; IF( StandardNo8="",""," and 
"  &amp; StandardNo8)&amp; IF( StandardNo9="",""," and 
"  &amp; StandardNo9)</f>
        <v>Checklist based on 
Document Review Entry Checks (Review Procedure)</v>
      </c>
      <c r="B5" s="276"/>
      <c r="C5" s="139"/>
      <c r="D5" s="139"/>
      <c r="E5" s="139"/>
      <c r="F5" s="139"/>
      <c r="G5" s="139"/>
      <c r="H5" s="139"/>
      <c r="I5" s="141"/>
      <c r="J5" s="197"/>
      <c r="K5" s="197"/>
      <c r="L5" s="197"/>
      <c r="M5" s="140"/>
      <c r="N5" s="141"/>
    </row>
    <row r="6" spans="1:17" ht="44.25" customHeight="1">
      <c r="A6" s="136" t="s">
        <v>391</v>
      </c>
      <c r="B6" s="136" t="s">
        <v>147</v>
      </c>
      <c r="C6" s="123" t="s">
        <v>148</v>
      </c>
      <c r="D6" s="123" t="s">
        <v>148</v>
      </c>
      <c r="E6" s="123" t="s">
        <v>148</v>
      </c>
      <c r="F6" s="123" t="s">
        <v>148</v>
      </c>
      <c r="G6" s="124" t="s">
        <v>148</v>
      </c>
      <c r="H6" s="123" t="s">
        <v>148</v>
      </c>
      <c r="I6" s="189" t="s">
        <v>392</v>
      </c>
      <c r="J6" s="190" t="s">
        <v>398</v>
      </c>
      <c r="K6" s="190" t="s">
        <v>395</v>
      </c>
      <c r="L6" s="190" t="s">
        <v>416</v>
      </c>
      <c r="M6" s="191" t="s">
        <v>393</v>
      </c>
      <c r="N6" s="191" t="s">
        <v>394</v>
      </c>
      <c r="O6" s="141"/>
      <c r="P6" s="198" t="s">
        <v>428</v>
      </c>
      <c r="Q6" s="199"/>
    </row>
    <row r="7" spans="1:17" ht="19.5">
      <c r="A7" s="106" t="s">
        <v>380</v>
      </c>
      <c r="B7" s="204" t="s">
        <v>381</v>
      </c>
      <c r="C7" s="137"/>
      <c r="D7" s="137"/>
      <c r="E7" s="137"/>
      <c r="F7" s="137"/>
      <c r="G7" s="137"/>
      <c r="H7" s="137"/>
      <c r="I7" s="137"/>
      <c r="J7" s="137"/>
      <c r="K7" s="137"/>
      <c r="L7" s="137"/>
      <c r="M7" s="192" t="str">
        <f t="shared" ref="M7:M70" si="0">IF(OR(A7="",A7="Heading"),"",IF(NOT(AND(C7="",D7="",E7="",F7="",G7="",H7="")),CheckOK,CheckErr))</f>
        <v/>
      </c>
      <c r="N7" s="192" t="str">
        <f t="shared" ref="N7:N70" si="1">IF(OR(A7="",A7="Heading"),"",IF(AND(NOT(J7=""),NOT(K7="")),CheckOK,CheckErr))</f>
        <v/>
      </c>
      <c r="P7" s="193" t="s">
        <v>399</v>
      </c>
      <c r="Q7" s="200">
        <f t="shared" ref="Q7:Q12" si="2">COUNTIF(J:J,P7)</f>
        <v>0</v>
      </c>
    </row>
    <row r="8" spans="1:17" ht="15.75">
      <c r="A8" s="106" t="s">
        <v>382</v>
      </c>
      <c r="B8" s="106" t="s">
        <v>149</v>
      </c>
      <c r="C8" s="137"/>
      <c r="D8" s="137"/>
      <c r="E8" s="137"/>
      <c r="F8" s="137"/>
      <c r="G8" s="137"/>
      <c r="H8" s="137"/>
      <c r="I8" s="137"/>
      <c r="J8" s="137"/>
      <c r="K8" s="137"/>
      <c r="L8" s="137"/>
      <c r="M8" s="192" t="str">
        <f t="shared" si="0"/>
        <v>!</v>
      </c>
      <c r="N8" s="192" t="str">
        <f t="shared" si="1"/>
        <v>!</v>
      </c>
      <c r="P8" s="193" t="s">
        <v>429</v>
      </c>
      <c r="Q8" s="200">
        <f t="shared" si="2"/>
        <v>0</v>
      </c>
    </row>
    <row r="9" spans="1:17" ht="15.75">
      <c r="A9" s="106" t="s">
        <v>382</v>
      </c>
      <c r="B9" s="106" t="s">
        <v>168</v>
      </c>
      <c r="C9" s="137"/>
      <c r="D9" s="137"/>
      <c r="E9" s="137"/>
      <c r="F9" s="137"/>
      <c r="G9" s="137"/>
      <c r="H9" s="137"/>
      <c r="I9" s="137"/>
      <c r="J9" s="137"/>
      <c r="K9" s="137"/>
      <c r="L9" s="137"/>
      <c r="M9" s="192" t="str">
        <f t="shared" si="0"/>
        <v>!</v>
      </c>
      <c r="N9" s="192" t="str">
        <f t="shared" si="1"/>
        <v>!</v>
      </c>
      <c r="P9" s="193" t="s">
        <v>430</v>
      </c>
      <c r="Q9" s="200">
        <f t="shared" si="2"/>
        <v>0</v>
      </c>
    </row>
    <row r="10" spans="1:17" ht="27">
      <c r="A10" s="106" t="s">
        <v>382</v>
      </c>
      <c r="B10" s="106" t="s">
        <v>150</v>
      </c>
      <c r="C10" s="137"/>
      <c r="D10" s="137"/>
      <c r="E10" s="137"/>
      <c r="F10" s="137"/>
      <c r="G10" s="137"/>
      <c r="H10" s="137"/>
      <c r="I10" s="137"/>
      <c r="J10" s="137"/>
      <c r="K10" s="137"/>
      <c r="L10" s="137"/>
      <c r="M10" s="192" t="str">
        <f t="shared" si="0"/>
        <v>!</v>
      </c>
      <c r="N10" s="192" t="str">
        <f t="shared" si="1"/>
        <v>!</v>
      </c>
      <c r="P10" s="193" t="s">
        <v>400</v>
      </c>
      <c r="Q10" s="200">
        <f t="shared" si="2"/>
        <v>0</v>
      </c>
    </row>
    <row r="11" spans="1:17" ht="15.75">
      <c r="A11" s="106" t="s">
        <v>382</v>
      </c>
      <c r="B11" s="106" t="s">
        <v>151</v>
      </c>
      <c r="C11" s="137"/>
      <c r="D11" s="137"/>
      <c r="E11" s="137"/>
      <c r="F11" s="137"/>
      <c r="G11" s="137"/>
      <c r="H11" s="137"/>
      <c r="I11" s="137"/>
      <c r="J11" s="137"/>
      <c r="K11" s="137"/>
      <c r="L11" s="137"/>
      <c r="M11" s="192" t="str">
        <f t="shared" si="0"/>
        <v>!</v>
      </c>
      <c r="N11" s="192" t="str">
        <f t="shared" si="1"/>
        <v>!</v>
      </c>
      <c r="P11" s="193" t="s">
        <v>401</v>
      </c>
      <c r="Q11" s="200">
        <f t="shared" si="2"/>
        <v>0</v>
      </c>
    </row>
    <row r="12" spans="1:17" ht="27">
      <c r="A12" s="106" t="s">
        <v>382</v>
      </c>
      <c r="B12" s="106" t="s">
        <v>383</v>
      </c>
      <c r="C12" s="137"/>
      <c r="D12" s="137"/>
      <c r="E12" s="137"/>
      <c r="F12" s="137"/>
      <c r="G12" s="137"/>
      <c r="H12" s="137"/>
      <c r="I12" s="137"/>
      <c r="J12" s="137"/>
      <c r="K12" s="137"/>
      <c r="L12" s="137"/>
      <c r="M12" s="192" t="str">
        <f t="shared" si="0"/>
        <v>!</v>
      </c>
      <c r="N12" s="192" t="str">
        <f t="shared" si="1"/>
        <v>!</v>
      </c>
      <c r="P12" s="193" t="s">
        <v>554</v>
      </c>
      <c r="Q12" s="200">
        <f t="shared" si="2"/>
        <v>0</v>
      </c>
    </row>
    <row r="13" spans="1:17" ht="27">
      <c r="A13" s="106" t="s">
        <v>382</v>
      </c>
      <c r="B13" s="106" t="s">
        <v>384</v>
      </c>
      <c r="C13" s="137"/>
      <c r="D13" s="137"/>
      <c r="E13" s="137"/>
      <c r="F13" s="137"/>
      <c r="G13" s="137"/>
      <c r="H13" s="137"/>
      <c r="I13" s="137"/>
      <c r="J13" s="137"/>
      <c r="K13" s="137"/>
      <c r="L13" s="137"/>
      <c r="M13" s="192" t="str">
        <f t="shared" si="0"/>
        <v>!</v>
      </c>
      <c r="N13" s="192" t="str">
        <f t="shared" si="1"/>
        <v>!</v>
      </c>
    </row>
    <row r="14" spans="1:17" ht="15.75">
      <c r="A14" s="106" t="s">
        <v>382</v>
      </c>
      <c r="B14" s="106" t="s">
        <v>571</v>
      </c>
      <c r="C14" s="137"/>
      <c r="D14" s="137"/>
      <c r="E14" s="137"/>
      <c r="F14" s="137"/>
      <c r="G14" s="137"/>
      <c r="H14" s="137"/>
      <c r="I14" s="137"/>
      <c r="J14" s="137"/>
      <c r="K14" s="137"/>
      <c r="L14" s="137"/>
      <c r="M14" s="192" t="str">
        <f t="shared" si="0"/>
        <v>!</v>
      </c>
      <c r="N14" s="192" t="str">
        <f t="shared" si="1"/>
        <v>!</v>
      </c>
    </row>
    <row r="15" spans="1:17" ht="27">
      <c r="A15" s="106" t="s">
        <v>382</v>
      </c>
      <c r="B15" s="106" t="s">
        <v>385</v>
      </c>
      <c r="C15" s="137"/>
      <c r="D15" s="137"/>
      <c r="E15" s="137"/>
      <c r="F15" s="137"/>
      <c r="G15" s="137"/>
      <c r="H15" s="137"/>
      <c r="I15" s="137"/>
      <c r="J15" s="137"/>
      <c r="K15" s="137"/>
      <c r="L15" s="137"/>
      <c r="M15" s="192" t="str">
        <f t="shared" si="0"/>
        <v>!</v>
      </c>
      <c r="N15" s="192" t="str">
        <f t="shared" si="1"/>
        <v>!</v>
      </c>
    </row>
    <row r="16" spans="1:17" ht="27">
      <c r="A16" s="106" t="s">
        <v>382</v>
      </c>
      <c r="B16" s="106" t="s">
        <v>386</v>
      </c>
      <c r="C16" s="137"/>
      <c r="D16" s="137"/>
      <c r="E16" s="137"/>
      <c r="F16" s="137"/>
      <c r="G16" s="137"/>
      <c r="H16" s="137"/>
      <c r="I16" s="137"/>
      <c r="J16" s="137"/>
      <c r="K16" s="137"/>
      <c r="L16" s="137"/>
      <c r="M16" s="192" t="str">
        <f t="shared" si="0"/>
        <v>!</v>
      </c>
      <c r="N16" s="192" t="str">
        <f t="shared" si="1"/>
        <v>!</v>
      </c>
    </row>
    <row r="17" spans="1:14" ht="27">
      <c r="A17" s="106" t="s">
        <v>382</v>
      </c>
      <c r="B17" s="106" t="s">
        <v>387</v>
      </c>
      <c r="C17" s="137"/>
      <c r="D17" s="137"/>
      <c r="E17" s="137"/>
      <c r="F17" s="137"/>
      <c r="G17" s="137"/>
      <c r="H17" s="137"/>
      <c r="I17" s="137"/>
      <c r="J17" s="137"/>
      <c r="K17" s="137"/>
      <c r="L17" s="137"/>
      <c r="M17" s="192" t="str">
        <f t="shared" si="0"/>
        <v>!</v>
      </c>
      <c r="N17" s="192" t="str">
        <f t="shared" si="1"/>
        <v>!</v>
      </c>
    </row>
    <row r="18" spans="1:14" ht="15.75">
      <c r="A18" s="106" t="s">
        <v>382</v>
      </c>
      <c r="B18" s="106" t="s">
        <v>388</v>
      </c>
      <c r="C18" s="137"/>
      <c r="D18" s="137"/>
      <c r="E18" s="137"/>
      <c r="F18" s="137"/>
      <c r="G18" s="137"/>
      <c r="H18" s="137"/>
      <c r="I18" s="137"/>
      <c r="J18" s="137"/>
      <c r="K18" s="137"/>
      <c r="L18" s="137"/>
      <c r="M18" s="192" t="str">
        <f t="shared" si="0"/>
        <v>!</v>
      </c>
      <c r="N18" s="192" t="str">
        <f t="shared" si="1"/>
        <v>!</v>
      </c>
    </row>
    <row r="19" spans="1:14" ht="15.75">
      <c r="A19" s="106"/>
      <c r="B19" s="106"/>
      <c r="C19" s="137"/>
      <c r="D19" s="137"/>
      <c r="E19" s="137"/>
      <c r="F19" s="137"/>
      <c r="G19" s="137"/>
      <c r="H19" s="137"/>
      <c r="I19" s="137"/>
      <c r="J19" s="137"/>
      <c r="K19" s="137"/>
      <c r="L19" s="137"/>
      <c r="M19" s="192" t="str">
        <f t="shared" si="0"/>
        <v/>
      </c>
      <c r="N19" s="192" t="str">
        <f t="shared" si="1"/>
        <v/>
      </c>
    </row>
    <row r="20" spans="1:14" ht="15.75">
      <c r="A20" s="106"/>
      <c r="B20" s="106"/>
      <c r="C20" s="137"/>
      <c r="D20" s="137"/>
      <c r="E20" s="137"/>
      <c r="F20" s="137"/>
      <c r="G20" s="137"/>
      <c r="H20" s="137"/>
      <c r="I20" s="137"/>
      <c r="J20" s="137"/>
      <c r="K20" s="137"/>
      <c r="L20" s="137"/>
      <c r="M20" s="192" t="str">
        <f t="shared" si="0"/>
        <v/>
      </c>
      <c r="N20" s="192" t="str">
        <f t="shared" si="1"/>
        <v/>
      </c>
    </row>
    <row r="21" spans="1:14" ht="15.75">
      <c r="A21" s="106"/>
      <c r="B21" s="106"/>
      <c r="C21" s="137"/>
      <c r="D21" s="137"/>
      <c r="E21" s="137"/>
      <c r="F21" s="137"/>
      <c r="G21" s="137"/>
      <c r="H21" s="137"/>
      <c r="I21" s="137"/>
      <c r="J21" s="137"/>
      <c r="K21" s="137"/>
      <c r="L21" s="137"/>
      <c r="M21" s="192" t="str">
        <f t="shared" si="0"/>
        <v/>
      </c>
      <c r="N21" s="192" t="str">
        <f t="shared" si="1"/>
        <v/>
      </c>
    </row>
    <row r="22" spans="1:14" ht="15.75">
      <c r="A22" s="106"/>
      <c r="B22" s="106"/>
      <c r="C22" s="137"/>
      <c r="D22" s="137"/>
      <c r="E22" s="137"/>
      <c r="F22" s="137"/>
      <c r="G22" s="137"/>
      <c r="H22" s="137"/>
      <c r="I22" s="137"/>
      <c r="J22" s="137"/>
      <c r="K22" s="137"/>
      <c r="L22" s="137"/>
      <c r="M22" s="192" t="str">
        <f t="shared" si="0"/>
        <v/>
      </c>
      <c r="N22" s="192" t="str">
        <f t="shared" si="1"/>
        <v/>
      </c>
    </row>
    <row r="23" spans="1:14" ht="15.75">
      <c r="A23" s="106"/>
      <c r="B23" s="106"/>
      <c r="C23" s="137"/>
      <c r="D23" s="137"/>
      <c r="E23" s="137"/>
      <c r="F23" s="137"/>
      <c r="G23" s="137"/>
      <c r="H23" s="137"/>
      <c r="I23" s="137"/>
      <c r="J23" s="137"/>
      <c r="K23" s="137"/>
      <c r="L23" s="137"/>
      <c r="M23" s="192" t="str">
        <f t="shared" si="0"/>
        <v/>
      </c>
      <c r="N23" s="192" t="str">
        <f t="shared" si="1"/>
        <v/>
      </c>
    </row>
    <row r="24" spans="1:14" ht="15.75">
      <c r="A24" s="106"/>
      <c r="B24" s="106"/>
      <c r="C24" s="137"/>
      <c r="D24" s="137"/>
      <c r="E24" s="137"/>
      <c r="F24" s="137"/>
      <c r="G24" s="137"/>
      <c r="H24" s="137"/>
      <c r="I24" s="137"/>
      <c r="J24" s="137"/>
      <c r="K24" s="137"/>
      <c r="L24" s="137"/>
      <c r="M24" s="192" t="str">
        <f t="shared" si="0"/>
        <v/>
      </c>
      <c r="N24" s="192" t="str">
        <f t="shared" si="1"/>
        <v/>
      </c>
    </row>
    <row r="25" spans="1:14" ht="15.75">
      <c r="A25" s="106"/>
      <c r="B25" s="106"/>
      <c r="C25" s="137"/>
      <c r="D25" s="137"/>
      <c r="E25" s="137"/>
      <c r="F25" s="137"/>
      <c r="G25" s="137"/>
      <c r="H25" s="137"/>
      <c r="I25" s="137"/>
      <c r="J25" s="137"/>
      <c r="K25" s="137"/>
      <c r="L25" s="137"/>
      <c r="M25" s="192" t="str">
        <f t="shared" si="0"/>
        <v/>
      </c>
      <c r="N25" s="192" t="str">
        <f t="shared" si="1"/>
        <v/>
      </c>
    </row>
    <row r="26" spans="1:14" ht="15.75">
      <c r="A26" s="106"/>
      <c r="B26" s="106"/>
      <c r="C26" s="137"/>
      <c r="D26" s="137"/>
      <c r="E26" s="137"/>
      <c r="F26" s="137"/>
      <c r="G26" s="137"/>
      <c r="H26" s="137"/>
      <c r="I26" s="137"/>
      <c r="J26" s="137"/>
      <c r="K26" s="137"/>
      <c r="L26" s="137"/>
      <c r="M26" s="192" t="str">
        <f t="shared" si="0"/>
        <v/>
      </c>
      <c r="N26" s="192" t="str">
        <f t="shared" si="1"/>
        <v/>
      </c>
    </row>
    <row r="27" spans="1:14" ht="15.75">
      <c r="A27" s="106"/>
      <c r="B27" s="106"/>
      <c r="C27" s="137"/>
      <c r="D27" s="137"/>
      <c r="E27" s="137"/>
      <c r="F27" s="137"/>
      <c r="G27" s="137"/>
      <c r="H27" s="137"/>
      <c r="I27" s="137"/>
      <c r="J27" s="137"/>
      <c r="K27" s="137"/>
      <c r="L27" s="137"/>
      <c r="M27" s="192" t="str">
        <f t="shared" si="0"/>
        <v/>
      </c>
      <c r="N27" s="192" t="str">
        <f t="shared" si="1"/>
        <v/>
      </c>
    </row>
    <row r="28" spans="1:14" ht="15.75">
      <c r="A28" s="106"/>
      <c r="B28" s="106"/>
      <c r="C28" s="137"/>
      <c r="D28" s="137"/>
      <c r="E28" s="137"/>
      <c r="F28" s="137"/>
      <c r="G28" s="137"/>
      <c r="H28" s="137"/>
      <c r="I28" s="137"/>
      <c r="J28" s="137"/>
      <c r="K28" s="137"/>
      <c r="L28" s="137"/>
      <c r="M28" s="192" t="str">
        <f t="shared" si="0"/>
        <v/>
      </c>
      <c r="N28" s="192" t="str">
        <f t="shared" si="1"/>
        <v/>
      </c>
    </row>
    <row r="29" spans="1:14" ht="15.75">
      <c r="A29" s="106"/>
      <c r="B29" s="106"/>
      <c r="C29" s="137"/>
      <c r="D29" s="137"/>
      <c r="E29" s="137"/>
      <c r="F29" s="137"/>
      <c r="G29" s="137"/>
      <c r="H29" s="137"/>
      <c r="I29" s="137"/>
      <c r="J29" s="137"/>
      <c r="K29" s="137"/>
      <c r="L29" s="137"/>
      <c r="M29" s="192" t="str">
        <f t="shared" si="0"/>
        <v/>
      </c>
      <c r="N29" s="192" t="str">
        <f t="shared" si="1"/>
        <v/>
      </c>
    </row>
    <row r="30" spans="1:14" ht="15.75">
      <c r="A30" s="106"/>
      <c r="B30" s="106"/>
      <c r="C30" s="137"/>
      <c r="D30" s="137"/>
      <c r="E30" s="137"/>
      <c r="F30" s="137"/>
      <c r="G30" s="137"/>
      <c r="H30" s="137"/>
      <c r="I30" s="137"/>
      <c r="J30" s="137"/>
      <c r="K30" s="137"/>
      <c r="L30" s="137"/>
      <c r="M30" s="192" t="str">
        <f t="shared" si="0"/>
        <v/>
      </c>
      <c r="N30" s="192" t="str">
        <f t="shared" si="1"/>
        <v/>
      </c>
    </row>
    <row r="31" spans="1:14" ht="15.75">
      <c r="A31" s="106"/>
      <c r="B31" s="106"/>
      <c r="C31" s="137"/>
      <c r="D31" s="137"/>
      <c r="E31" s="137"/>
      <c r="F31" s="137"/>
      <c r="G31" s="137"/>
      <c r="H31" s="137"/>
      <c r="I31" s="137"/>
      <c r="J31" s="137"/>
      <c r="K31" s="137"/>
      <c r="L31" s="137"/>
      <c r="M31" s="192" t="str">
        <f t="shared" si="0"/>
        <v/>
      </c>
      <c r="N31" s="192" t="str">
        <f t="shared" si="1"/>
        <v/>
      </c>
    </row>
    <row r="32" spans="1:14" ht="15.75">
      <c r="A32" s="106"/>
      <c r="B32" s="106"/>
      <c r="C32" s="137"/>
      <c r="D32" s="137"/>
      <c r="E32" s="137"/>
      <c r="F32" s="137"/>
      <c r="G32" s="137"/>
      <c r="H32" s="137"/>
      <c r="I32" s="137"/>
      <c r="J32" s="137"/>
      <c r="K32" s="137"/>
      <c r="L32" s="137"/>
      <c r="M32" s="192" t="str">
        <f t="shared" si="0"/>
        <v/>
      </c>
      <c r="N32" s="192" t="str">
        <f t="shared" si="1"/>
        <v/>
      </c>
    </row>
    <row r="33" spans="1:14" ht="15.75">
      <c r="A33" s="106"/>
      <c r="B33" s="106"/>
      <c r="C33" s="137"/>
      <c r="D33" s="137"/>
      <c r="E33" s="137"/>
      <c r="F33" s="137"/>
      <c r="G33" s="137"/>
      <c r="H33" s="137"/>
      <c r="I33" s="137"/>
      <c r="J33" s="137"/>
      <c r="K33" s="137"/>
      <c r="L33" s="137"/>
      <c r="M33" s="192" t="str">
        <f t="shared" si="0"/>
        <v/>
      </c>
      <c r="N33" s="192" t="str">
        <f t="shared" si="1"/>
        <v/>
      </c>
    </row>
    <row r="34" spans="1:14" ht="15.75">
      <c r="A34" s="106"/>
      <c r="B34" s="106"/>
      <c r="C34" s="137"/>
      <c r="D34" s="137"/>
      <c r="E34" s="137"/>
      <c r="F34" s="137"/>
      <c r="G34" s="137"/>
      <c r="H34" s="137"/>
      <c r="I34" s="137"/>
      <c r="J34" s="137"/>
      <c r="K34" s="137"/>
      <c r="L34" s="137"/>
      <c r="M34" s="192" t="str">
        <f t="shared" si="0"/>
        <v/>
      </c>
      <c r="N34" s="192" t="str">
        <f t="shared" si="1"/>
        <v/>
      </c>
    </row>
    <row r="35" spans="1:14" ht="15.75">
      <c r="A35" s="106"/>
      <c r="B35" s="106"/>
      <c r="C35" s="137"/>
      <c r="D35" s="137"/>
      <c r="E35" s="137"/>
      <c r="F35" s="137"/>
      <c r="G35" s="137"/>
      <c r="H35" s="137"/>
      <c r="I35" s="137"/>
      <c r="J35" s="137"/>
      <c r="K35" s="137"/>
      <c r="L35" s="137"/>
      <c r="M35" s="192" t="str">
        <f t="shared" si="0"/>
        <v/>
      </c>
      <c r="N35" s="192" t="str">
        <f t="shared" si="1"/>
        <v/>
      </c>
    </row>
    <row r="36" spans="1:14" ht="15.75">
      <c r="A36" s="106"/>
      <c r="B36" s="106"/>
      <c r="C36" s="137"/>
      <c r="D36" s="137"/>
      <c r="E36" s="137"/>
      <c r="F36" s="137"/>
      <c r="G36" s="137"/>
      <c r="H36" s="137"/>
      <c r="I36" s="137"/>
      <c r="J36" s="137"/>
      <c r="K36" s="137"/>
      <c r="L36" s="137"/>
      <c r="M36" s="192" t="str">
        <f t="shared" si="0"/>
        <v/>
      </c>
      <c r="N36" s="192" t="str">
        <f t="shared" si="1"/>
        <v/>
      </c>
    </row>
    <row r="37" spans="1:14" ht="15.75">
      <c r="A37" s="106"/>
      <c r="B37" s="106"/>
      <c r="C37" s="137"/>
      <c r="D37" s="137"/>
      <c r="E37" s="137"/>
      <c r="F37" s="137"/>
      <c r="G37" s="137"/>
      <c r="H37" s="137"/>
      <c r="I37" s="137"/>
      <c r="J37" s="137"/>
      <c r="K37" s="137"/>
      <c r="L37" s="137"/>
      <c r="M37" s="192" t="str">
        <f t="shared" si="0"/>
        <v/>
      </c>
      <c r="N37" s="192" t="str">
        <f t="shared" si="1"/>
        <v/>
      </c>
    </row>
    <row r="38" spans="1:14" ht="15.75">
      <c r="A38" s="106"/>
      <c r="B38" s="106"/>
      <c r="C38" s="137"/>
      <c r="D38" s="137"/>
      <c r="E38" s="137"/>
      <c r="F38" s="137"/>
      <c r="G38" s="137"/>
      <c r="H38" s="137"/>
      <c r="I38" s="137"/>
      <c r="J38" s="137"/>
      <c r="K38" s="137"/>
      <c r="L38" s="137"/>
      <c r="M38" s="192" t="str">
        <f t="shared" si="0"/>
        <v/>
      </c>
      <c r="N38" s="192" t="str">
        <f t="shared" si="1"/>
        <v/>
      </c>
    </row>
    <row r="39" spans="1:14" ht="15.75">
      <c r="A39" s="106"/>
      <c r="B39" s="106"/>
      <c r="C39" s="137"/>
      <c r="D39" s="137"/>
      <c r="E39" s="137"/>
      <c r="F39" s="137"/>
      <c r="G39" s="137"/>
      <c r="H39" s="137"/>
      <c r="I39" s="137"/>
      <c r="J39" s="137"/>
      <c r="K39" s="137"/>
      <c r="L39" s="137"/>
      <c r="M39" s="192" t="str">
        <f t="shared" si="0"/>
        <v/>
      </c>
      <c r="N39" s="192" t="str">
        <f t="shared" si="1"/>
        <v/>
      </c>
    </row>
    <row r="40" spans="1:14" ht="15.75">
      <c r="A40" s="106"/>
      <c r="B40" s="106"/>
      <c r="C40" s="137"/>
      <c r="D40" s="137"/>
      <c r="E40" s="137"/>
      <c r="F40" s="137"/>
      <c r="G40" s="137"/>
      <c r="H40" s="137"/>
      <c r="I40" s="137"/>
      <c r="J40" s="137"/>
      <c r="K40" s="137"/>
      <c r="L40" s="137"/>
      <c r="M40" s="192" t="str">
        <f t="shared" si="0"/>
        <v/>
      </c>
      <c r="N40" s="192" t="str">
        <f t="shared" si="1"/>
        <v/>
      </c>
    </row>
    <row r="41" spans="1:14" ht="15.75">
      <c r="A41" s="106"/>
      <c r="B41" s="106"/>
      <c r="C41" s="137"/>
      <c r="D41" s="137"/>
      <c r="E41" s="137"/>
      <c r="F41" s="137"/>
      <c r="G41" s="137"/>
      <c r="H41" s="137"/>
      <c r="I41" s="137"/>
      <c r="J41" s="137"/>
      <c r="K41" s="137"/>
      <c r="L41" s="137"/>
      <c r="M41" s="192" t="str">
        <f t="shared" si="0"/>
        <v/>
      </c>
      <c r="N41" s="192" t="str">
        <f t="shared" si="1"/>
        <v/>
      </c>
    </row>
    <row r="42" spans="1:14" ht="15.75">
      <c r="A42" s="106"/>
      <c r="B42" s="106"/>
      <c r="C42" s="137"/>
      <c r="D42" s="137"/>
      <c r="E42" s="137"/>
      <c r="F42" s="137"/>
      <c r="G42" s="137"/>
      <c r="H42" s="137"/>
      <c r="I42" s="137"/>
      <c r="J42" s="137"/>
      <c r="K42" s="137"/>
      <c r="L42" s="137"/>
      <c r="M42" s="192" t="str">
        <f t="shared" si="0"/>
        <v/>
      </c>
      <c r="N42" s="192" t="str">
        <f t="shared" si="1"/>
        <v/>
      </c>
    </row>
    <row r="43" spans="1:14" ht="15.75">
      <c r="A43" s="106"/>
      <c r="B43" s="106"/>
      <c r="C43" s="137"/>
      <c r="D43" s="137"/>
      <c r="E43" s="137"/>
      <c r="F43" s="137"/>
      <c r="G43" s="137"/>
      <c r="H43" s="137"/>
      <c r="I43" s="137"/>
      <c r="J43" s="137"/>
      <c r="K43" s="137"/>
      <c r="L43" s="137"/>
      <c r="M43" s="192" t="str">
        <f t="shared" si="0"/>
        <v/>
      </c>
      <c r="N43" s="192" t="str">
        <f t="shared" si="1"/>
        <v/>
      </c>
    </row>
    <row r="44" spans="1:14" ht="15.75">
      <c r="A44" s="106"/>
      <c r="B44" s="106"/>
      <c r="C44" s="137"/>
      <c r="D44" s="137"/>
      <c r="E44" s="137"/>
      <c r="F44" s="137"/>
      <c r="G44" s="137"/>
      <c r="H44" s="137"/>
      <c r="I44" s="137"/>
      <c r="J44" s="137"/>
      <c r="K44" s="137"/>
      <c r="L44" s="137"/>
      <c r="M44" s="192" t="str">
        <f t="shared" si="0"/>
        <v/>
      </c>
      <c r="N44" s="192" t="str">
        <f t="shared" si="1"/>
        <v/>
      </c>
    </row>
    <row r="45" spans="1:14" ht="15.75">
      <c r="A45" s="106"/>
      <c r="B45" s="106"/>
      <c r="C45" s="137"/>
      <c r="D45" s="137"/>
      <c r="E45" s="137"/>
      <c r="F45" s="137"/>
      <c r="G45" s="137"/>
      <c r="H45" s="137"/>
      <c r="I45" s="137"/>
      <c r="J45" s="137"/>
      <c r="K45" s="137"/>
      <c r="L45" s="137"/>
      <c r="M45" s="192" t="str">
        <f t="shared" si="0"/>
        <v/>
      </c>
      <c r="N45" s="192" t="str">
        <f t="shared" si="1"/>
        <v/>
      </c>
    </row>
    <row r="46" spans="1:14" ht="15.75">
      <c r="A46" s="106"/>
      <c r="B46" s="106"/>
      <c r="C46" s="137"/>
      <c r="D46" s="137"/>
      <c r="E46" s="137"/>
      <c r="F46" s="137"/>
      <c r="G46" s="137"/>
      <c r="H46" s="137"/>
      <c r="I46" s="137"/>
      <c r="J46" s="137"/>
      <c r="K46" s="137"/>
      <c r="L46" s="137"/>
      <c r="M46" s="192" t="str">
        <f t="shared" si="0"/>
        <v/>
      </c>
      <c r="N46" s="192" t="str">
        <f t="shared" si="1"/>
        <v/>
      </c>
    </row>
    <row r="47" spans="1:14" ht="15.75">
      <c r="A47" s="106"/>
      <c r="B47" s="106"/>
      <c r="C47" s="137"/>
      <c r="D47" s="137"/>
      <c r="E47" s="137"/>
      <c r="F47" s="137"/>
      <c r="G47" s="137"/>
      <c r="H47" s="137"/>
      <c r="I47" s="137"/>
      <c r="J47" s="137"/>
      <c r="K47" s="137"/>
      <c r="L47" s="137"/>
      <c r="M47" s="192" t="str">
        <f t="shared" si="0"/>
        <v/>
      </c>
      <c r="N47" s="192" t="str">
        <f t="shared" si="1"/>
        <v/>
      </c>
    </row>
    <row r="48" spans="1:14" ht="15.75">
      <c r="A48" s="106"/>
      <c r="B48" s="106"/>
      <c r="C48" s="137"/>
      <c r="D48" s="137"/>
      <c r="E48" s="137"/>
      <c r="F48" s="137"/>
      <c r="G48" s="137"/>
      <c r="H48" s="137"/>
      <c r="I48" s="137"/>
      <c r="J48" s="137"/>
      <c r="K48" s="137"/>
      <c r="L48" s="137"/>
      <c r="M48" s="192" t="str">
        <f t="shared" si="0"/>
        <v/>
      </c>
      <c r="N48" s="192" t="str">
        <f t="shared" si="1"/>
        <v/>
      </c>
    </row>
    <row r="49" spans="1:14" ht="19.5">
      <c r="A49" s="106"/>
      <c r="B49" s="204"/>
      <c r="C49" s="137"/>
      <c r="D49" s="137"/>
      <c r="E49" s="137"/>
      <c r="F49" s="137"/>
      <c r="G49" s="137"/>
      <c r="H49" s="137"/>
      <c r="I49" s="137"/>
      <c r="J49" s="137"/>
      <c r="K49" s="137"/>
      <c r="L49" s="137"/>
      <c r="M49" s="192" t="str">
        <f t="shared" si="0"/>
        <v/>
      </c>
      <c r="N49" s="192" t="str">
        <f t="shared" si="1"/>
        <v/>
      </c>
    </row>
    <row r="50" spans="1:14" ht="15.75">
      <c r="A50" s="106"/>
      <c r="B50" s="106"/>
      <c r="C50" s="137"/>
      <c r="D50" s="137"/>
      <c r="E50" s="137"/>
      <c r="F50" s="137"/>
      <c r="G50" s="137"/>
      <c r="H50" s="137"/>
      <c r="I50" s="137"/>
      <c r="J50" s="137"/>
      <c r="K50" s="137"/>
      <c r="L50" s="137"/>
      <c r="M50" s="192" t="str">
        <f t="shared" si="0"/>
        <v/>
      </c>
      <c r="N50" s="192" t="str">
        <f t="shared" si="1"/>
        <v/>
      </c>
    </row>
    <row r="51" spans="1:14" ht="15.75">
      <c r="A51" s="106"/>
      <c r="B51" s="106"/>
      <c r="C51" s="137"/>
      <c r="D51" s="137"/>
      <c r="E51" s="137"/>
      <c r="F51" s="137"/>
      <c r="G51" s="137"/>
      <c r="H51" s="137"/>
      <c r="I51" s="137"/>
      <c r="J51" s="137"/>
      <c r="K51" s="137"/>
      <c r="L51" s="137"/>
      <c r="M51" s="192" t="str">
        <f t="shared" si="0"/>
        <v/>
      </c>
      <c r="N51" s="192" t="str">
        <f t="shared" si="1"/>
        <v/>
      </c>
    </row>
    <row r="52" spans="1:14" ht="15.75">
      <c r="A52" s="106"/>
      <c r="B52" s="106"/>
      <c r="C52" s="137"/>
      <c r="D52" s="137"/>
      <c r="E52" s="137"/>
      <c r="F52" s="137"/>
      <c r="G52" s="137"/>
      <c r="H52" s="137"/>
      <c r="I52" s="137"/>
      <c r="J52" s="137"/>
      <c r="K52" s="137"/>
      <c r="L52" s="137"/>
      <c r="M52" s="192" t="str">
        <f t="shared" si="0"/>
        <v/>
      </c>
      <c r="N52" s="192" t="str">
        <f t="shared" si="1"/>
        <v/>
      </c>
    </row>
    <row r="53" spans="1:14" ht="15.75">
      <c r="A53" s="106"/>
      <c r="B53" s="106"/>
      <c r="C53" s="137"/>
      <c r="D53" s="137"/>
      <c r="E53" s="137"/>
      <c r="F53" s="137"/>
      <c r="G53" s="137"/>
      <c r="H53" s="137"/>
      <c r="I53" s="137"/>
      <c r="J53" s="137"/>
      <c r="K53" s="137"/>
      <c r="L53" s="137"/>
      <c r="M53" s="192" t="str">
        <f t="shared" si="0"/>
        <v/>
      </c>
      <c r="N53" s="192" t="str">
        <f t="shared" si="1"/>
        <v/>
      </c>
    </row>
    <row r="54" spans="1:14" ht="15.75">
      <c r="A54" s="106"/>
      <c r="B54" s="106"/>
      <c r="C54" s="137"/>
      <c r="D54" s="137"/>
      <c r="E54" s="137"/>
      <c r="F54" s="137"/>
      <c r="G54" s="137"/>
      <c r="H54" s="137"/>
      <c r="I54" s="137"/>
      <c r="J54" s="137"/>
      <c r="K54" s="137"/>
      <c r="L54" s="137"/>
      <c r="M54" s="192" t="str">
        <f t="shared" si="0"/>
        <v/>
      </c>
      <c r="N54" s="192" t="str">
        <f t="shared" si="1"/>
        <v/>
      </c>
    </row>
    <row r="55" spans="1:14" ht="15.75">
      <c r="A55" s="106"/>
      <c r="B55" s="106"/>
      <c r="C55" s="137"/>
      <c r="D55" s="137"/>
      <c r="E55" s="137"/>
      <c r="F55" s="137"/>
      <c r="G55" s="137"/>
      <c r="H55" s="137"/>
      <c r="I55" s="137"/>
      <c r="J55" s="137"/>
      <c r="K55" s="137"/>
      <c r="L55" s="137"/>
      <c r="M55" s="192" t="str">
        <f t="shared" si="0"/>
        <v/>
      </c>
      <c r="N55" s="192" t="str">
        <f t="shared" si="1"/>
        <v/>
      </c>
    </row>
    <row r="56" spans="1:14" ht="15.75">
      <c r="A56" s="106"/>
      <c r="B56" s="106"/>
      <c r="C56" s="137"/>
      <c r="D56" s="137"/>
      <c r="E56" s="137"/>
      <c r="F56" s="137"/>
      <c r="G56" s="137"/>
      <c r="H56" s="137"/>
      <c r="I56" s="137"/>
      <c r="J56" s="137"/>
      <c r="K56" s="137"/>
      <c r="L56" s="137"/>
      <c r="M56" s="192" t="str">
        <f t="shared" si="0"/>
        <v/>
      </c>
      <c r="N56" s="192" t="str">
        <f t="shared" si="1"/>
        <v/>
      </c>
    </row>
    <row r="57" spans="1:14" ht="15.75">
      <c r="A57" s="106"/>
      <c r="B57" s="106"/>
      <c r="C57" s="137"/>
      <c r="D57" s="137"/>
      <c r="E57" s="137"/>
      <c r="F57" s="137"/>
      <c r="G57" s="137"/>
      <c r="H57" s="137"/>
      <c r="I57" s="137"/>
      <c r="J57" s="137"/>
      <c r="K57" s="137"/>
      <c r="L57" s="137"/>
      <c r="M57" s="192" t="str">
        <f t="shared" si="0"/>
        <v/>
      </c>
      <c r="N57" s="192" t="str">
        <f t="shared" si="1"/>
        <v/>
      </c>
    </row>
    <row r="58" spans="1:14" ht="15.75">
      <c r="A58" s="106"/>
      <c r="B58" s="106"/>
      <c r="C58" s="137"/>
      <c r="D58" s="137"/>
      <c r="E58" s="137"/>
      <c r="F58" s="137"/>
      <c r="G58" s="137"/>
      <c r="H58" s="137"/>
      <c r="I58" s="137"/>
      <c r="J58" s="137"/>
      <c r="K58" s="137"/>
      <c r="L58" s="137"/>
      <c r="M58" s="192" t="str">
        <f t="shared" si="0"/>
        <v/>
      </c>
      <c r="N58" s="192" t="str">
        <f t="shared" si="1"/>
        <v/>
      </c>
    </row>
    <row r="59" spans="1:14" ht="15.75">
      <c r="A59" s="106"/>
      <c r="B59" s="106"/>
      <c r="C59" s="137"/>
      <c r="D59" s="137"/>
      <c r="E59" s="137"/>
      <c r="F59" s="137"/>
      <c r="G59" s="137"/>
      <c r="H59" s="137"/>
      <c r="I59" s="137"/>
      <c r="J59" s="137"/>
      <c r="K59" s="137"/>
      <c r="L59" s="137"/>
      <c r="M59" s="192" t="str">
        <f t="shared" si="0"/>
        <v/>
      </c>
      <c r="N59" s="192" t="str">
        <f t="shared" si="1"/>
        <v/>
      </c>
    </row>
    <row r="60" spans="1:14" ht="15.75">
      <c r="A60" s="106"/>
      <c r="B60" s="106"/>
      <c r="C60" s="137"/>
      <c r="D60" s="137"/>
      <c r="E60" s="137"/>
      <c r="F60" s="137"/>
      <c r="G60" s="137"/>
      <c r="H60" s="137"/>
      <c r="I60" s="137"/>
      <c r="J60" s="137"/>
      <c r="K60" s="137"/>
      <c r="L60" s="137"/>
      <c r="M60" s="192" t="str">
        <f t="shared" si="0"/>
        <v/>
      </c>
      <c r="N60" s="192" t="str">
        <f t="shared" si="1"/>
        <v/>
      </c>
    </row>
    <row r="61" spans="1:14" ht="15.75">
      <c r="A61" s="106"/>
      <c r="B61" s="106"/>
      <c r="C61" s="137"/>
      <c r="D61" s="137"/>
      <c r="E61" s="137"/>
      <c r="F61" s="137"/>
      <c r="G61" s="137"/>
      <c r="H61" s="137"/>
      <c r="I61" s="137"/>
      <c r="J61" s="137"/>
      <c r="K61" s="137"/>
      <c r="L61" s="137"/>
      <c r="M61" s="192" t="str">
        <f t="shared" si="0"/>
        <v/>
      </c>
      <c r="N61" s="192" t="str">
        <f t="shared" si="1"/>
        <v/>
      </c>
    </row>
    <row r="62" spans="1:14" ht="15.75">
      <c r="A62" s="106"/>
      <c r="B62" s="106"/>
      <c r="C62" s="137"/>
      <c r="D62" s="137"/>
      <c r="E62" s="137"/>
      <c r="F62" s="137"/>
      <c r="G62" s="137"/>
      <c r="H62" s="137"/>
      <c r="I62" s="137"/>
      <c r="J62" s="137"/>
      <c r="K62" s="137"/>
      <c r="L62" s="137"/>
      <c r="M62" s="192" t="str">
        <f t="shared" si="0"/>
        <v/>
      </c>
      <c r="N62" s="192" t="str">
        <f t="shared" si="1"/>
        <v/>
      </c>
    </row>
    <row r="63" spans="1:14" ht="15.75">
      <c r="A63" s="106"/>
      <c r="B63" s="106"/>
      <c r="C63" s="137"/>
      <c r="D63" s="137"/>
      <c r="E63" s="137"/>
      <c r="F63" s="137"/>
      <c r="G63" s="137"/>
      <c r="H63" s="137"/>
      <c r="I63" s="137"/>
      <c r="J63" s="137"/>
      <c r="K63" s="137"/>
      <c r="L63" s="137"/>
      <c r="M63" s="192" t="str">
        <f t="shared" si="0"/>
        <v/>
      </c>
      <c r="N63" s="192" t="str">
        <f t="shared" si="1"/>
        <v/>
      </c>
    </row>
    <row r="64" spans="1:14" ht="19.5">
      <c r="A64" s="106"/>
      <c r="B64" s="204"/>
      <c r="C64" s="137"/>
      <c r="D64" s="137"/>
      <c r="E64" s="137"/>
      <c r="F64" s="137"/>
      <c r="G64" s="137"/>
      <c r="H64" s="137"/>
      <c r="I64" s="137"/>
      <c r="J64" s="137"/>
      <c r="K64" s="137"/>
      <c r="L64" s="137"/>
      <c r="M64" s="192" t="str">
        <f t="shared" si="0"/>
        <v/>
      </c>
      <c r="N64" s="192" t="str">
        <f t="shared" si="1"/>
        <v/>
      </c>
    </row>
    <row r="65" spans="1:14" ht="15.75">
      <c r="A65" s="106"/>
      <c r="B65" s="106"/>
      <c r="C65" s="137"/>
      <c r="D65" s="137"/>
      <c r="E65" s="137"/>
      <c r="F65" s="137"/>
      <c r="G65" s="137"/>
      <c r="H65" s="137"/>
      <c r="I65" s="137"/>
      <c r="J65" s="137"/>
      <c r="K65" s="137"/>
      <c r="L65" s="137"/>
      <c r="M65" s="192" t="str">
        <f t="shared" si="0"/>
        <v/>
      </c>
      <c r="N65" s="192" t="str">
        <f t="shared" si="1"/>
        <v/>
      </c>
    </row>
    <row r="66" spans="1:14" ht="15.75">
      <c r="A66" s="106"/>
      <c r="B66" s="106"/>
      <c r="C66" s="137"/>
      <c r="D66" s="137"/>
      <c r="E66" s="137"/>
      <c r="F66" s="137"/>
      <c r="G66" s="137"/>
      <c r="H66" s="137"/>
      <c r="I66" s="137"/>
      <c r="J66" s="137"/>
      <c r="K66" s="137"/>
      <c r="L66" s="137"/>
      <c r="M66" s="192" t="str">
        <f t="shared" si="0"/>
        <v/>
      </c>
      <c r="N66" s="192" t="str">
        <f t="shared" si="1"/>
        <v/>
      </c>
    </row>
    <row r="67" spans="1:14" ht="15.75">
      <c r="A67" s="106"/>
      <c r="B67" s="106"/>
      <c r="C67" s="137"/>
      <c r="D67" s="137"/>
      <c r="E67" s="137"/>
      <c r="F67" s="137"/>
      <c r="G67" s="137"/>
      <c r="H67" s="137"/>
      <c r="I67" s="137"/>
      <c r="J67" s="137"/>
      <c r="K67" s="137"/>
      <c r="L67" s="137"/>
      <c r="M67" s="192" t="str">
        <f t="shared" si="0"/>
        <v/>
      </c>
      <c r="N67" s="192" t="str">
        <f t="shared" si="1"/>
        <v/>
      </c>
    </row>
    <row r="68" spans="1:14" ht="15.75">
      <c r="A68" s="106"/>
      <c r="B68" s="106"/>
      <c r="C68" s="137"/>
      <c r="D68" s="137"/>
      <c r="E68" s="137"/>
      <c r="F68" s="137"/>
      <c r="G68" s="137"/>
      <c r="H68" s="137"/>
      <c r="I68" s="137"/>
      <c r="J68" s="137"/>
      <c r="K68" s="137"/>
      <c r="L68" s="137"/>
      <c r="M68" s="192" t="str">
        <f t="shared" si="0"/>
        <v/>
      </c>
      <c r="N68" s="192" t="str">
        <f t="shared" si="1"/>
        <v/>
      </c>
    </row>
    <row r="69" spans="1:14" ht="15.75">
      <c r="A69" s="106"/>
      <c r="B69" s="106"/>
      <c r="C69" s="137"/>
      <c r="D69" s="137"/>
      <c r="E69" s="137"/>
      <c r="F69" s="137"/>
      <c r="G69" s="137"/>
      <c r="H69" s="137"/>
      <c r="I69" s="137"/>
      <c r="J69" s="137"/>
      <c r="K69" s="137"/>
      <c r="L69" s="137"/>
      <c r="M69" s="192" t="str">
        <f t="shared" si="0"/>
        <v/>
      </c>
      <c r="N69" s="192" t="str">
        <f t="shared" si="1"/>
        <v/>
      </c>
    </row>
    <row r="70" spans="1:14" ht="15.75">
      <c r="A70" s="106"/>
      <c r="B70" s="106"/>
      <c r="C70" s="137"/>
      <c r="D70" s="137"/>
      <c r="E70" s="137"/>
      <c r="F70" s="137"/>
      <c r="G70" s="137"/>
      <c r="H70" s="137"/>
      <c r="I70" s="137"/>
      <c r="J70" s="137"/>
      <c r="K70" s="137"/>
      <c r="L70" s="137"/>
      <c r="M70" s="192" t="str">
        <f t="shared" si="0"/>
        <v/>
      </c>
      <c r="N70" s="192" t="str">
        <f t="shared" si="1"/>
        <v/>
      </c>
    </row>
    <row r="71" spans="1:14" ht="15.75">
      <c r="A71" s="106"/>
      <c r="B71" s="106"/>
      <c r="C71" s="137"/>
      <c r="D71" s="137"/>
      <c r="E71" s="137"/>
      <c r="F71" s="137"/>
      <c r="G71" s="137"/>
      <c r="H71" s="137"/>
      <c r="I71" s="137"/>
      <c r="J71" s="137"/>
      <c r="K71" s="137"/>
      <c r="L71" s="137"/>
      <c r="M71" s="192" t="str">
        <f t="shared" ref="M71:M134" si="3">IF(OR(A71="",A71="Heading"),"",IF(NOT(AND(C71="",D71="",E71="",F71="",G71="",H71="")),CheckOK,CheckErr))</f>
        <v/>
      </c>
      <c r="N71" s="192" t="str">
        <f t="shared" ref="N71:N134" si="4">IF(OR(A71="",A71="Heading"),"",IF(AND(NOT(J71=""),NOT(K71="")),CheckOK,CheckErr))</f>
        <v/>
      </c>
    </row>
    <row r="72" spans="1:14" ht="15.75">
      <c r="A72" s="106"/>
      <c r="B72" s="106"/>
      <c r="C72" s="137"/>
      <c r="D72" s="137"/>
      <c r="E72" s="137"/>
      <c r="F72" s="137"/>
      <c r="G72" s="137"/>
      <c r="H72" s="137"/>
      <c r="I72" s="137"/>
      <c r="J72" s="137"/>
      <c r="K72" s="137"/>
      <c r="L72" s="137"/>
      <c r="M72" s="192" t="str">
        <f t="shared" si="3"/>
        <v/>
      </c>
      <c r="N72" s="192" t="str">
        <f t="shared" si="4"/>
        <v/>
      </c>
    </row>
    <row r="73" spans="1:14" ht="15.75">
      <c r="A73" s="106"/>
      <c r="B73" s="106"/>
      <c r="C73" s="137"/>
      <c r="D73" s="137"/>
      <c r="E73" s="137"/>
      <c r="F73" s="137"/>
      <c r="G73" s="137"/>
      <c r="H73" s="137"/>
      <c r="I73" s="137"/>
      <c r="J73" s="137"/>
      <c r="K73" s="137"/>
      <c r="L73" s="137"/>
      <c r="M73" s="192" t="str">
        <f t="shared" si="3"/>
        <v/>
      </c>
      <c r="N73" s="192" t="str">
        <f t="shared" si="4"/>
        <v/>
      </c>
    </row>
    <row r="74" spans="1:14" ht="15.75">
      <c r="A74" s="106"/>
      <c r="B74" s="106"/>
      <c r="C74" s="137"/>
      <c r="D74" s="137"/>
      <c r="E74" s="137"/>
      <c r="F74" s="137"/>
      <c r="G74" s="137"/>
      <c r="H74" s="137"/>
      <c r="I74" s="137"/>
      <c r="J74" s="137"/>
      <c r="K74" s="137"/>
      <c r="L74" s="137"/>
      <c r="M74" s="192" t="str">
        <f t="shared" si="3"/>
        <v/>
      </c>
      <c r="N74" s="192" t="str">
        <f t="shared" si="4"/>
        <v/>
      </c>
    </row>
    <row r="75" spans="1:14" ht="15.75">
      <c r="A75" s="106"/>
      <c r="B75" s="106"/>
      <c r="C75" s="137"/>
      <c r="D75" s="137"/>
      <c r="E75" s="137"/>
      <c r="F75" s="137"/>
      <c r="G75" s="137"/>
      <c r="H75" s="137"/>
      <c r="I75" s="137"/>
      <c r="J75" s="137"/>
      <c r="K75" s="137"/>
      <c r="L75" s="137"/>
      <c r="M75" s="192" t="str">
        <f t="shared" si="3"/>
        <v/>
      </c>
      <c r="N75" s="192" t="str">
        <f t="shared" si="4"/>
        <v/>
      </c>
    </row>
    <row r="76" spans="1:14" ht="19.5">
      <c r="A76" s="106"/>
      <c r="B76" s="204"/>
      <c r="C76" s="137"/>
      <c r="D76" s="137"/>
      <c r="E76" s="137"/>
      <c r="F76" s="137"/>
      <c r="G76" s="137"/>
      <c r="H76" s="137"/>
      <c r="I76" s="137"/>
      <c r="J76" s="137"/>
      <c r="K76" s="137"/>
      <c r="L76" s="137"/>
      <c r="M76" s="192" t="str">
        <f t="shared" si="3"/>
        <v/>
      </c>
      <c r="N76" s="192" t="str">
        <f t="shared" si="4"/>
        <v/>
      </c>
    </row>
    <row r="77" spans="1:14" ht="15.75">
      <c r="A77" s="106"/>
      <c r="B77" s="106"/>
      <c r="C77" s="137"/>
      <c r="D77" s="137"/>
      <c r="E77" s="137"/>
      <c r="F77" s="137"/>
      <c r="G77" s="137"/>
      <c r="H77" s="137"/>
      <c r="I77" s="137"/>
      <c r="J77" s="137"/>
      <c r="K77" s="137"/>
      <c r="L77" s="137"/>
      <c r="M77" s="192" t="str">
        <f t="shared" si="3"/>
        <v/>
      </c>
      <c r="N77" s="192" t="str">
        <f t="shared" si="4"/>
        <v/>
      </c>
    </row>
    <row r="78" spans="1:14" ht="15.75">
      <c r="A78" s="106"/>
      <c r="B78" s="106"/>
      <c r="C78" s="137"/>
      <c r="D78" s="137"/>
      <c r="E78" s="137"/>
      <c r="F78" s="137"/>
      <c r="G78" s="137"/>
      <c r="H78" s="137"/>
      <c r="I78" s="137"/>
      <c r="J78" s="137"/>
      <c r="K78" s="137"/>
      <c r="L78" s="137"/>
      <c r="M78" s="192" t="str">
        <f t="shared" si="3"/>
        <v/>
      </c>
      <c r="N78" s="192" t="str">
        <f t="shared" si="4"/>
        <v/>
      </c>
    </row>
    <row r="79" spans="1:14" ht="15.75">
      <c r="A79" s="106"/>
      <c r="B79" s="106"/>
      <c r="C79" s="137"/>
      <c r="D79" s="137"/>
      <c r="E79" s="137"/>
      <c r="F79" s="137"/>
      <c r="G79" s="137"/>
      <c r="H79" s="137"/>
      <c r="I79" s="137"/>
      <c r="J79" s="137"/>
      <c r="K79" s="137"/>
      <c r="L79" s="137"/>
      <c r="M79" s="192" t="str">
        <f t="shared" si="3"/>
        <v/>
      </c>
      <c r="N79" s="192" t="str">
        <f t="shared" si="4"/>
        <v/>
      </c>
    </row>
    <row r="80" spans="1:14" ht="15.75">
      <c r="A80" s="106"/>
      <c r="B80" s="106"/>
      <c r="C80" s="137"/>
      <c r="D80" s="137"/>
      <c r="E80" s="137"/>
      <c r="F80" s="137"/>
      <c r="G80" s="137"/>
      <c r="H80" s="137"/>
      <c r="I80" s="137"/>
      <c r="J80" s="137"/>
      <c r="K80" s="137"/>
      <c r="L80" s="137"/>
      <c r="M80" s="192" t="str">
        <f t="shared" si="3"/>
        <v/>
      </c>
      <c r="N80" s="192" t="str">
        <f t="shared" si="4"/>
        <v/>
      </c>
    </row>
    <row r="81" spans="1:14" ht="15.75">
      <c r="A81" s="106"/>
      <c r="B81" s="106"/>
      <c r="C81" s="137"/>
      <c r="D81" s="137"/>
      <c r="E81" s="137"/>
      <c r="F81" s="137"/>
      <c r="G81" s="137"/>
      <c r="H81" s="137"/>
      <c r="I81" s="137"/>
      <c r="J81" s="137"/>
      <c r="K81" s="137"/>
      <c r="L81" s="137"/>
      <c r="M81" s="192" t="str">
        <f t="shared" si="3"/>
        <v/>
      </c>
      <c r="N81" s="192" t="str">
        <f t="shared" si="4"/>
        <v/>
      </c>
    </row>
    <row r="82" spans="1:14" ht="15.75">
      <c r="A82" s="106"/>
      <c r="B82" s="106"/>
      <c r="C82" s="137"/>
      <c r="D82" s="137"/>
      <c r="E82" s="137"/>
      <c r="F82" s="137"/>
      <c r="G82" s="137"/>
      <c r="H82" s="137"/>
      <c r="I82" s="137"/>
      <c r="J82" s="137"/>
      <c r="K82" s="137"/>
      <c r="L82" s="137"/>
      <c r="M82" s="192" t="str">
        <f t="shared" si="3"/>
        <v/>
      </c>
      <c r="N82" s="192" t="str">
        <f t="shared" si="4"/>
        <v/>
      </c>
    </row>
    <row r="83" spans="1:14" ht="15.75">
      <c r="A83" s="106"/>
      <c r="B83" s="106"/>
      <c r="C83" s="137"/>
      <c r="D83" s="137"/>
      <c r="E83" s="137"/>
      <c r="F83" s="137"/>
      <c r="G83" s="137"/>
      <c r="H83" s="137"/>
      <c r="I83" s="137"/>
      <c r="J83" s="137"/>
      <c r="K83" s="137"/>
      <c r="L83" s="137"/>
      <c r="M83" s="192" t="str">
        <f t="shared" si="3"/>
        <v/>
      </c>
      <c r="N83" s="192" t="str">
        <f t="shared" si="4"/>
        <v/>
      </c>
    </row>
    <row r="84" spans="1:14" ht="15.75">
      <c r="A84" s="106"/>
      <c r="B84" s="106"/>
      <c r="C84" s="137"/>
      <c r="D84" s="137"/>
      <c r="E84" s="137"/>
      <c r="F84" s="137"/>
      <c r="G84" s="137"/>
      <c r="H84" s="137"/>
      <c r="I84" s="137"/>
      <c r="J84" s="137"/>
      <c r="K84" s="137"/>
      <c r="L84" s="137"/>
      <c r="M84" s="192" t="str">
        <f t="shared" si="3"/>
        <v/>
      </c>
      <c r="N84" s="192" t="str">
        <f t="shared" si="4"/>
        <v/>
      </c>
    </row>
    <row r="85" spans="1:14" ht="15.75">
      <c r="A85" s="106"/>
      <c r="B85" s="106"/>
      <c r="C85" s="137"/>
      <c r="D85" s="137"/>
      <c r="E85" s="137"/>
      <c r="F85" s="137"/>
      <c r="G85" s="137"/>
      <c r="H85" s="137"/>
      <c r="I85" s="137"/>
      <c r="J85" s="137"/>
      <c r="K85" s="137"/>
      <c r="L85" s="137"/>
      <c r="M85" s="192" t="str">
        <f t="shared" si="3"/>
        <v/>
      </c>
      <c r="N85" s="192" t="str">
        <f t="shared" si="4"/>
        <v/>
      </c>
    </row>
    <row r="86" spans="1:14" ht="19.5">
      <c r="A86" s="106"/>
      <c r="B86" s="204"/>
      <c r="C86" s="137"/>
      <c r="D86" s="137"/>
      <c r="E86" s="137"/>
      <c r="F86" s="137"/>
      <c r="G86" s="137"/>
      <c r="H86" s="137"/>
      <c r="I86" s="137"/>
      <c r="J86" s="137"/>
      <c r="K86" s="137"/>
      <c r="L86" s="137"/>
      <c r="M86" s="192" t="str">
        <f t="shared" si="3"/>
        <v/>
      </c>
      <c r="N86" s="192" t="str">
        <f t="shared" si="4"/>
        <v/>
      </c>
    </row>
    <row r="87" spans="1:14" ht="15.75">
      <c r="A87" s="106"/>
      <c r="B87" s="106"/>
      <c r="C87" s="137"/>
      <c r="D87" s="137"/>
      <c r="E87" s="137"/>
      <c r="F87" s="137"/>
      <c r="G87" s="137"/>
      <c r="H87" s="137"/>
      <c r="I87" s="137"/>
      <c r="J87" s="137"/>
      <c r="K87" s="137"/>
      <c r="L87" s="137"/>
      <c r="M87" s="192" t="str">
        <f t="shared" si="3"/>
        <v/>
      </c>
      <c r="N87" s="192" t="str">
        <f t="shared" si="4"/>
        <v/>
      </c>
    </row>
    <row r="88" spans="1:14" ht="15.75">
      <c r="A88" s="106"/>
      <c r="B88" s="106"/>
      <c r="C88" s="137"/>
      <c r="D88" s="137"/>
      <c r="E88" s="137"/>
      <c r="F88" s="137"/>
      <c r="G88" s="137"/>
      <c r="H88" s="137"/>
      <c r="I88" s="137"/>
      <c r="J88" s="137"/>
      <c r="K88" s="137"/>
      <c r="L88" s="137"/>
      <c r="M88" s="192" t="str">
        <f t="shared" si="3"/>
        <v/>
      </c>
      <c r="N88" s="192" t="str">
        <f t="shared" si="4"/>
        <v/>
      </c>
    </row>
    <row r="89" spans="1:14" ht="15.75">
      <c r="A89" s="106"/>
      <c r="B89" s="106"/>
      <c r="C89" s="137"/>
      <c r="D89" s="137"/>
      <c r="E89" s="137"/>
      <c r="F89" s="137"/>
      <c r="G89" s="137"/>
      <c r="H89" s="137"/>
      <c r="I89" s="137"/>
      <c r="J89" s="137"/>
      <c r="K89" s="137"/>
      <c r="L89" s="137"/>
      <c r="M89" s="192" t="str">
        <f t="shared" si="3"/>
        <v/>
      </c>
      <c r="N89" s="192" t="str">
        <f t="shared" si="4"/>
        <v/>
      </c>
    </row>
    <row r="90" spans="1:14" ht="15.75">
      <c r="A90" s="106"/>
      <c r="B90" s="106"/>
      <c r="C90" s="137"/>
      <c r="D90" s="137"/>
      <c r="E90" s="137"/>
      <c r="F90" s="137"/>
      <c r="G90" s="137"/>
      <c r="H90" s="137"/>
      <c r="I90" s="137"/>
      <c r="J90" s="137"/>
      <c r="K90" s="137"/>
      <c r="L90" s="137"/>
      <c r="M90" s="192" t="str">
        <f t="shared" si="3"/>
        <v/>
      </c>
      <c r="N90" s="192" t="str">
        <f t="shared" si="4"/>
        <v/>
      </c>
    </row>
    <row r="91" spans="1:14" ht="15.75">
      <c r="A91" s="106"/>
      <c r="B91" s="106"/>
      <c r="C91" s="137"/>
      <c r="D91" s="137"/>
      <c r="E91" s="137"/>
      <c r="F91" s="137"/>
      <c r="G91" s="137"/>
      <c r="H91" s="137"/>
      <c r="I91" s="137"/>
      <c r="J91" s="137"/>
      <c r="K91" s="137"/>
      <c r="L91" s="137"/>
      <c r="M91" s="192" t="str">
        <f t="shared" si="3"/>
        <v/>
      </c>
      <c r="N91" s="192" t="str">
        <f t="shared" si="4"/>
        <v/>
      </c>
    </row>
    <row r="92" spans="1:14" ht="19.5">
      <c r="A92" s="106"/>
      <c r="B92" s="204"/>
      <c r="C92" s="137"/>
      <c r="D92" s="137"/>
      <c r="E92" s="137"/>
      <c r="F92" s="137"/>
      <c r="G92" s="137"/>
      <c r="H92" s="137"/>
      <c r="I92" s="137"/>
      <c r="J92" s="137"/>
      <c r="K92" s="137"/>
      <c r="L92" s="137"/>
      <c r="M92" s="192" t="str">
        <f t="shared" si="3"/>
        <v/>
      </c>
      <c r="N92" s="192" t="str">
        <f t="shared" si="4"/>
        <v/>
      </c>
    </row>
    <row r="93" spans="1:14" ht="15.75">
      <c r="A93" s="106"/>
      <c r="B93" s="106"/>
      <c r="C93" s="137"/>
      <c r="D93" s="137"/>
      <c r="E93" s="137"/>
      <c r="F93" s="137"/>
      <c r="G93" s="137"/>
      <c r="H93" s="137"/>
      <c r="I93" s="137"/>
      <c r="J93" s="137"/>
      <c r="K93" s="137"/>
      <c r="L93" s="137"/>
      <c r="M93" s="192" t="str">
        <f t="shared" si="3"/>
        <v/>
      </c>
      <c r="N93" s="192" t="str">
        <f t="shared" si="4"/>
        <v/>
      </c>
    </row>
    <row r="94" spans="1:14" ht="15.75">
      <c r="A94" s="106"/>
      <c r="B94" s="106"/>
      <c r="C94" s="137"/>
      <c r="D94" s="137"/>
      <c r="E94" s="137"/>
      <c r="F94" s="137"/>
      <c r="G94" s="137"/>
      <c r="H94" s="137"/>
      <c r="I94" s="137"/>
      <c r="J94" s="137"/>
      <c r="K94" s="137"/>
      <c r="L94" s="137"/>
      <c r="M94" s="192" t="str">
        <f t="shared" si="3"/>
        <v/>
      </c>
      <c r="N94" s="192" t="str">
        <f t="shared" si="4"/>
        <v/>
      </c>
    </row>
    <row r="95" spans="1:14" ht="15.75">
      <c r="A95" s="106"/>
      <c r="B95" s="106"/>
      <c r="C95" s="137"/>
      <c r="D95" s="137"/>
      <c r="E95" s="137"/>
      <c r="F95" s="137"/>
      <c r="G95" s="137"/>
      <c r="H95" s="137"/>
      <c r="I95" s="137"/>
      <c r="J95" s="137"/>
      <c r="K95" s="137"/>
      <c r="L95" s="137"/>
      <c r="M95" s="192" t="str">
        <f t="shared" si="3"/>
        <v/>
      </c>
      <c r="N95" s="192" t="str">
        <f t="shared" si="4"/>
        <v/>
      </c>
    </row>
    <row r="96" spans="1:14" ht="15.75">
      <c r="A96" s="106"/>
      <c r="B96" s="106"/>
      <c r="C96" s="137"/>
      <c r="D96" s="137"/>
      <c r="E96" s="137"/>
      <c r="F96" s="137"/>
      <c r="G96" s="137"/>
      <c r="H96" s="137"/>
      <c r="I96" s="137"/>
      <c r="J96" s="137"/>
      <c r="K96" s="137"/>
      <c r="L96" s="137"/>
      <c r="M96" s="192" t="str">
        <f t="shared" si="3"/>
        <v/>
      </c>
      <c r="N96" s="192" t="str">
        <f t="shared" si="4"/>
        <v/>
      </c>
    </row>
    <row r="97" spans="1:14" ht="15.75">
      <c r="A97" s="106"/>
      <c r="B97" s="106"/>
      <c r="C97" s="137"/>
      <c r="D97" s="137"/>
      <c r="E97" s="137"/>
      <c r="F97" s="137"/>
      <c r="G97" s="137"/>
      <c r="H97" s="137"/>
      <c r="I97" s="137"/>
      <c r="J97" s="137"/>
      <c r="K97" s="137"/>
      <c r="L97" s="137"/>
      <c r="M97" s="192" t="str">
        <f t="shared" si="3"/>
        <v/>
      </c>
      <c r="N97" s="192" t="str">
        <f t="shared" si="4"/>
        <v/>
      </c>
    </row>
    <row r="98" spans="1:14" ht="15.75">
      <c r="A98" s="106"/>
      <c r="B98" s="106"/>
      <c r="C98" s="137"/>
      <c r="D98" s="137"/>
      <c r="E98" s="137"/>
      <c r="F98" s="137"/>
      <c r="G98" s="137"/>
      <c r="H98" s="137"/>
      <c r="I98" s="137"/>
      <c r="J98" s="137"/>
      <c r="K98" s="137"/>
      <c r="L98" s="137"/>
      <c r="M98" s="192" t="str">
        <f t="shared" si="3"/>
        <v/>
      </c>
      <c r="N98" s="192" t="str">
        <f t="shared" si="4"/>
        <v/>
      </c>
    </row>
    <row r="99" spans="1:14" ht="19.5">
      <c r="A99" s="106"/>
      <c r="B99" s="204"/>
      <c r="C99" s="137"/>
      <c r="D99" s="137"/>
      <c r="E99" s="137"/>
      <c r="F99" s="137"/>
      <c r="G99" s="137"/>
      <c r="H99" s="137"/>
      <c r="I99" s="137"/>
      <c r="J99" s="137"/>
      <c r="K99" s="137"/>
      <c r="L99" s="137"/>
      <c r="M99" s="192" t="str">
        <f t="shared" si="3"/>
        <v/>
      </c>
      <c r="N99" s="192" t="str">
        <f t="shared" si="4"/>
        <v/>
      </c>
    </row>
    <row r="100" spans="1:14" ht="15.75">
      <c r="A100" s="106"/>
      <c r="B100" s="106"/>
      <c r="C100" s="137"/>
      <c r="D100" s="137"/>
      <c r="E100" s="137"/>
      <c r="F100" s="137"/>
      <c r="G100" s="137"/>
      <c r="H100" s="137"/>
      <c r="I100" s="137"/>
      <c r="J100" s="137"/>
      <c r="K100" s="137"/>
      <c r="L100" s="137"/>
      <c r="M100" s="192" t="str">
        <f t="shared" si="3"/>
        <v/>
      </c>
      <c r="N100" s="192" t="str">
        <f t="shared" si="4"/>
        <v/>
      </c>
    </row>
    <row r="101" spans="1:14" ht="15.75">
      <c r="A101" s="106"/>
      <c r="B101" s="106"/>
      <c r="C101" s="137"/>
      <c r="D101" s="137"/>
      <c r="E101" s="137"/>
      <c r="F101" s="137"/>
      <c r="G101" s="137"/>
      <c r="H101" s="137"/>
      <c r="I101" s="137"/>
      <c r="J101" s="137"/>
      <c r="K101" s="137"/>
      <c r="L101" s="137"/>
      <c r="M101" s="192" t="str">
        <f t="shared" si="3"/>
        <v/>
      </c>
      <c r="N101" s="192" t="str">
        <f t="shared" si="4"/>
        <v/>
      </c>
    </row>
    <row r="102" spans="1:14" ht="15.75">
      <c r="A102" s="106"/>
      <c r="B102" s="106"/>
      <c r="C102" s="137"/>
      <c r="D102" s="137"/>
      <c r="E102" s="137"/>
      <c r="F102" s="137"/>
      <c r="G102" s="137"/>
      <c r="H102" s="137"/>
      <c r="I102" s="137"/>
      <c r="J102" s="137"/>
      <c r="K102" s="137"/>
      <c r="L102" s="137"/>
      <c r="M102" s="192" t="str">
        <f t="shared" si="3"/>
        <v/>
      </c>
      <c r="N102" s="192" t="str">
        <f t="shared" si="4"/>
        <v/>
      </c>
    </row>
    <row r="103" spans="1:14" ht="19.5">
      <c r="A103" s="106"/>
      <c r="B103" s="204"/>
      <c r="C103" s="137"/>
      <c r="D103" s="137"/>
      <c r="E103" s="137"/>
      <c r="F103" s="137"/>
      <c r="G103" s="137"/>
      <c r="H103" s="137"/>
      <c r="I103" s="137"/>
      <c r="J103" s="137"/>
      <c r="K103" s="137"/>
      <c r="L103" s="137"/>
      <c r="M103" s="192" t="str">
        <f t="shared" si="3"/>
        <v/>
      </c>
      <c r="N103" s="192" t="str">
        <f t="shared" si="4"/>
        <v/>
      </c>
    </row>
    <row r="104" spans="1:14" ht="15.75">
      <c r="A104" s="106"/>
      <c r="B104" s="106"/>
      <c r="C104" s="137"/>
      <c r="D104" s="137"/>
      <c r="E104" s="137"/>
      <c r="F104" s="137"/>
      <c r="G104" s="137"/>
      <c r="H104" s="137"/>
      <c r="I104" s="137"/>
      <c r="J104" s="137"/>
      <c r="K104" s="137"/>
      <c r="L104" s="137"/>
      <c r="M104" s="192" t="str">
        <f t="shared" si="3"/>
        <v/>
      </c>
      <c r="N104" s="192" t="str">
        <f t="shared" si="4"/>
        <v/>
      </c>
    </row>
    <row r="105" spans="1:14" ht="15.75">
      <c r="A105" s="106"/>
      <c r="B105" s="106"/>
      <c r="C105" s="137"/>
      <c r="D105" s="137"/>
      <c r="E105" s="137"/>
      <c r="F105" s="137"/>
      <c r="G105" s="137"/>
      <c r="H105" s="137"/>
      <c r="I105" s="137"/>
      <c r="J105" s="137"/>
      <c r="K105" s="137"/>
      <c r="L105" s="137"/>
      <c r="M105" s="192" t="str">
        <f t="shared" si="3"/>
        <v/>
      </c>
      <c r="N105" s="192" t="str">
        <f t="shared" si="4"/>
        <v/>
      </c>
    </row>
    <row r="106" spans="1:14" ht="19.5">
      <c r="A106" s="106"/>
      <c r="B106" s="204"/>
      <c r="C106" s="137"/>
      <c r="D106" s="137"/>
      <c r="E106" s="137"/>
      <c r="F106" s="137"/>
      <c r="G106" s="137"/>
      <c r="H106" s="137"/>
      <c r="I106" s="137"/>
      <c r="J106" s="137"/>
      <c r="K106" s="137"/>
      <c r="L106" s="137"/>
      <c r="M106" s="192" t="str">
        <f t="shared" si="3"/>
        <v/>
      </c>
      <c r="N106" s="192" t="str">
        <f t="shared" si="4"/>
        <v/>
      </c>
    </row>
    <row r="107" spans="1:14" ht="15.75">
      <c r="A107" s="106"/>
      <c r="B107" s="106"/>
      <c r="C107" s="137"/>
      <c r="D107" s="137"/>
      <c r="E107" s="137"/>
      <c r="F107" s="137"/>
      <c r="G107" s="137"/>
      <c r="H107" s="137"/>
      <c r="I107" s="137"/>
      <c r="J107" s="137"/>
      <c r="K107" s="137"/>
      <c r="L107" s="137"/>
      <c r="M107" s="192" t="str">
        <f t="shared" si="3"/>
        <v/>
      </c>
      <c r="N107" s="192" t="str">
        <f t="shared" si="4"/>
        <v/>
      </c>
    </row>
    <row r="108" spans="1:14" ht="15.75">
      <c r="A108" s="106"/>
      <c r="B108" s="106"/>
      <c r="C108" s="137"/>
      <c r="D108" s="137"/>
      <c r="E108" s="137"/>
      <c r="F108" s="137"/>
      <c r="G108" s="137"/>
      <c r="H108" s="137"/>
      <c r="I108" s="137"/>
      <c r="J108" s="137"/>
      <c r="K108" s="137"/>
      <c r="L108" s="137"/>
      <c r="M108" s="192" t="str">
        <f t="shared" si="3"/>
        <v/>
      </c>
      <c r="N108" s="192" t="str">
        <f t="shared" si="4"/>
        <v/>
      </c>
    </row>
    <row r="109" spans="1:14" ht="15.75">
      <c r="A109" s="106"/>
      <c r="B109" s="106"/>
      <c r="C109" s="137"/>
      <c r="D109" s="137"/>
      <c r="E109" s="137"/>
      <c r="F109" s="137"/>
      <c r="G109" s="137"/>
      <c r="H109" s="137"/>
      <c r="I109" s="137"/>
      <c r="J109" s="137"/>
      <c r="K109" s="137"/>
      <c r="L109" s="137"/>
      <c r="M109" s="192" t="str">
        <f t="shared" si="3"/>
        <v/>
      </c>
      <c r="N109" s="192" t="str">
        <f t="shared" si="4"/>
        <v/>
      </c>
    </row>
    <row r="110" spans="1:14" ht="15.75">
      <c r="A110" s="106"/>
      <c r="B110" s="106"/>
      <c r="C110" s="137"/>
      <c r="D110" s="137"/>
      <c r="E110" s="137"/>
      <c r="F110" s="137"/>
      <c r="G110" s="137"/>
      <c r="H110" s="137"/>
      <c r="I110" s="137"/>
      <c r="J110" s="137"/>
      <c r="K110" s="137"/>
      <c r="L110" s="137"/>
      <c r="M110" s="192" t="str">
        <f t="shared" si="3"/>
        <v/>
      </c>
      <c r="N110" s="192" t="str">
        <f t="shared" si="4"/>
        <v/>
      </c>
    </row>
    <row r="111" spans="1:14" ht="15.75">
      <c r="A111" s="106"/>
      <c r="B111" s="106"/>
      <c r="C111" s="137"/>
      <c r="D111" s="137"/>
      <c r="E111" s="137"/>
      <c r="F111" s="137"/>
      <c r="G111" s="137"/>
      <c r="H111" s="137"/>
      <c r="I111" s="137"/>
      <c r="J111" s="137"/>
      <c r="K111" s="137"/>
      <c r="L111" s="137"/>
      <c r="M111" s="192" t="str">
        <f t="shared" si="3"/>
        <v/>
      </c>
      <c r="N111" s="192" t="str">
        <f t="shared" si="4"/>
        <v/>
      </c>
    </row>
    <row r="112" spans="1:14" ht="15.75">
      <c r="A112" s="106"/>
      <c r="B112" s="106"/>
      <c r="C112" s="137"/>
      <c r="D112" s="137"/>
      <c r="E112" s="137"/>
      <c r="F112" s="137"/>
      <c r="G112" s="137"/>
      <c r="H112" s="137"/>
      <c r="I112" s="137"/>
      <c r="J112" s="137"/>
      <c r="K112" s="137"/>
      <c r="L112" s="137"/>
      <c r="M112" s="192" t="str">
        <f t="shared" si="3"/>
        <v/>
      </c>
      <c r="N112" s="192" t="str">
        <f t="shared" si="4"/>
        <v/>
      </c>
    </row>
    <row r="113" spans="1:14" ht="15.75">
      <c r="A113" s="106"/>
      <c r="B113" s="106"/>
      <c r="C113" s="137"/>
      <c r="D113" s="137"/>
      <c r="E113" s="137"/>
      <c r="F113" s="137"/>
      <c r="G113" s="137"/>
      <c r="H113" s="137"/>
      <c r="I113" s="137"/>
      <c r="J113" s="137"/>
      <c r="K113" s="137"/>
      <c r="L113" s="137"/>
      <c r="M113" s="192" t="str">
        <f t="shared" si="3"/>
        <v/>
      </c>
      <c r="N113" s="192" t="str">
        <f t="shared" si="4"/>
        <v/>
      </c>
    </row>
    <row r="114" spans="1:14" ht="15.75">
      <c r="A114" s="106"/>
      <c r="B114" s="106"/>
      <c r="C114" s="137"/>
      <c r="D114" s="137"/>
      <c r="E114" s="137"/>
      <c r="F114" s="137"/>
      <c r="G114" s="137"/>
      <c r="H114" s="137"/>
      <c r="I114" s="137"/>
      <c r="J114" s="137"/>
      <c r="K114" s="137"/>
      <c r="L114" s="137"/>
      <c r="M114" s="192" t="str">
        <f t="shared" si="3"/>
        <v/>
      </c>
      <c r="N114" s="192" t="str">
        <f t="shared" si="4"/>
        <v/>
      </c>
    </row>
    <row r="115" spans="1:14" ht="15.75">
      <c r="A115" s="177"/>
      <c r="B115" s="177"/>
      <c r="C115" s="137"/>
      <c r="D115" s="137"/>
      <c r="E115" s="137"/>
      <c r="F115" s="137"/>
      <c r="G115" s="137"/>
      <c r="H115" s="137"/>
      <c r="I115" s="137"/>
      <c r="J115" s="137"/>
      <c r="K115" s="137"/>
      <c r="L115" s="137"/>
      <c r="M115" s="192" t="str">
        <f t="shared" si="3"/>
        <v/>
      </c>
      <c r="N115" s="192" t="str">
        <f t="shared" si="4"/>
        <v/>
      </c>
    </row>
    <row r="116" spans="1:14" ht="15.75">
      <c r="A116" s="177"/>
      <c r="B116" s="177"/>
      <c r="C116" s="137"/>
      <c r="D116" s="137"/>
      <c r="E116" s="137"/>
      <c r="F116" s="137"/>
      <c r="G116" s="137"/>
      <c r="H116" s="137"/>
      <c r="I116" s="137"/>
      <c r="J116" s="137"/>
      <c r="K116" s="137"/>
      <c r="L116" s="137"/>
      <c r="M116" s="192" t="str">
        <f t="shared" si="3"/>
        <v/>
      </c>
      <c r="N116" s="192" t="str">
        <f t="shared" si="4"/>
        <v/>
      </c>
    </row>
    <row r="117" spans="1:14" ht="15.75">
      <c r="A117" s="177"/>
      <c r="B117" s="177"/>
      <c r="C117" s="137"/>
      <c r="D117" s="137"/>
      <c r="E117" s="137"/>
      <c r="F117" s="137"/>
      <c r="G117" s="137"/>
      <c r="H117" s="137"/>
      <c r="I117" s="137"/>
      <c r="J117" s="137"/>
      <c r="K117" s="137"/>
      <c r="L117" s="137"/>
      <c r="M117" s="192" t="str">
        <f t="shared" si="3"/>
        <v/>
      </c>
      <c r="N117" s="192" t="str">
        <f t="shared" si="4"/>
        <v/>
      </c>
    </row>
    <row r="118" spans="1:14" ht="15.75">
      <c r="A118" s="177"/>
      <c r="B118" s="177"/>
      <c r="C118" s="137"/>
      <c r="D118" s="137"/>
      <c r="E118" s="137"/>
      <c r="F118" s="137"/>
      <c r="G118" s="137"/>
      <c r="H118" s="137"/>
      <c r="I118" s="137"/>
      <c r="J118" s="137"/>
      <c r="K118" s="137"/>
      <c r="L118" s="137"/>
      <c r="M118" s="192" t="str">
        <f t="shared" si="3"/>
        <v/>
      </c>
      <c r="N118" s="192" t="str">
        <f t="shared" si="4"/>
        <v/>
      </c>
    </row>
    <row r="119" spans="1:14" ht="15.75">
      <c r="A119" s="177"/>
      <c r="B119" s="177"/>
      <c r="C119" s="137"/>
      <c r="D119" s="137"/>
      <c r="E119" s="137"/>
      <c r="F119" s="137"/>
      <c r="G119" s="137"/>
      <c r="H119" s="137"/>
      <c r="I119" s="137"/>
      <c r="J119" s="137"/>
      <c r="K119" s="137"/>
      <c r="L119" s="137"/>
      <c r="M119" s="192" t="str">
        <f t="shared" si="3"/>
        <v/>
      </c>
      <c r="N119" s="192" t="str">
        <f t="shared" si="4"/>
        <v/>
      </c>
    </row>
    <row r="120" spans="1:14" ht="15.75">
      <c r="A120" s="177"/>
      <c r="B120" s="177"/>
      <c r="C120" s="137"/>
      <c r="D120" s="137"/>
      <c r="E120" s="137"/>
      <c r="F120" s="137"/>
      <c r="G120" s="137"/>
      <c r="H120" s="137"/>
      <c r="I120" s="137"/>
      <c r="J120" s="137"/>
      <c r="K120" s="137"/>
      <c r="L120" s="137"/>
      <c r="M120" s="192" t="str">
        <f t="shared" si="3"/>
        <v/>
      </c>
      <c r="N120" s="192" t="str">
        <f t="shared" si="4"/>
        <v/>
      </c>
    </row>
    <row r="121" spans="1:14" ht="15.75">
      <c r="A121" s="177"/>
      <c r="B121" s="177"/>
      <c r="C121" s="137"/>
      <c r="D121" s="137"/>
      <c r="E121" s="137"/>
      <c r="F121" s="137"/>
      <c r="G121" s="137"/>
      <c r="H121" s="137"/>
      <c r="I121" s="137"/>
      <c r="J121" s="137"/>
      <c r="K121" s="137"/>
      <c r="L121" s="137"/>
      <c r="M121" s="192" t="str">
        <f t="shared" si="3"/>
        <v/>
      </c>
      <c r="N121" s="192" t="str">
        <f t="shared" si="4"/>
        <v/>
      </c>
    </row>
    <row r="122" spans="1:14" ht="15.75">
      <c r="A122" s="177"/>
      <c r="B122" s="177"/>
      <c r="C122" s="137"/>
      <c r="D122" s="137"/>
      <c r="E122" s="137"/>
      <c r="F122" s="137"/>
      <c r="G122" s="137"/>
      <c r="H122" s="137"/>
      <c r="I122" s="137"/>
      <c r="J122" s="137"/>
      <c r="K122" s="137"/>
      <c r="L122" s="137"/>
      <c r="M122" s="192" t="str">
        <f t="shared" si="3"/>
        <v/>
      </c>
      <c r="N122" s="192" t="str">
        <f t="shared" si="4"/>
        <v/>
      </c>
    </row>
    <row r="123" spans="1:14" ht="15.75">
      <c r="A123" s="177"/>
      <c r="B123" s="177"/>
      <c r="C123" s="137"/>
      <c r="D123" s="137"/>
      <c r="E123" s="137"/>
      <c r="F123" s="137"/>
      <c r="G123" s="137"/>
      <c r="H123" s="137"/>
      <c r="I123" s="137"/>
      <c r="J123" s="137"/>
      <c r="K123" s="137"/>
      <c r="L123" s="137"/>
      <c r="M123" s="192" t="str">
        <f t="shared" si="3"/>
        <v/>
      </c>
      <c r="N123" s="192" t="str">
        <f t="shared" si="4"/>
        <v/>
      </c>
    </row>
    <row r="124" spans="1:14" ht="15.75">
      <c r="A124" s="177"/>
      <c r="B124" s="177"/>
      <c r="C124" s="137"/>
      <c r="D124" s="137"/>
      <c r="E124" s="137"/>
      <c r="F124" s="137"/>
      <c r="G124" s="137"/>
      <c r="H124" s="137"/>
      <c r="I124" s="137"/>
      <c r="J124" s="137"/>
      <c r="K124" s="137"/>
      <c r="L124" s="137"/>
      <c r="M124" s="192" t="str">
        <f t="shared" si="3"/>
        <v/>
      </c>
      <c r="N124" s="192" t="str">
        <f t="shared" si="4"/>
        <v/>
      </c>
    </row>
    <row r="125" spans="1:14" ht="15.75">
      <c r="A125" s="177"/>
      <c r="B125" s="177"/>
      <c r="C125" s="137"/>
      <c r="D125" s="137"/>
      <c r="E125" s="137"/>
      <c r="F125" s="137"/>
      <c r="G125" s="137"/>
      <c r="H125" s="137"/>
      <c r="I125" s="137"/>
      <c r="J125" s="137"/>
      <c r="K125" s="137"/>
      <c r="L125" s="137"/>
      <c r="M125" s="192" t="str">
        <f t="shared" si="3"/>
        <v/>
      </c>
      <c r="N125" s="192" t="str">
        <f t="shared" si="4"/>
        <v/>
      </c>
    </row>
    <row r="126" spans="1:14" ht="15.75">
      <c r="A126" s="177"/>
      <c r="B126" s="177"/>
      <c r="C126" s="137"/>
      <c r="D126" s="137"/>
      <c r="E126" s="137"/>
      <c r="F126" s="137"/>
      <c r="G126" s="137"/>
      <c r="H126" s="137"/>
      <c r="I126" s="137"/>
      <c r="J126" s="137"/>
      <c r="K126" s="137"/>
      <c r="L126" s="137"/>
      <c r="M126" s="192" t="str">
        <f t="shared" si="3"/>
        <v/>
      </c>
      <c r="N126" s="192" t="str">
        <f t="shared" si="4"/>
        <v/>
      </c>
    </row>
    <row r="127" spans="1:14" ht="15.75">
      <c r="A127" s="177"/>
      <c r="B127" s="177"/>
      <c r="C127" s="137"/>
      <c r="D127" s="137"/>
      <c r="E127" s="137"/>
      <c r="F127" s="137"/>
      <c r="G127" s="137"/>
      <c r="H127" s="137"/>
      <c r="I127" s="137"/>
      <c r="J127" s="137"/>
      <c r="K127" s="137"/>
      <c r="L127" s="137"/>
      <c r="M127" s="192" t="str">
        <f t="shared" si="3"/>
        <v/>
      </c>
      <c r="N127" s="192" t="str">
        <f t="shared" si="4"/>
        <v/>
      </c>
    </row>
    <row r="128" spans="1:14" ht="15.75">
      <c r="A128" s="177"/>
      <c r="B128" s="177"/>
      <c r="C128" s="137"/>
      <c r="D128" s="137"/>
      <c r="E128" s="137"/>
      <c r="F128" s="137"/>
      <c r="G128" s="137"/>
      <c r="H128" s="137"/>
      <c r="I128" s="137"/>
      <c r="J128" s="137"/>
      <c r="K128" s="137"/>
      <c r="L128" s="137"/>
      <c r="M128" s="192" t="str">
        <f t="shared" si="3"/>
        <v/>
      </c>
      <c r="N128" s="192" t="str">
        <f t="shared" si="4"/>
        <v/>
      </c>
    </row>
    <row r="129" spans="1:14" ht="15.75">
      <c r="A129" s="177"/>
      <c r="B129" s="177"/>
      <c r="C129" s="137"/>
      <c r="D129" s="137"/>
      <c r="E129" s="137"/>
      <c r="F129" s="137"/>
      <c r="G129" s="137"/>
      <c r="H129" s="137"/>
      <c r="I129" s="137"/>
      <c r="J129" s="137"/>
      <c r="K129" s="137"/>
      <c r="L129" s="137"/>
      <c r="M129" s="192" t="str">
        <f t="shared" si="3"/>
        <v/>
      </c>
      <c r="N129" s="192" t="str">
        <f t="shared" si="4"/>
        <v/>
      </c>
    </row>
    <row r="130" spans="1:14" ht="15.75">
      <c r="A130" s="177"/>
      <c r="B130" s="177"/>
      <c r="C130" s="137"/>
      <c r="D130" s="137"/>
      <c r="E130" s="137"/>
      <c r="F130" s="137"/>
      <c r="G130" s="137"/>
      <c r="H130" s="137"/>
      <c r="I130" s="137"/>
      <c r="J130" s="137"/>
      <c r="K130" s="137"/>
      <c r="L130" s="137"/>
      <c r="M130" s="192" t="str">
        <f t="shared" si="3"/>
        <v/>
      </c>
      <c r="N130" s="192" t="str">
        <f t="shared" si="4"/>
        <v/>
      </c>
    </row>
    <row r="131" spans="1:14" ht="15.75">
      <c r="A131" s="177"/>
      <c r="B131" s="177"/>
      <c r="C131" s="137"/>
      <c r="D131" s="137"/>
      <c r="E131" s="137"/>
      <c r="F131" s="137"/>
      <c r="G131" s="137"/>
      <c r="H131" s="137"/>
      <c r="I131" s="137"/>
      <c r="J131" s="137"/>
      <c r="K131" s="137"/>
      <c r="L131" s="137"/>
      <c r="M131" s="192" t="str">
        <f t="shared" si="3"/>
        <v/>
      </c>
      <c r="N131" s="192" t="str">
        <f t="shared" si="4"/>
        <v/>
      </c>
    </row>
    <row r="132" spans="1:14" ht="15.75">
      <c r="A132" s="177"/>
      <c r="B132" s="177"/>
      <c r="C132" s="137"/>
      <c r="D132" s="137"/>
      <c r="E132" s="137"/>
      <c r="F132" s="137"/>
      <c r="G132" s="137"/>
      <c r="H132" s="137"/>
      <c r="I132" s="137"/>
      <c r="J132" s="137"/>
      <c r="K132" s="137"/>
      <c r="L132" s="137"/>
      <c r="M132" s="192" t="str">
        <f t="shared" si="3"/>
        <v/>
      </c>
      <c r="N132" s="192" t="str">
        <f t="shared" si="4"/>
        <v/>
      </c>
    </row>
    <row r="133" spans="1:14" ht="15.75">
      <c r="A133" s="177"/>
      <c r="B133" s="177"/>
      <c r="C133" s="137"/>
      <c r="D133" s="137"/>
      <c r="E133" s="137"/>
      <c r="F133" s="137"/>
      <c r="G133" s="137"/>
      <c r="H133" s="137"/>
      <c r="I133" s="137"/>
      <c r="J133" s="137"/>
      <c r="K133" s="137"/>
      <c r="L133" s="137"/>
      <c r="M133" s="192" t="str">
        <f t="shared" si="3"/>
        <v/>
      </c>
      <c r="N133" s="192" t="str">
        <f t="shared" si="4"/>
        <v/>
      </c>
    </row>
    <row r="134" spans="1:14" ht="15.75">
      <c r="A134" s="177"/>
      <c r="B134" s="177"/>
      <c r="C134" s="137"/>
      <c r="D134" s="137"/>
      <c r="E134" s="137"/>
      <c r="F134" s="137"/>
      <c r="G134" s="137"/>
      <c r="H134" s="137"/>
      <c r="I134" s="137"/>
      <c r="J134" s="137"/>
      <c r="K134" s="137"/>
      <c r="L134" s="137"/>
      <c r="M134" s="192" t="str">
        <f t="shared" si="3"/>
        <v/>
      </c>
      <c r="N134" s="192" t="str">
        <f t="shared" si="4"/>
        <v/>
      </c>
    </row>
    <row r="135" spans="1:14" ht="15.75">
      <c r="A135" s="177"/>
      <c r="B135" s="177"/>
      <c r="C135" s="137"/>
      <c r="D135" s="137"/>
      <c r="E135" s="137"/>
      <c r="F135" s="137"/>
      <c r="G135" s="137"/>
      <c r="H135" s="137"/>
      <c r="I135" s="137"/>
      <c r="J135" s="137"/>
      <c r="K135" s="137"/>
      <c r="L135" s="137"/>
      <c r="M135" s="192" t="str">
        <f t="shared" ref="M135:M198" si="5">IF(OR(A135="",A135="Heading"),"",IF(NOT(AND(C135="",D135="",E135="",F135="",G135="",H135="")),CheckOK,CheckErr))</f>
        <v/>
      </c>
      <c r="N135" s="192" t="str">
        <f t="shared" ref="N135:N198" si="6">IF(OR(A135="",A135="Heading"),"",IF(AND(NOT(J135=""),NOT(K135="")),CheckOK,CheckErr))</f>
        <v/>
      </c>
    </row>
    <row r="136" spans="1:14" ht="15.75">
      <c r="A136" s="177"/>
      <c r="B136" s="177"/>
      <c r="C136" s="137"/>
      <c r="D136" s="137"/>
      <c r="E136" s="137"/>
      <c r="F136" s="137"/>
      <c r="G136" s="137"/>
      <c r="H136" s="137"/>
      <c r="I136" s="137"/>
      <c r="J136" s="137"/>
      <c r="K136" s="137"/>
      <c r="L136" s="137"/>
      <c r="M136" s="192" t="str">
        <f t="shared" si="5"/>
        <v/>
      </c>
      <c r="N136" s="192" t="str">
        <f t="shared" si="6"/>
        <v/>
      </c>
    </row>
    <row r="137" spans="1:14" ht="15.75">
      <c r="A137" s="177"/>
      <c r="B137" s="177"/>
      <c r="C137" s="137"/>
      <c r="D137" s="137"/>
      <c r="E137" s="137"/>
      <c r="F137" s="137"/>
      <c r="G137" s="137"/>
      <c r="H137" s="137"/>
      <c r="I137" s="137"/>
      <c r="J137" s="137"/>
      <c r="K137" s="137"/>
      <c r="L137" s="137"/>
      <c r="M137" s="192" t="str">
        <f t="shared" si="5"/>
        <v/>
      </c>
      <c r="N137" s="192" t="str">
        <f t="shared" si="6"/>
        <v/>
      </c>
    </row>
    <row r="138" spans="1:14" ht="15.75">
      <c r="A138" s="177"/>
      <c r="B138" s="177"/>
      <c r="C138" s="137"/>
      <c r="D138" s="137"/>
      <c r="E138" s="137"/>
      <c r="F138" s="137"/>
      <c r="G138" s="137"/>
      <c r="H138" s="137"/>
      <c r="I138" s="137"/>
      <c r="J138" s="137"/>
      <c r="K138" s="137"/>
      <c r="L138" s="137"/>
      <c r="M138" s="192" t="str">
        <f t="shared" si="5"/>
        <v/>
      </c>
      <c r="N138" s="192" t="str">
        <f t="shared" si="6"/>
        <v/>
      </c>
    </row>
    <row r="139" spans="1:14" ht="15.75">
      <c r="A139" s="177"/>
      <c r="B139" s="177"/>
      <c r="C139" s="137"/>
      <c r="D139" s="137"/>
      <c r="E139" s="137"/>
      <c r="F139" s="137"/>
      <c r="G139" s="137"/>
      <c r="H139" s="137"/>
      <c r="I139" s="137"/>
      <c r="J139" s="137"/>
      <c r="K139" s="137"/>
      <c r="L139" s="137"/>
      <c r="M139" s="192" t="str">
        <f t="shared" si="5"/>
        <v/>
      </c>
      <c r="N139" s="192" t="str">
        <f t="shared" si="6"/>
        <v/>
      </c>
    </row>
    <row r="140" spans="1:14" ht="15.75">
      <c r="A140" s="177"/>
      <c r="B140" s="177"/>
      <c r="C140" s="137"/>
      <c r="D140" s="137"/>
      <c r="E140" s="137"/>
      <c r="F140" s="137"/>
      <c r="G140" s="137"/>
      <c r="H140" s="137"/>
      <c r="I140" s="137"/>
      <c r="J140" s="137"/>
      <c r="K140" s="137"/>
      <c r="L140" s="137"/>
      <c r="M140" s="192" t="str">
        <f t="shared" si="5"/>
        <v/>
      </c>
      <c r="N140" s="192" t="str">
        <f t="shared" si="6"/>
        <v/>
      </c>
    </row>
    <row r="141" spans="1:14" ht="15.75">
      <c r="A141" s="177"/>
      <c r="B141" s="177"/>
      <c r="C141" s="137"/>
      <c r="D141" s="137"/>
      <c r="E141" s="137"/>
      <c r="F141" s="137"/>
      <c r="G141" s="137"/>
      <c r="H141" s="137"/>
      <c r="I141" s="137"/>
      <c r="J141" s="137"/>
      <c r="K141" s="137"/>
      <c r="L141" s="137"/>
      <c r="M141" s="192" t="str">
        <f t="shared" si="5"/>
        <v/>
      </c>
      <c r="N141" s="192" t="str">
        <f t="shared" si="6"/>
        <v/>
      </c>
    </row>
    <row r="142" spans="1:14" ht="15.75">
      <c r="A142" s="177"/>
      <c r="B142" s="177"/>
      <c r="C142" s="137"/>
      <c r="D142" s="137"/>
      <c r="E142" s="137"/>
      <c r="F142" s="137"/>
      <c r="G142" s="137"/>
      <c r="H142" s="137"/>
      <c r="I142" s="137"/>
      <c r="J142" s="137"/>
      <c r="K142" s="137"/>
      <c r="L142" s="137"/>
      <c r="M142" s="192" t="str">
        <f t="shared" si="5"/>
        <v/>
      </c>
      <c r="N142" s="192" t="str">
        <f t="shared" si="6"/>
        <v/>
      </c>
    </row>
    <row r="143" spans="1:14" ht="15.75">
      <c r="A143" s="177"/>
      <c r="B143" s="177"/>
      <c r="C143" s="137"/>
      <c r="D143" s="137"/>
      <c r="E143" s="137"/>
      <c r="F143" s="137"/>
      <c r="G143" s="137"/>
      <c r="H143" s="137"/>
      <c r="I143" s="137"/>
      <c r="J143" s="137"/>
      <c r="K143" s="137"/>
      <c r="L143" s="137"/>
      <c r="M143" s="192" t="str">
        <f t="shared" si="5"/>
        <v/>
      </c>
      <c r="N143" s="192" t="str">
        <f t="shared" si="6"/>
        <v/>
      </c>
    </row>
    <row r="144" spans="1:14" ht="15.75">
      <c r="A144" s="177"/>
      <c r="B144" s="177"/>
      <c r="C144" s="137"/>
      <c r="D144" s="137"/>
      <c r="E144" s="137"/>
      <c r="F144" s="137"/>
      <c r="G144" s="137"/>
      <c r="H144" s="137"/>
      <c r="I144" s="137"/>
      <c r="J144" s="137"/>
      <c r="K144" s="137"/>
      <c r="L144" s="137"/>
      <c r="M144" s="192" t="str">
        <f t="shared" si="5"/>
        <v/>
      </c>
      <c r="N144" s="192" t="str">
        <f t="shared" si="6"/>
        <v/>
      </c>
    </row>
    <row r="145" spans="1:14" ht="15.75">
      <c r="A145" s="177"/>
      <c r="B145" s="177"/>
      <c r="C145" s="137"/>
      <c r="D145" s="137"/>
      <c r="E145" s="137"/>
      <c r="F145" s="137"/>
      <c r="G145" s="137"/>
      <c r="H145" s="137"/>
      <c r="I145" s="137"/>
      <c r="J145" s="137"/>
      <c r="K145" s="137"/>
      <c r="L145" s="137"/>
      <c r="M145" s="192" t="str">
        <f t="shared" si="5"/>
        <v/>
      </c>
      <c r="N145" s="192" t="str">
        <f t="shared" si="6"/>
        <v/>
      </c>
    </row>
    <row r="146" spans="1:14" ht="15.75">
      <c r="A146" s="177"/>
      <c r="B146" s="177"/>
      <c r="C146" s="137"/>
      <c r="D146" s="137"/>
      <c r="E146" s="137"/>
      <c r="F146" s="137"/>
      <c r="G146" s="137"/>
      <c r="H146" s="137"/>
      <c r="I146" s="137"/>
      <c r="J146" s="137"/>
      <c r="K146" s="137"/>
      <c r="L146" s="137"/>
      <c r="M146" s="192" t="str">
        <f t="shared" si="5"/>
        <v/>
      </c>
      <c r="N146" s="192" t="str">
        <f t="shared" si="6"/>
        <v/>
      </c>
    </row>
    <row r="147" spans="1:14" ht="15.75">
      <c r="A147" s="177"/>
      <c r="B147" s="177"/>
      <c r="C147" s="137"/>
      <c r="D147" s="137"/>
      <c r="E147" s="137"/>
      <c r="F147" s="137"/>
      <c r="G147" s="137"/>
      <c r="H147" s="137"/>
      <c r="I147" s="137"/>
      <c r="J147" s="137"/>
      <c r="K147" s="137"/>
      <c r="L147" s="137"/>
      <c r="M147" s="192" t="str">
        <f t="shared" si="5"/>
        <v/>
      </c>
      <c r="N147" s="192" t="str">
        <f t="shared" si="6"/>
        <v/>
      </c>
    </row>
    <row r="148" spans="1:14" ht="15.75">
      <c r="A148" s="177"/>
      <c r="B148" s="177"/>
      <c r="C148" s="137"/>
      <c r="D148" s="137"/>
      <c r="E148" s="137"/>
      <c r="F148" s="137"/>
      <c r="G148" s="137"/>
      <c r="H148" s="137"/>
      <c r="I148" s="137"/>
      <c r="J148" s="137"/>
      <c r="K148" s="137"/>
      <c r="L148" s="137"/>
      <c r="M148" s="192" t="str">
        <f t="shared" si="5"/>
        <v/>
      </c>
      <c r="N148" s="192" t="str">
        <f t="shared" si="6"/>
        <v/>
      </c>
    </row>
    <row r="149" spans="1:14" ht="15.75">
      <c r="A149" s="177"/>
      <c r="B149" s="177"/>
      <c r="C149" s="137"/>
      <c r="D149" s="137"/>
      <c r="E149" s="137"/>
      <c r="F149" s="137"/>
      <c r="G149" s="137"/>
      <c r="H149" s="137"/>
      <c r="I149" s="137"/>
      <c r="J149" s="137"/>
      <c r="K149" s="137"/>
      <c r="L149" s="137"/>
      <c r="M149" s="192" t="str">
        <f t="shared" si="5"/>
        <v/>
      </c>
      <c r="N149" s="192" t="str">
        <f t="shared" si="6"/>
        <v/>
      </c>
    </row>
    <row r="150" spans="1:14" ht="15.75">
      <c r="A150" s="177"/>
      <c r="B150" s="177"/>
      <c r="C150" s="137"/>
      <c r="D150" s="137"/>
      <c r="E150" s="137"/>
      <c r="F150" s="137"/>
      <c r="G150" s="137"/>
      <c r="H150" s="137"/>
      <c r="I150" s="137"/>
      <c r="J150" s="137"/>
      <c r="K150" s="137"/>
      <c r="L150" s="137"/>
      <c r="M150" s="192" t="str">
        <f t="shared" si="5"/>
        <v/>
      </c>
      <c r="N150" s="192" t="str">
        <f t="shared" si="6"/>
        <v/>
      </c>
    </row>
    <row r="151" spans="1:14" ht="15.75">
      <c r="A151" s="177"/>
      <c r="B151" s="177"/>
      <c r="C151" s="137"/>
      <c r="D151" s="137"/>
      <c r="E151" s="137"/>
      <c r="F151" s="137"/>
      <c r="G151" s="137"/>
      <c r="H151" s="137"/>
      <c r="I151" s="137"/>
      <c r="J151" s="137"/>
      <c r="K151" s="137"/>
      <c r="L151" s="137"/>
      <c r="M151" s="192" t="str">
        <f t="shared" si="5"/>
        <v/>
      </c>
      <c r="N151" s="192" t="str">
        <f t="shared" si="6"/>
        <v/>
      </c>
    </row>
    <row r="152" spans="1:14" ht="15.75">
      <c r="A152" s="177"/>
      <c r="B152" s="177"/>
      <c r="C152" s="137"/>
      <c r="D152" s="137"/>
      <c r="E152" s="137"/>
      <c r="F152" s="137"/>
      <c r="G152" s="137"/>
      <c r="H152" s="137"/>
      <c r="I152" s="137"/>
      <c r="J152" s="137"/>
      <c r="K152" s="137"/>
      <c r="L152" s="137"/>
      <c r="M152" s="192" t="str">
        <f t="shared" si="5"/>
        <v/>
      </c>
      <c r="N152" s="192" t="str">
        <f t="shared" si="6"/>
        <v/>
      </c>
    </row>
    <row r="153" spans="1:14" ht="15.75">
      <c r="A153" s="177"/>
      <c r="B153" s="177"/>
      <c r="C153" s="137"/>
      <c r="D153" s="137"/>
      <c r="E153" s="137"/>
      <c r="F153" s="137"/>
      <c r="G153" s="137"/>
      <c r="H153" s="137"/>
      <c r="I153" s="137"/>
      <c r="J153" s="137"/>
      <c r="K153" s="137"/>
      <c r="L153" s="137"/>
      <c r="M153" s="192" t="str">
        <f t="shared" si="5"/>
        <v/>
      </c>
      <c r="N153" s="192" t="str">
        <f t="shared" si="6"/>
        <v/>
      </c>
    </row>
    <row r="154" spans="1:14" ht="15.75">
      <c r="A154" s="177"/>
      <c r="B154" s="177"/>
      <c r="C154" s="137"/>
      <c r="D154" s="137"/>
      <c r="E154" s="137"/>
      <c r="F154" s="137"/>
      <c r="G154" s="137"/>
      <c r="H154" s="137"/>
      <c r="I154" s="137"/>
      <c r="J154" s="137"/>
      <c r="K154" s="137"/>
      <c r="L154" s="137"/>
      <c r="M154" s="192" t="str">
        <f t="shared" si="5"/>
        <v/>
      </c>
      <c r="N154" s="192" t="str">
        <f t="shared" si="6"/>
        <v/>
      </c>
    </row>
    <row r="155" spans="1:14" ht="15.75">
      <c r="A155" s="177"/>
      <c r="B155" s="177"/>
      <c r="C155" s="137"/>
      <c r="D155" s="137"/>
      <c r="E155" s="137"/>
      <c r="F155" s="137"/>
      <c r="G155" s="137"/>
      <c r="H155" s="137"/>
      <c r="I155" s="137"/>
      <c r="J155" s="137"/>
      <c r="K155" s="137"/>
      <c r="L155" s="137"/>
      <c r="M155" s="192" t="str">
        <f t="shared" si="5"/>
        <v/>
      </c>
      <c r="N155" s="192" t="str">
        <f t="shared" si="6"/>
        <v/>
      </c>
    </row>
    <row r="156" spans="1:14" ht="15.75">
      <c r="A156" s="177"/>
      <c r="B156" s="177"/>
      <c r="C156" s="137"/>
      <c r="D156" s="137"/>
      <c r="E156" s="137"/>
      <c r="F156" s="137"/>
      <c r="G156" s="137"/>
      <c r="H156" s="137"/>
      <c r="I156" s="137"/>
      <c r="J156" s="137"/>
      <c r="K156" s="137"/>
      <c r="L156" s="137"/>
      <c r="M156" s="192" t="str">
        <f t="shared" si="5"/>
        <v/>
      </c>
      <c r="N156" s="192" t="str">
        <f t="shared" si="6"/>
        <v/>
      </c>
    </row>
    <row r="157" spans="1:14" ht="15.75">
      <c r="A157" s="177"/>
      <c r="B157" s="177"/>
      <c r="C157" s="137"/>
      <c r="D157" s="137"/>
      <c r="E157" s="137"/>
      <c r="F157" s="137"/>
      <c r="G157" s="137"/>
      <c r="H157" s="137"/>
      <c r="I157" s="137"/>
      <c r="J157" s="137"/>
      <c r="K157" s="137"/>
      <c r="L157" s="137"/>
      <c r="M157" s="192" t="str">
        <f t="shared" si="5"/>
        <v/>
      </c>
      <c r="N157" s="192" t="str">
        <f t="shared" si="6"/>
        <v/>
      </c>
    </row>
    <row r="158" spans="1:14" ht="15.75">
      <c r="A158" s="177"/>
      <c r="B158" s="177"/>
      <c r="C158" s="137"/>
      <c r="D158" s="137"/>
      <c r="E158" s="137"/>
      <c r="F158" s="137"/>
      <c r="G158" s="137"/>
      <c r="H158" s="137"/>
      <c r="I158" s="137"/>
      <c r="J158" s="137"/>
      <c r="K158" s="137"/>
      <c r="L158" s="137"/>
      <c r="M158" s="192" t="str">
        <f t="shared" si="5"/>
        <v/>
      </c>
      <c r="N158" s="192" t="str">
        <f t="shared" si="6"/>
        <v/>
      </c>
    </row>
    <row r="159" spans="1:14" ht="15.75">
      <c r="A159" s="177"/>
      <c r="B159" s="177"/>
      <c r="C159" s="137"/>
      <c r="D159" s="137"/>
      <c r="E159" s="137"/>
      <c r="F159" s="137"/>
      <c r="G159" s="137"/>
      <c r="H159" s="137"/>
      <c r="I159" s="137"/>
      <c r="J159" s="137"/>
      <c r="K159" s="137"/>
      <c r="L159" s="137"/>
      <c r="M159" s="192" t="str">
        <f t="shared" si="5"/>
        <v/>
      </c>
      <c r="N159" s="192" t="str">
        <f t="shared" si="6"/>
        <v/>
      </c>
    </row>
    <row r="160" spans="1:14" ht="15.75">
      <c r="A160" s="177"/>
      <c r="B160" s="177"/>
      <c r="C160" s="137"/>
      <c r="D160" s="137"/>
      <c r="E160" s="137"/>
      <c r="F160" s="137"/>
      <c r="G160" s="137"/>
      <c r="H160" s="137"/>
      <c r="I160" s="137"/>
      <c r="J160" s="137"/>
      <c r="K160" s="137"/>
      <c r="L160" s="137"/>
      <c r="M160" s="192" t="str">
        <f t="shared" si="5"/>
        <v/>
      </c>
      <c r="N160" s="192" t="str">
        <f t="shared" si="6"/>
        <v/>
      </c>
    </row>
    <row r="161" spans="1:14" ht="15.75">
      <c r="A161" s="177"/>
      <c r="B161" s="177"/>
      <c r="C161" s="137"/>
      <c r="D161" s="137"/>
      <c r="E161" s="137"/>
      <c r="F161" s="137"/>
      <c r="G161" s="137"/>
      <c r="H161" s="137"/>
      <c r="I161" s="137"/>
      <c r="J161" s="137"/>
      <c r="K161" s="137"/>
      <c r="L161" s="137"/>
      <c r="M161" s="192" t="str">
        <f t="shared" si="5"/>
        <v/>
      </c>
      <c r="N161" s="192" t="str">
        <f t="shared" si="6"/>
        <v/>
      </c>
    </row>
    <row r="162" spans="1:14" ht="15.75">
      <c r="A162" s="177"/>
      <c r="B162" s="177"/>
      <c r="C162" s="137"/>
      <c r="D162" s="137"/>
      <c r="E162" s="137"/>
      <c r="F162" s="137"/>
      <c r="G162" s="137"/>
      <c r="H162" s="137"/>
      <c r="I162" s="137"/>
      <c r="J162" s="137"/>
      <c r="K162" s="137"/>
      <c r="L162" s="137"/>
      <c r="M162" s="192" t="str">
        <f t="shared" si="5"/>
        <v/>
      </c>
      <c r="N162" s="192" t="str">
        <f t="shared" si="6"/>
        <v/>
      </c>
    </row>
    <row r="163" spans="1:14" ht="15.75">
      <c r="A163" s="177"/>
      <c r="B163" s="177"/>
      <c r="C163" s="137"/>
      <c r="D163" s="137"/>
      <c r="E163" s="137"/>
      <c r="F163" s="137"/>
      <c r="G163" s="137"/>
      <c r="H163" s="137"/>
      <c r="I163" s="137"/>
      <c r="J163" s="137"/>
      <c r="K163" s="137"/>
      <c r="L163" s="137"/>
      <c r="M163" s="192" t="str">
        <f t="shared" si="5"/>
        <v/>
      </c>
      <c r="N163" s="192" t="str">
        <f t="shared" si="6"/>
        <v/>
      </c>
    </row>
    <row r="164" spans="1:14" ht="15.75">
      <c r="A164" s="177"/>
      <c r="B164" s="177"/>
      <c r="C164" s="137"/>
      <c r="D164" s="137"/>
      <c r="E164" s="137"/>
      <c r="F164" s="137"/>
      <c r="G164" s="137"/>
      <c r="H164" s="137"/>
      <c r="I164" s="137"/>
      <c r="J164" s="137"/>
      <c r="K164" s="137"/>
      <c r="L164" s="137"/>
      <c r="M164" s="192" t="str">
        <f t="shared" si="5"/>
        <v/>
      </c>
      <c r="N164" s="192" t="str">
        <f t="shared" si="6"/>
        <v/>
      </c>
    </row>
    <row r="165" spans="1:14" ht="15.75">
      <c r="A165" s="177"/>
      <c r="B165" s="177"/>
      <c r="C165" s="137"/>
      <c r="D165" s="137"/>
      <c r="E165" s="137"/>
      <c r="F165" s="137"/>
      <c r="G165" s="137"/>
      <c r="H165" s="137"/>
      <c r="I165" s="137"/>
      <c r="J165" s="137"/>
      <c r="K165" s="137"/>
      <c r="L165" s="137"/>
      <c r="M165" s="192" t="str">
        <f t="shared" si="5"/>
        <v/>
      </c>
      <c r="N165" s="192" t="str">
        <f t="shared" si="6"/>
        <v/>
      </c>
    </row>
    <row r="166" spans="1:14" ht="15.75">
      <c r="A166" s="177"/>
      <c r="B166" s="177"/>
      <c r="C166" s="137"/>
      <c r="D166" s="137"/>
      <c r="E166" s="137"/>
      <c r="F166" s="137"/>
      <c r="G166" s="137"/>
      <c r="H166" s="137"/>
      <c r="I166" s="137"/>
      <c r="J166" s="137"/>
      <c r="K166" s="137"/>
      <c r="L166" s="137"/>
      <c r="M166" s="192" t="str">
        <f t="shared" si="5"/>
        <v/>
      </c>
      <c r="N166" s="192" t="str">
        <f t="shared" si="6"/>
        <v/>
      </c>
    </row>
    <row r="167" spans="1:14" ht="15.75">
      <c r="A167" s="177"/>
      <c r="B167" s="177"/>
      <c r="C167" s="137"/>
      <c r="D167" s="137"/>
      <c r="E167" s="137"/>
      <c r="F167" s="137"/>
      <c r="G167" s="137"/>
      <c r="H167" s="137"/>
      <c r="I167" s="137"/>
      <c r="J167" s="137"/>
      <c r="K167" s="137"/>
      <c r="L167" s="137"/>
      <c r="M167" s="192" t="str">
        <f t="shared" si="5"/>
        <v/>
      </c>
      <c r="N167" s="192" t="str">
        <f t="shared" si="6"/>
        <v/>
      </c>
    </row>
    <row r="168" spans="1:14" ht="15.75">
      <c r="A168" s="177"/>
      <c r="B168" s="177"/>
      <c r="C168" s="137"/>
      <c r="D168" s="137"/>
      <c r="E168" s="137"/>
      <c r="F168" s="137"/>
      <c r="G168" s="137"/>
      <c r="H168" s="137"/>
      <c r="I168" s="137"/>
      <c r="J168" s="137"/>
      <c r="K168" s="137"/>
      <c r="L168" s="137"/>
      <c r="M168" s="192" t="str">
        <f t="shared" si="5"/>
        <v/>
      </c>
      <c r="N168" s="192" t="str">
        <f t="shared" si="6"/>
        <v/>
      </c>
    </row>
    <row r="169" spans="1:14" ht="15.75">
      <c r="A169" s="177"/>
      <c r="B169" s="177"/>
      <c r="C169" s="137"/>
      <c r="D169" s="137"/>
      <c r="E169" s="137"/>
      <c r="F169" s="137"/>
      <c r="G169" s="137"/>
      <c r="H169" s="137"/>
      <c r="I169" s="137"/>
      <c r="J169" s="137"/>
      <c r="K169" s="137"/>
      <c r="L169" s="137"/>
      <c r="M169" s="192" t="str">
        <f t="shared" si="5"/>
        <v/>
      </c>
      <c r="N169" s="192" t="str">
        <f t="shared" si="6"/>
        <v/>
      </c>
    </row>
    <row r="170" spans="1:14" ht="15.75">
      <c r="A170" s="177"/>
      <c r="B170" s="177"/>
      <c r="C170" s="137"/>
      <c r="D170" s="137"/>
      <c r="E170" s="137"/>
      <c r="F170" s="137"/>
      <c r="G170" s="137"/>
      <c r="H170" s="137"/>
      <c r="I170" s="137"/>
      <c r="J170" s="137"/>
      <c r="K170" s="137"/>
      <c r="L170" s="137"/>
      <c r="M170" s="192" t="str">
        <f t="shared" si="5"/>
        <v/>
      </c>
      <c r="N170" s="192" t="str">
        <f t="shared" si="6"/>
        <v/>
      </c>
    </row>
    <row r="171" spans="1:14" ht="15.75">
      <c r="A171" s="177"/>
      <c r="B171" s="177"/>
      <c r="C171" s="137"/>
      <c r="D171" s="137"/>
      <c r="E171" s="137"/>
      <c r="F171" s="137"/>
      <c r="G171" s="137"/>
      <c r="H171" s="137"/>
      <c r="I171" s="137"/>
      <c r="J171" s="137"/>
      <c r="K171" s="137"/>
      <c r="L171" s="137"/>
      <c r="M171" s="192" t="str">
        <f t="shared" si="5"/>
        <v/>
      </c>
      <c r="N171" s="192" t="str">
        <f t="shared" si="6"/>
        <v/>
      </c>
    </row>
    <row r="172" spans="1:14" ht="15.75">
      <c r="A172" s="177"/>
      <c r="B172" s="177"/>
      <c r="C172" s="137"/>
      <c r="D172" s="137"/>
      <c r="E172" s="137"/>
      <c r="F172" s="137"/>
      <c r="G172" s="137"/>
      <c r="H172" s="137"/>
      <c r="I172" s="137"/>
      <c r="J172" s="137"/>
      <c r="K172" s="137"/>
      <c r="L172" s="137"/>
      <c r="M172" s="192" t="str">
        <f t="shared" si="5"/>
        <v/>
      </c>
      <c r="N172" s="192" t="str">
        <f t="shared" si="6"/>
        <v/>
      </c>
    </row>
    <row r="173" spans="1:14" ht="15.75">
      <c r="A173" s="177"/>
      <c r="B173" s="177"/>
      <c r="C173" s="137"/>
      <c r="D173" s="137"/>
      <c r="E173" s="137"/>
      <c r="F173" s="137"/>
      <c r="G173" s="137"/>
      <c r="H173" s="137"/>
      <c r="I173" s="137"/>
      <c r="J173" s="137"/>
      <c r="K173" s="137"/>
      <c r="L173" s="137"/>
      <c r="M173" s="192" t="str">
        <f t="shared" si="5"/>
        <v/>
      </c>
      <c r="N173" s="192" t="str">
        <f t="shared" si="6"/>
        <v/>
      </c>
    </row>
    <row r="174" spans="1:14" ht="15.75">
      <c r="A174" s="177"/>
      <c r="B174" s="177"/>
      <c r="C174" s="137"/>
      <c r="D174" s="137"/>
      <c r="E174" s="137"/>
      <c r="F174" s="137"/>
      <c r="G174" s="137"/>
      <c r="H174" s="137"/>
      <c r="I174" s="137"/>
      <c r="J174" s="137"/>
      <c r="K174" s="137"/>
      <c r="L174" s="137"/>
      <c r="M174" s="192" t="str">
        <f t="shared" si="5"/>
        <v/>
      </c>
      <c r="N174" s="192" t="str">
        <f t="shared" si="6"/>
        <v/>
      </c>
    </row>
    <row r="175" spans="1:14" ht="15.75">
      <c r="A175" s="177"/>
      <c r="B175" s="177"/>
      <c r="C175" s="137"/>
      <c r="D175" s="137"/>
      <c r="E175" s="137"/>
      <c r="F175" s="137"/>
      <c r="G175" s="137"/>
      <c r="H175" s="137"/>
      <c r="I175" s="137"/>
      <c r="J175" s="137"/>
      <c r="K175" s="137"/>
      <c r="L175" s="137"/>
      <c r="M175" s="192" t="str">
        <f t="shared" si="5"/>
        <v/>
      </c>
      <c r="N175" s="192" t="str">
        <f t="shared" si="6"/>
        <v/>
      </c>
    </row>
    <row r="176" spans="1:14" ht="15.75">
      <c r="A176" s="177"/>
      <c r="B176" s="177"/>
      <c r="C176" s="137"/>
      <c r="D176" s="137"/>
      <c r="E176" s="137"/>
      <c r="F176" s="137"/>
      <c r="G176" s="137"/>
      <c r="H176" s="137"/>
      <c r="I176" s="137"/>
      <c r="J176" s="137"/>
      <c r="K176" s="137"/>
      <c r="L176" s="137"/>
      <c r="M176" s="192" t="str">
        <f t="shared" si="5"/>
        <v/>
      </c>
      <c r="N176" s="192" t="str">
        <f t="shared" si="6"/>
        <v/>
      </c>
    </row>
    <row r="177" spans="1:14" ht="15.75">
      <c r="A177" s="177"/>
      <c r="B177" s="177"/>
      <c r="C177" s="137"/>
      <c r="D177" s="137"/>
      <c r="E177" s="137"/>
      <c r="F177" s="137"/>
      <c r="G177" s="137"/>
      <c r="H177" s="137"/>
      <c r="I177" s="137"/>
      <c r="J177" s="137"/>
      <c r="K177" s="137"/>
      <c r="L177" s="137"/>
      <c r="M177" s="192" t="str">
        <f t="shared" si="5"/>
        <v/>
      </c>
      <c r="N177" s="192" t="str">
        <f t="shared" si="6"/>
        <v/>
      </c>
    </row>
    <row r="178" spans="1:14" ht="15.75">
      <c r="A178" s="177"/>
      <c r="B178" s="177"/>
      <c r="C178" s="137"/>
      <c r="D178" s="137"/>
      <c r="E178" s="137"/>
      <c r="F178" s="137"/>
      <c r="G178" s="137"/>
      <c r="H178" s="137"/>
      <c r="I178" s="137"/>
      <c r="J178" s="137"/>
      <c r="K178" s="137"/>
      <c r="L178" s="137"/>
      <c r="M178" s="192" t="str">
        <f t="shared" si="5"/>
        <v/>
      </c>
      <c r="N178" s="192" t="str">
        <f t="shared" si="6"/>
        <v/>
      </c>
    </row>
    <row r="179" spans="1:14" ht="15.75">
      <c r="A179" s="177"/>
      <c r="B179" s="177"/>
      <c r="C179" s="137"/>
      <c r="D179" s="137"/>
      <c r="E179" s="137"/>
      <c r="F179" s="137"/>
      <c r="G179" s="137"/>
      <c r="H179" s="137"/>
      <c r="I179" s="137"/>
      <c r="J179" s="137"/>
      <c r="K179" s="137"/>
      <c r="L179" s="137"/>
      <c r="M179" s="192" t="str">
        <f t="shared" si="5"/>
        <v/>
      </c>
      <c r="N179" s="192" t="str">
        <f t="shared" si="6"/>
        <v/>
      </c>
    </row>
    <row r="180" spans="1:14" ht="15.75">
      <c r="A180" s="177"/>
      <c r="B180" s="177"/>
      <c r="C180" s="137"/>
      <c r="D180" s="137"/>
      <c r="E180" s="137"/>
      <c r="F180" s="137"/>
      <c r="G180" s="137"/>
      <c r="H180" s="137"/>
      <c r="I180" s="137"/>
      <c r="J180" s="137"/>
      <c r="K180" s="137"/>
      <c r="L180" s="137"/>
      <c r="M180" s="192" t="str">
        <f t="shared" si="5"/>
        <v/>
      </c>
      <c r="N180" s="192" t="str">
        <f t="shared" si="6"/>
        <v/>
      </c>
    </row>
    <row r="181" spans="1:14" ht="15.75">
      <c r="A181" s="177"/>
      <c r="B181" s="177"/>
      <c r="C181" s="137"/>
      <c r="D181" s="137"/>
      <c r="E181" s="137"/>
      <c r="F181" s="137"/>
      <c r="G181" s="137"/>
      <c r="H181" s="137"/>
      <c r="I181" s="137"/>
      <c r="J181" s="137"/>
      <c r="K181" s="137"/>
      <c r="L181" s="137"/>
      <c r="M181" s="192" t="str">
        <f t="shared" si="5"/>
        <v/>
      </c>
      <c r="N181" s="192" t="str">
        <f t="shared" si="6"/>
        <v/>
      </c>
    </row>
    <row r="182" spans="1:14" ht="15.75">
      <c r="A182" s="177"/>
      <c r="B182" s="177"/>
      <c r="C182" s="137"/>
      <c r="D182" s="137"/>
      <c r="E182" s="137"/>
      <c r="F182" s="137"/>
      <c r="G182" s="137"/>
      <c r="H182" s="137"/>
      <c r="I182" s="137"/>
      <c r="J182" s="137"/>
      <c r="K182" s="137"/>
      <c r="L182" s="137"/>
      <c r="M182" s="192" t="str">
        <f t="shared" si="5"/>
        <v/>
      </c>
      <c r="N182" s="192" t="str">
        <f t="shared" si="6"/>
        <v/>
      </c>
    </row>
    <row r="183" spans="1:14" ht="15.75">
      <c r="A183" s="177"/>
      <c r="B183" s="177"/>
      <c r="C183" s="137"/>
      <c r="D183" s="137"/>
      <c r="E183" s="137"/>
      <c r="F183" s="137"/>
      <c r="G183" s="137"/>
      <c r="H183" s="137"/>
      <c r="I183" s="137"/>
      <c r="J183" s="137"/>
      <c r="K183" s="137"/>
      <c r="L183" s="137"/>
      <c r="M183" s="192" t="str">
        <f t="shared" si="5"/>
        <v/>
      </c>
      <c r="N183" s="192" t="str">
        <f t="shared" si="6"/>
        <v/>
      </c>
    </row>
    <row r="184" spans="1:14" ht="15.75">
      <c r="A184" s="177"/>
      <c r="B184" s="177"/>
      <c r="C184" s="137"/>
      <c r="D184" s="137"/>
      <c r="E184" s="137"/>
      <c r="F184" s="137"/>
      <c r="G184" s="137"/>
      <c r="H184" s="137"/>
      <c r="I184" s="137"/>
      <c r="J184" s="137"/>
      <c r="K184" s="137"/>
      <c r="L184" s="137"/>
      <c r="M184" s="192" t="str">
        <f t="shared" si="5"/>
        <v/>
      </c>
      <c r="N184" s="192" t="str">
        <f t="shared" si="6"/>
        <v/>
      </c>
    </row>
    <row r="185" spans="1:14" ht="15.75">
      <c r="A185" s="177"/>
      <c r="B185" s="177"/>
      <c r="C185" s="137"/>
      <c r="D185" s="137"/>
      <c r="E185" s="137"/>
      <c r="F185" s="137"/>
      <c r="G185" s="137"/>
      <c r="H185" s="137"/>
      <c r="I185" s="137"/>
      <c r="J185" s="137"/>
      <c r="K185" s="137"/>
      <c r="L185" s="137"/>
      <c r="M185" s="192" t="str">
        <f t="shared" si="5"/>
        <v/>
      </c>
      <c r="N185" s="192" t="str">
        <f t="shared" si="6"/>
        <v/>
      </c>
    </row>
    <row r="186" spans="1:14" ht="15.75">
      <c r="A186" s="177"/>
      <c r="B186" s="177"/>
      <c r="C186" s="137"/>
      <c r="D186" s="137"/>
      <c r="E186" s="137"/>
      <c r="F186" s="137"/>
      <c r="G186" s="137"/>
      <c r="H186" s="137"/>
      <c r="I186" s="137"/>
      <c r="J186" s="137"/>
      <c r="K186" s="137"/>
      <c r="L186" s="137"/>
      <c r="M186" s="192" t="str">
        <f t="shared" si="5"/>
        <v/>
      </c>
      <c r="N186" s="192" t="str">
        <f t="shared" si="6"/>
        <v/>
      </c>
    </row>
    <row r="187" spans="1:14" ht="15.75">
      <c r="A187" s="177"/>
      <c r="B187" s="177"/>
      <c r="C187" s="137"/>
      <c r="D187" s="137"/>
      <c r="E187" s="137"/>
      <c r="F187" s="137"/>
      <c r="G187" s="137"/>
      <c r="H187" s="137"/>
      <c r="I187" s="137"/>
      <c r="J187" s="137"/>
      <c r="K187" s="137"/>
      <c r="L187" s="137"/>
      <c r="M187" s="192" t="str">
        <f t="shared" si="5"/>
        <v/>
      </c>
      <c r="N187" s="192" t="str">
        <f t="shared" si="6"/>
        <v/>
      </c>
    </row>
    <row r="188" spans="1:14" ht="15.75">
      <c r="A188" s="177"/>
      <c r="B188" s="177"/>
      <c r="C188" s="137"/>
      <c r="D188" s="137"/>
      <c r="E188" s="137"/>
      <c r="F188" s="137"/>
      <c r="G188" s="137"/>
      <c r="H188" s="137"/>
      <c r="I188" s="137"/>
      <c r="J188" s="137"/>
      <c r="K188" s="137"/>
      <c r="L188" s="137"/>
      <c r="M188" s="192" t="str">
        <f t="shared" si="5"/>
        <v/>
      </c>
      <c r="N188" s="192" t="str">
        <f t="shared" si="6"/>
        <v/>
      </c>
    </row>
    <row r="189" spans="1:14" ht="15.75">
      <c r="A189" s="177"/>
      <c r="B189" s="177"/>
      <c r="C189" s="137"/>
      <c r="D189" s="137"/>
      <c r="E189" s="137"/>
      <c r="F189" s="137"/>
      <c r="G189" s="137"/>
      <c r="H189" s="137"/>
      <c r="I189" s="137"/>
      <c r="J189" s="137"/>
      <c r="K189" s="137"/>
      <c r="L189" s="137"/>
      <c r="M189" s="192" t="str">
        <f t="shared" si="5"/>
        <v/>
      </c>
      <c r="N189" s="192" t="str">
        <f t="shared" si="6"/>
        <v/>
      </c>
    </row>
    <row r="190" spans="1:14" ht="15.75">
      <c r="A190" s="177"/>
      <c r="B190" s="177"/>
      <c r="C190" s="137"/>
      <c r="D190" s="137"/>
      <c r="E190" s="137"/>
      <c r="F190" s="137"/>
      <c r="G190" s="137"/>
      <c r="H190" s="137"/>
      <c r="I190" s="137"/>
      <c r="J190" s="137"/>
      <c r="K190" s="137"/>
      <c r="L190" s="137"/>
      <c r="M190" s="192" t="str">
        <f t="shared" si="5"/>
        <v/>
      </c>
      <c r="N190" s="192" t="str">
        <f t="shared" si="6"/>
        <v/>
      </c>
    </row>
    <row r="191" spans="1:14" ht="15.75">
      <c r="A191" s="177"/>
      <c r="B191" s="177"/>
      <c r="C191" s="137"/>
      <c r="D191" s="137"/>
      <c r="E191" s="137"/>
      <c r="F191" s="137"/>
      <c r="G191" s="137"/>
      <c r="H191" s="137"/>
      <c r="I191" s="137"/>
      <c r="J191" s="137"/>
      <c r="K191" s="137"/>
      <c r="L191" s="137"/>
      <c r="M191" s="192" t="str">
        <f t="shared" si="5"/>
        <v/>
      </c>
      <c r="N191" s="192" t="str">
        <f t="shared" si="6"/>
        <v/>
      </c>
    </row>
    <row r="192" spans="1:14" ht="15.75">
      <c r="A192" s="177"/>
      <c r="B192" s="177"/>
      <c r="C192" s="137"/>
      <c r="D192" s="137"/>
      <c r="E192" s="137"/>
      <c r="F192" s="137"/>
      <c r="G192" s="137"/>
      <c r="H192" s="137"/>
      <c r="I192" s="137"/>
      <c r="J192" s="137"/>
      <c r="K192" s="137"/>
      <c r="L192" s="137"/>
      <c r="M192" s="192" t="str">
        <f t="shared" si="5"/>
        <v/>
      </c>
      <c r="N192" s="192" t="str">
        <f t="shared" si="6"/>
        <v/>
      </c>
    </row>
    <row r="193" spans="1:14" ht="15.75">
      <c r="A193" s="177"/>
      <c r="B193" s="177"/>
      <c r="C193" s="137"/>
      <c r="D193" s="137"/>
      <c r="E193" s="137"/>
      <c r="F193" s="137"/>
      <c r="G193" s="137"/>
      <c r="H193" s="137"/>
      <c r="I193" s="137"/>
      <c r="J193" s="137"/>
      <c r="K193" s="137"/>
      <c r="L193" s="137"/>
      <c r="M193" s="192" t="str">
        <f t="shared" si="5"/>
        <v/>
      </c>
      <c r="N193" s="192" t="str">
        <f t="shared" si="6"/>
        <v/>
      </c>
    </row>
    <row r="194" spans="1:14" ht="15.75">
      <c r="A194" s="177"/>
      <c r="B194" s="177"/>
      <c r="C194" s="137"/>
      <c r="D194" s="137"/>
      <c r="E194" s="137"/>
      <c r="F194" s="137"/>
      <c r="G194" s="137"/>
      <c r="H194" s="137"/>
      <c r="I194" s="137"/>
      <c r="J194" s="137"/>
      <c r="K194" s="137"/>
      <c r="L194" s="137"/>
      <c r="M194" s="192" t="str">
        <f t="shared" si="5"/>
        <v/>
      </c>
      <c r="N194" s="192" t="str">
        <f t="shared" si="6"/>
        <v/>
      </c>
    </row>
    <row r="195" spans="1:14" ht="15.75">
      <c r="A195" s="177"/>
      <c r="B195" s="177"/>
      <c r="C195" s="137"/>
      <c r="D195" s="137"/>
      <c r="E195" s="137"/>
      <c r="F195" s="137"/>
      <c r="G195" s="137"/>
      <c r="H195" s="137"/>
      <c r="I195" s="137"/>
      <c r="J195" s="137"/>
      <c r="K195" s="137"/>
      <c r="L195" s="137"/>
      <c r="M195" s="192" t="str">
        <f t="shared" si="5"/>
        <v/>
      </c>
      <c r="N195" s="192" t="str">
        <f t="shared" si="6"/>
        <v/>
      </c>
    </row>
    <row r="196" spans="1:14" ht="15.75">
      <c r="A196" s="177"/>
      <c r="B196" s="177"/>
      <c r="C196" s="137"/>
      <c r="D196" s="137"/>
      <c r="E196" s="137"/>
      <c r="F196" s="137"/>
      <c r="G196" s="137"/>
      <c r="H196" s="137"/>
      <c r="I196" s="137"/>
      <c r="J196" s="137"/>
      <c r="K196" s="137"/>
      <c r="L196" s="137"/>
      <c r="M196" s="192" t="str">
        <f t="shared" si="5"/>
        <v/>
      </c>
      <c r="N196" s="192" t="str">
        <f t="shared" si="6"/>
        <v/>
      </c>
    </row>
    <row r="197" spans="1:14" ht="15.75">
      <c r="A197" s="177"/>
      <c r="B197" s="177"/>
      <c r="C197" s="137"/>
      <c r="D197" s="137"/>
      <c r="E197" s="137"/>
      <c r="F197" s="137"/>
      <c r="G197" s="137"/>
      <c r="H197" s="137"/>
      <c r="I197" s="137"/>
      <c r="J197" s="137"/>
      <c r="K197" s="137"/>
      <c r="L197" s="137"/>
      <c r="M197" s="192" t="str">
        <f t="shared" si="5"/>
        <v/>
      </c>
      <c r="N197" s="192" t="str">
        <f t="shared" si="6"/>
        <v/>
      </c>
    </row>
    <row r="198" spans="1:14" ht="15.75">
      <c r="A198" s="177"/>
      <c r="B198" s="177"/>
      <c r="C198" s="137"/>
      <c r="D198" s="137"/>
      <c r="E198" s="137"/>
      <c r="F198" s="137"/>
      <c r="G198" s="137"/>
      <c r="H198" s="137"/>
      <c r="I198" s="137"/>
      <c r="J198" s="137"/>
      <c r="K198" s="137"/>
      <c r="L198" s="137"/>
      <c r="M198" s="192" t="str">
        <f t="shared" si="5"/>
        <v/>
      </c>
      <c r="N198" s="192" t="str">
        <f t="shared" si="6"/>
        <v/>
      </c>
    </row>
    <row r="199" spans="1:14" ht="15.75">
      <c r="A199" s="177"/>
      <c r="B199" s="177"/>
      <c r="C199" s="137"/>
      <c r="D199" s="137"/>
      <c r="E199" s="137"/>
      <c r="F199" s="137"/>
      <c r="G199" s="137"/>
      <c r="H199" s="137"/>
      <c r="I199" s="137"/>
      <c r="J199" s="137"/>
      <c r="K199" s="137"/>
      <c r="L199" s="137"/>
      <c r="M199" s="192" t="str">
        <f t="shared" ref="M199:M262" si="7">IF(OR(A199="",A199="Heading"),"",IF(NOT(AND(C199="",D199="",E199="",F199="",G199="",H199="")),CheckOK,CheckErr))</f>
        <v/>
      </c>
      <c r="N199" s="192" t="str">
        <f t="shared" ref="N199:N262" si="8">IF(OR(A199="",A199="Heading"),"",IF(AND(NOT(J199=""),NOT(K199="")),CheckOK,CheckErr))</f>
        <v/>
      </c>
    </row>
    <row r="200" spans="1:14" ht="15.75">
      <c r="A200" s="177"/>
      <c r="B200" s="177"/>
      <c r="C200" s="137"/>
      <c r="D200" s="137"/>
      <c r="E200" s="137"/>
      <c r="F200" s="137"/>
      <c r="G200" s="137"/>
      <c r="H200" s="137"/>
      <c r="I200" s="137"/>
      <c r="J200" s="137"/>
      <c r="K200" s="137"/>
      <c r="L200" s="137"/>
      <c r="M200" s="192" t="str">
        <f t="shared" si="7"/>
        <v/>
      </c>
      <c r="N200" s="192" t="str">
        <f t="shared" si="8"/>
        <v/>
      </c>
    </row>
    <row r="201" spans="1:14" ht="15.75">
      <c r="A201" s="177"/>
      <c r="B201" s="177"/>
      <c r="C201" s="137"/>
      <c r="D201" s="137"/>
      <c r="E201" s="137"/>
      <c r="F201" s="137"/>
      <c r="G201" s="137"/>
      <c r="H201" s="137"/>
      <c r="I201" s="137"/>
      <c r="J201" s="137"/>
      <c r="K201" s="137"/>
      <c r="L201" s="137"/>
      <c r="M201" s="192" t="str">
        <f t="shared" si="7"/>
        <v/>
      </c>
      <c r="N201" s="192" t="str">
        <f t="shared" si="8"/>
        <v/>
      </c>
    </row>
    <row r="202" spans="1:14" ht="15.75">
      <c r="A202" s="177"/>
      <c r="B202" s="177"/>
      <c r="C202" s="137"/>
      <c r="D202" s="137"/>
      <c r="E202" s="137"/>
      <c r="F202" s="137"/>
      <c r="G202" s="137"/>
      <c r="H202" s="137"/>
      <c r="I202" s="137"/>
      <c r="J202" s="137"/>
      <c r="K202" s="137"/>
      <c r="L202" s="137"/>
      <c r="M202" s="192" t="str">
        <f t="shared" si="7"/>
        <v/>
      </c>
      <c r="N202" s="192" t="str">
        <f t="shared" si="8"/>
        <v/>
      </c>
    </row>
    <row r="203" spans="1:14" ht="15.75">
      <c r="A203" s="177"/>
      <c r="B203" s="177"/>
      <c r="C203" s="137"/>
      <c r="D203" s="137"/>
      <c r="E203" s="137"/>
      <c r="F203" s="137"/>
      <c r="G203" s="137"/>
      <c r="H203" s="137"/>
      <c r="I203" s="137"/>
      <c r="J203" s="137"/>
      <c r="K203" s="137"/>
      <c r="L203" s="137"/>
      <c r="M203" s="192" t="str">
        <f t="shared" si="7"/>
        <v/>
      </c>
      <c r="N203" s="192" t="str">
        <f t="shared" si="8"/>
        <v/>
      </c>
    </row>
    <row r="204" spans="1:14" ht="15.75">
      <c r="A204" s="177"/>
      <c r="B204" s="177"/>
      <c r="C204" s="137"/>
      <c r="D204" s="137"/>
      <c r="E204" s="137"/>
      <c r="F204" s="137"/>
      <c r="G204" s="137"/>
      <c r="H204" s="137"/>
      <c r="I204" s="137"/>
      <c r="J204" s="137"/>
      <c r="K204" s="137"/>
      <c r="L204" s="137"/>
      <c r="M204" s="192" t="str">
        <f t="shared" si="7"/>
        <v/>
      </c>
      <c r="N204" s="192" t="str">
        <f t="shared" si="8"/>
        <v/>
      </c>
    </row>
    <row r="205" spans="1:14" ht="15.75">
      <c r="A205" s="177"/>
      <c r="B205" s="177"/>
      <c r="C205" s="137"/>
      <c r="D205" s="137"/>
      <c r="E205" s="137"/>
      <c r="F205" s="137"/>
      <c r="G205" s="137"/>
      <c r="H205" s="137"/>
      <c r="I205" s="137"/>
      <c r="J205" s="137"/>
      <c r="K205" s="137"/>
      <c r="L205" s="137"/>
      <c r="M205" s="192" t="str">
        <f t="shared" si="7"/>
        <v/>
      </c>
      <c r="N205" s="192" t="str">
        <f t="shared" si="8"/>
        <v/>
      </c>
    </row>
    <row r="206" spans="1:14" ht="15.75">
      <c r="A206" s="177"/>
      <c r="B206" s="177"/>
      <c r="C206" s="137"/>
      <c r="D206" s="137"/>
      <c r="E206" s="137"/>
      <c r="F206" s="137"/>
      <c r="G206" s="137"/>
      <c r="H206" s="137"/>
      <c r="I206" s="137"/>
      <c r="J206" s="137"/>
      <c r="K206" s="137"/>
      <c r="L206" s="137"/>
      <c r="M206" s="192" t="str">
        <f t="shared" si="7"/>
        <v/>
      </c>
      <c r="N206" s="192" t="str">
        <f t="shared" si="8"/>
        <v/>
      </c>
    </row>
    <row r="207" spans="1:14" ht="15.75">
      <c r="A207" s="177"/>
      <c r="B207" s="177"/>
      <c r="C207" s="137"/>
      <c r="D207" s="137"/>
      <c r="E207" s="137"/>
      <c r="F207" s="137"/>
      <c r="G207" s="137"/>
      <c r="H207" s="137"/>
      <c r="I207" s="137"/>
      <c r="J207" s="137"/>
      <c r="K207" s="137"/>
      <c r="L207" s="137"/>
      <c r="M207" s="192" t="str">
        <f t="shared" si="7"/>
        <v/>
      </c>
      <c r="N207" s="192" t="str">
        <f t="shared" si="8"/>
        <v/>
      </c>
    </row>
    <row r="208" spans="1:14" ht="15.75">
      <c r="A208" s="177"/>
      <c r="B208" s="177"/>
      <c r="C208" s="137"/>
      <c r="D208" s="137"/>
      <c r="E208" s="137"/>
      <c r="F208" s="137"/>
      <c r="G208" s="137"/>
      <c r="H208" s="137"/>
      <c r="I208" s="137"/>
      <c r="J208" s="137"/>
      <c r="K208" s="137"/>
      <c r="L208" s="137"/>
      <c r="M208" s="192" t="str">
        <f t="shared" si="7"/>
        <v/>
      </c>
      <c r="N208" s="192" t="str">
        <f t="shared" si="8"/>
        <v/>
      </c>
    </row>
    <row r="209" spans="1:14" ht="15.75">
      <c r="A209" s="177"/>
      <c r="B209" s="177"/>
      <c r="C209" s="137"/>
      <c r="D209" s="137"/>
      <c r="E209" s="137"/>
      <c r="F209" s="137"/>
      <c r="G209" s="137"/>
      <c r="H209" s="137"/>
      <c r="I209" s="137"/>
      <c r="J209" s="137"/>
      <c r="K209" s="137"/>
      <c r="L209" s="137"/>
      <c r="M209" s="192" t="str">
        <f t="shared" si="7"/>
        <v/>
      </c>
      <c r="N209" s="192" t="str">
        <f t="shared" si="8"/>
        <v/>
      </c>
    </row>
    <row r="210" spans="1:14" ht="15.75">
      <c r="A210" s="177"/>
      <c r="B210" s="177"/>
      <c r="C210" s="137"/>
      <c r="D210" s="137"/>
      <c r="E210" s="137"/>
      <c r="F210" s="137"/>
      <c r="G210" s="137"/>
      <c r="H210" s="137"/>
      <c r="I210" s="137"/>
      <c r="J210" s="137"/>
      <c r="K210" s="137"/>
      <c r="L210" s="137"/>
      <c r="M210" s="192" t="str">
        <f t="shared" si="7"/>
        <v/>
      </c>
      <c r="N210" s="192" t="str">
        <f t="shared" si="8"/>
        <v/>
      </c>
    </row>
    <row r="211" spans="1:14" ht="15.75">
      <c r="A211" s="177"/>
      <c r="B211" s="177"/>
      <c r="C211" s="137"/>
      <c r="D211" s="137"/>
      <c r="E211" s="137"/>
      <c r="F211" s="137"/>
      <c r="G211" s="137"/>
      <c r="H211" s="137"/>
      <c r="I211" s="137"/>
      <c r="J211" s="137"/>
      <c r="K211" s="137"/>
      <c r="L211" s="137"/>
      <c r="M211" s="192" t="str">
        <f t="shared" si="7"/>
        <v/>
      </c>
      <c r="N211" s="192" t="str">
        <f t="shared" si="8"/>
        <v/>
      </c>
    </row>
    <row r="212" spans="1:14" ht="15.75">
      <c r="A212" s="177"/>
      <c r="B212" s="177"/>
      <c r="C212" s="137"/>
      <c r="D212" s="137"/>
      <c r="E212" s="137"/>
      <c r="F212" s="137"/>
      <c r="G212" s="137"/>
      <c r="H212" s="137"/>
      <c r="I212" s="137"/>
      <c r="J212" s="137"/>
      <c r="K212" s="137"/>
      <c r="L212" s="137"/>
      <c r="M212" s="192" t="str">
        <f t="shared" si="7"/>
        <v/>
      </c>
      <c r="N212" s="192" t="str">
        <f t="shared" si="8"/>
        <v/>
      </c>
    </row>
    <row r="213" spans="1:14" ht="15.75">
      <c r="A213" s="177"/>
      <c r="B213" s="177"/>
      <c r="C213" s="137"/>
      <c r="D213" s="137"/>
      <c r="E213" s="137"/>
      <c r="F213" s="137"/>
      <c r="G213" s="137"/>
      <c r="H213" s="137"/>
      <c r="I213" s="137"/>
      <c r="J213" s="137"/>
      <c r="K213" s="137"/>
      <c r="L213" s="137"/>
      <c r="M213" s="192" t="str">
        <f t="shared" si="7"/>
        <v/>
      </c>
      <c r="N213" s="192" t="str">
        <f t="shared" si="8"/>
        <v/>
      </c>
    </row>
    <row r="214" spans="1:14" ht="15.75">
      <c r="A214" s="177"/>
      <c r="B214" s="177"/>
      <c r="C214" s="137"/>
      <c r="D214" s="137"/>
      <c r="E214" s="137"/>
      <c r="F214" s="137"/>
      <c r="G214" s="137"/>
      <c r="H214" s="137"/>
      <c r="I214" s="137"/>
      <c r="J214" s="137"/>
      <c r="K214" s="137"/>
      <c r="L214" s="137"/>
      <c r="M214" s="192" t="str">
        <f t="shared" si="7"/>
        <v/>
      </c>
      <c r="N214" s="192" t="str">
        <f t="shared" si="8"/>
        <v/>
      </c>
    </row>
    <row r="215" spans="1:14" ht="15.75">
      <c r="A215" s="177"/>
      <c r="B215" s="177"/>
      <c r="C215" s="137"/>
      <c r="D215" s="137"/>
      <c r="E215" s="137"/>
      <c r="F215" s="137"/>
      <c r="G215" s="137"/>
      <c r="H215" s="137"/>
      <c r="I215" s="137"/>
      <c r="J215" s="137"/>
      <c r="K215" s="137"/>
      <c r="L215" s="137"/>
      <c r="M215" s="192" t="str">
        <f t="shared" si="7"/>
        <v/>
      </c>
      <c r="N215" s="192" t="str">
        <f t="shared" si="8"/>
        <v/>
      </c>
    </row>
    <row r="216" spans="1:14" ht="15.75">
      <c r="A216" s="177"/>
      <c r="B216" s="177"/>
      <c r="C216" s="137"/>
      <c r="D216" s="137"/>
      <c r="E216" s="137"/>
      <c r="F216" s="137"/>
      <c r="G216" s="137"/>
      <c r="H216" s="137"/>
      <c r="I216" s="137"/>
      <c r="J216" s="137"/>
      <c r="K216" s="137"/>
      <c r="L216" s="137"/>
      <c r="M216" s="192" t="str">
        <f t="shared" si="7"/>
        <v/>
      </c>
      <c r="N216" s="192" t="str">
        <f t="shared" si="8"/>
        <v/>
      </c>
    </row>
    <row r="217" spans="1:14" ht="15.75">
      <c r="A217" s="177"/>
      <c r="B217" s="177"/>
      <c r="C217" s="137"/>
      <c r="D217" s="137"/>
      <c r="E217" s="137"/>
      <c r="F217" s="137"/>
      <c r="G217" s="137"/>
      <c r="H217" s="137"/>
      <c r="I217" s="137"/>
      <c r="J217" s="137"/>
      <c r="K217" s="137"/>
      <c r="L217" s="137"/>
      <c r="M217" s="192" t="str">
        <f t="shared" si="7"/>
        <v/>
      </c>
      <c r="N217" s="192" t="str">
        <f t="shared" si="8"/>
        <v/>
      </c>
    </row>
    <row r="218" spans="1:14" ht="15.75">
      <c r="A218" s="177"/>
      <c r="B218" s="177"/>
      <c r="C218" s="137"/>
      <c r="D218" s="137"/>
      <c r="E218" s="137"/>
      <c r="F218" s="137"/>
      <c r="G218" s="137"/>
      <c r="H218" s="137"/>
      <c r="I218" s="137"/>
      <c r="J218" s="137"/>
      <c r="K218" s="137"/>
      <c r="L218" s="137"/>
      <c r="M218" s="192" t="str">
        <f t="shared" si="7"/>
        <v/>
      </c>
      <c r="N218" s="192" t="str">
        <f t="shared" si="8"/>
        <v/>
      </c>
    </row>
    <row r="219" spans="1:14" ht="15.75">
      <c r="A219" s="177"/>
      <c r="B219" s="177"/>
      <c r="C219" s="137"/>
      <c r="D219" s="137"/>
      <c r="E219" s="137"/>
      <c r="F219" s="137"/>
      <c r="G219" s="137"/>
      <c r="H219" s="137"/>
      <c r="I219" s="137"/>
      <c r="J219" s="137"/>
      <c r="K219" s="137"/>
      <c r="L219" s="137"/>
      <c r="M219" s="192" t="str">
        <f t="shared" si="7"/>
        <v/>
      </c>
      <c r="N219" s="192" t="str">
        <f t="shared" si="8"/>
        <v/>
      </c>
    </row>
    <row r="220" spans="1:14" ht="15.75">
      <c r="A220" s="177"/>
      <c r="B220" s="177"/>
      <c r="C220" s="137"/>
      <c r="D220" s="137"/>
      <c r="E220" s="137"/>
      <c r="F220" s="137"/>
      <c r="G220" s="137"/>
      <c r="H220" s="137"/>
      <c r="I220" s="137"/>
      <c r="J220" s="137"/>
      <c r="K220" s="137"/>
      <c r="L220" s="137"/>
      <c r="M220" s="192" t="str">
        <f t="shared" si="7"/>
        <v/>
      </c>
      <c r="N220" s="192" t="str">
        <f t="shared" si="8"/>
        <v/>
      </c>
    </row>
    <row r="221" spans="1:14" ht="15.75">
      <c r="A221" s="177"/>
      <c r="B221" s="177"/>
      <c r="C221" s="137"/>
      <c r="D221" s="137"/>
      <c r="E221" s="137"/>
      <c r="F221" s="137"/>
      <c r="G221" s="137"/>
      <c r="H221" s="137"/>
      <c r="I221" s="137"/>
      <c r="J221" s="137"/>
      <c r="K221" s="137"/>
      <c r="L221" s="137"/>
      <c r="M221" s="192" t="str">
        <f t="shared" si="7"/>
        <v/>
      </c>
      <c r="N221" s="192" t="str">
        <f t="shared" si="8"/>
        <v/>
      </c>
    </row>
    <row r="222" spans="1:14" ht="15.75">
      <c r="A222" s="177"/>
      <c r="B222" s="177"/>
      <c r="C222" s="137"/>
      <c r="D222" s="137"/>
      <c r="E222" s="137"/>
      <c r="F222" s="137"/>
      <c r="G222" s="137"/>
      <c r="H222" s="137"/>
      <c r="I222" s="137"/>
      <c r="J222" s="137"/>
      <c r="K222" s="137"/>
      <c r="L222" s="137"/>
      <c r="M222" s="192" t="str">
        <f t="shared" si="7"/>
        <v/>
      </c>
      <c r="N222" s="192" t="str">
        <f t="shared" si="8"/>
        <v/>
      </c>
    </row>
    <row r="223" spans="1:14" ht="15.75">
      <c r="A223" s="177"/>
      <c r="B223" s="177"/>
      <c r="C223" s="137"/>
      <c r="D223" s="137"/>
      <c r="E223" s="137"/>
      <c r="F223" s="137"/>
      <c r="G223" s="137"/>
      <c r="H223" s="137"/>
      <c r="I223" s="137"/>
      <c r="J223" s="137"/>
      <c r="K223" s="137"/>
      <c r="L223" s="137"/>
      <c r="M223" s="192" t="str">
        <f t="shared" si="7"/>
        <v/>
      </c>
      <c r="N223" s="192" t="str">
        <f t="shared" si="8"/>
        <v/>
      </c>
    </row>
    <row r="224" spans="1:14" ht="15.75">
      <c r="A224" s="177"/>
      <c r="B224" s="177"/>
      <c r="C224" s="137"/>
      <c r="D224" s="137"/>
      <c r="E224" s="137"/>
      <c r="F224" s="137"/>
      <c r="G224" s="137"/>
      <c r="H224" s="137"/>
      <c r="I224" s="137"/>
      <c r="J224" s="137"/>
      <c r="K224" s="137"/>
      <c r="L224" s="137"/>
      <c r="M224" s="192" t="str">
        <f t="shared" si="7"/>
        <v/>
      </c>
      <c r="N224" s="192" t="str">
        <f t="shared" si="8"/>
        <v/>
      </c>
    </row>
    <row r="225" spans="1:14" ht="15.75">
      <c r="A225" s="177"/>
      <c r="B225" s="177"/>
      <c r="C225" s="137"/>
      <c r="D225" s="137"/>
      <c r="E225" s="137"/>
      <c r="F225" s="137"/>
      <c r="G225" s="137"/>
      <c r="H225" s="137"/>
      <c r="I225" s="137"/>
      <c r="J225" s="137"/>
      <c r="K225" s="137"/>
      <c r="L225" s="137"/>
      <c r="M225" s="192" t="str">
        <f t="shared" si="7"/>
        <v/>
      </c>
      <c r="N225" s="192" t="str">
        <f t="shared" si="8"/>
        <v/>
      </c>
    </row>
    <row r="226" spans="1:14" ht="15.75">
      <c r="A226" s="177"/>
      <c r="B226" s="177"/>
      <c r="C226" s="137"/>
      <c r="D226" s="137"/>
      <c r="E226" s="137"/>
      <c r="F226" s="137"/>
      <c r="G226" s="137"/>
      <c r="H226" s="137"/>
      <c r="I226" s="137"/>
      <c r="J226" s="137"/>
      <c r="K226" s="137"/>
      <c r="L226" s="137"/>
      <c r="M226" s="192" t="str">
        <f t="shared" si="7"/>
        <v/>
      </c>
      <c r="N226" s="192" t="str">
        <f t="shared" si="8"/>
        <v/>
      </c>
    </row>
    <row r="227" spans="1:14" ht="15.75">
      <c r="A227" s="177"/>
      <c r="B227" s="177"/>
      <c r="C227" s="137"/>
      <c r="D227" s="137"/>
      <c r="E227" s="137"/>
      <c r="F227" s="137"/>
      <c r="G227" s="137"/>
      <c r="H227" s="137"/>
      <c r="I227" s="137"/>
      <c r="J227" s="137"/>
      <c r="K227" s="137"/>
      <c r="L227" s="137"/>
      <c r="M227" s="192" t="str">
        <f t="shared" si="7"/>
        <v/>
      </c>
      <c r="N227" s="192" t="str">
        <f t="shared" si="8"/>
        <v/>
      </c>
    </row>
    <row r="228" spans="1:14" ht="15.75">
      <c r="A228" s="177"/>
      <c r="B228" s="177"/>
      <c r="C228" s="137"/>
      <c r="D228" s="137"/>
      <c r="E228" s="137"/>
      <c r="F228" s="137"/>
      <c r="G228" s="137"/>
      <c r="H228" s="137"/>
      <c r="I228" s="137"/>
      <c r="J228" s="137"/>
      <c r="K228" s="137"/>
      <c r="L228" s="137"/>
      <c r="M228" s="192" t="str">
        <f t="shared" si="7"/>
        <v/>
      </c>
      <c r="N228" s="192" t="str">
        <f t="shared" si="8"/>
        <v/>
      </c>
    </row>
    <row r="229" spans="1:14" ht="15.75">
      <c r="A229" s="177"/>
      <c r="B229" s="177"/>
      <c r="C229" s="137"/>
      <c r="D229" s="137"/>
      <c r="E229" s="137"/>
      <c r="F229" s="137"/>
      <c r="G229" s="137"/>
      <c r="H229" s="137"/>
      <c r="I229" s="137"/>
      <c r="J229" s="137"/>
      <c r="K229" s="137"/>
      <c r="L229" s="137"/>
      <c r="M229" s="192" t="str">
        <f t="shared" si="7"/>
        <v/>
      </c>
      <c r="N229" s="192" t="str">
        <f t="shared" si="8"/>
        <v/>
      </c>
    </row>
    <row r="230" spans="1:14" ht="15.75">
      <c r="A230" s="177"/>
      <c r="B230" s="177"/>
      <c r="C230" s="137"/>
      <c r="D230" s="137"/>
      <c r="E230" s="137"/>
      <c r="F230" s="137"/>
      <c r="G230" s="137"/>
      <c r="H230" s="137"/>
      <c r="I230" s="137"/>
      <c r="J230" s="137"/>
      <c r="K230" s="137"/>
      <c r="L230" s="137"/>
      <c r="M230" s="192" t="str">
        <f t="shared" si="7"/>
        <v/>
      </c>
      <c r="N230" s="192" t="str">
        <f t="shared" si="8"/>
        <v/>
      </c>
    </row>
    <row r="231" spans="1:14" ht="15.75">
      <c r="A231" s="177"/>
      <c r="B231" s="177"/>
      <c r="C231" s="137"/>
      <c r="D231" s="137"/>
      <c r="E231" s="137"/>
      <c r="F231" s="137"/>
      <c r="G231" s="137"/>
      <c r="H231" s="137"/>
      <c r="I231" s="137"/>
      <c r="J231" s="137"/>
      <c r="K231" s="137"/>
      <c r="L231" s="137"/>
      <c r="M231" s="192" t="str">
        <f t="shared" si="7"/>
        <v/>
      </c>
      <c r="N231" s="192" t="str">
        <f t="shared" si="8"/>
        <v/>
      </c>
    </row>
    <row r="232" spans="1:14" ht="15.75">
      <c r="A232" s="177"/>
      <c r="B232" s="177"/>
      <c r="C232" s="137"/>
      <c r="D232" s="137"/>
      <c r="E232" s="137"/>
      <c r="F232" s="137"/>
      <c r="G232" s="137"/>
      <c r="H232" s="137"/>
      <c r="I232" s="137"/>
      <c r="J232" s="137"/>
      <c r="K232" s="137"/>
      <c r="L232" s="137"/>
      <c r="M232" s="192" t="str">
        <f t="shared" si="7"/>
        <v/>
      </c>
      <c r="N232" s="192" t="str">
        <f t="shared" si="8"/>
        <v/>
      </c>
    </row>
    <row r="233" spans="1:14" ht="15.75">
      <c r="A233" s="177"/>
      <c r="B233" s="177"/>
      <c r="C233" s="137"/>
      <c r="D233" s="137"/>
      <c r="E233" s="137"/>
      <c r="F233" s="137"/>
      <c r="G233" s="137"/>
      <c r="H233" s="137"/>
      <c r="I233" s="137"/>
      <c r="J233" s="137"/>
      <c r="K233" s="137"/>
      <c r="L233" s="137"/>
      <c r="M233" s="192" t="str">
        <f t="shared" si="7"/>
        <v/>
      </c>
      <c r="N233" s="192" t="str">
        <f t="shared" si="8"/>
        <v/>
      </c>
    </row>
    <row r="234" spans="1:14" ht="15.75">
      <c r="A234" s="177"/>
      <c r="B234" s="177"/>
      <c r="C234" s="137"/>
      <c r="D234" s="137"/>
      <c r="E234" s="137"/>
      <c r="F234" s="137"/>
      <c r="G234" s="137"/>
      <c r="H234" s="137"/>
      <c r="I234" s="137"/>
      <c r="J234" s="137"/>
      <c r="K234" s="137"/>
      <c r="L234" s="137"/>
      <c r="M234" s="192" t="str">
        <f t="shared" si="7"/>
        <v/>
      </c>
      <c r="N234" s="192" t="str">
        <f t="shared" si="8"/>
        <v/>
      </c>
    </row>
    <row r="235" spans="1:14" ht="15.75">
      <c r="A235" s="177"/>
      <c r="B235" s="177"/>
      <c r="C235" s="137"/>
      <c r="D235" s="137"/>
      <c r="E235" s="137"/>
      <c r="F235" s="137"/>
      <c r="G235" s="137"/>
      <c r="H235" s="137"/>
      <c r="I235" s="137"/>
      <c r="J235" s="137"/>
      <c r="K235" s="137"/>
      <c r="L235" s="137"/>
      <c r="M235" s="192" t="str">
        <f t="shared" si="7"/>
        <v/>
      </c>
      <c r="N235" s="192" t="str">
        <f t="shared" si="8"/>
        <v/>
      </c>
    </row>
    <row r="236" spans="1:14" ht="15.75">
      <c r="A236" s="177"/>
      <c r="B236" s="177"/>
      <c r="C236" s="137"/>
      <c r="D236" s="137"/>
      <c r="E236" s="137"/>
      <c r="F236" s="137"/>
      <c r="G236" s="137"/>
      <c r="H236" s="137"/>
      <c r="I236" s="137"/>
      <c r="J236" s="137"/>
      <c r="K236" s="137"/>
      <c r="L236" s="137"/>
      <c r="M236" s="192" t="str">
        <f t="shared" si="7"/>
        <v/>
      </c>
      <c r="N236" s="192" t="str">
        <f t="shared" si="8"/>
        <v/>
      </c>
    </row>
    <row r="237" spans="1:14" ht="15.75">
      <c r="A237" s="177"/>
      <c r="B237" s="177"/>
      <c r="C237" s="137"/>
      <c r="D237" s="137"/>
      <c r="E237" s="137"/>
      <c r="F237" s="137"/>
      <c r="G237" s="137"/>
      <c r="H237" s="137"/>
      <c r="I237" s="137"/>
      <c r="J237" s="137"/>
      <c r="K237" s="137"/>
      <c r="L237" s="137"/>
      <c r="M237" s="192" t="str">
        <f t="shared" si="7"/>
        <v/>
      </c>
      <c r="N237" s="192" t="str">
        <f t="shared" si="8"/>
        <v/>
      </c>
    </row>
    <row r="238" spans="1:14" ht="15.75">
      <c r="A238" s="177"/>
      <c r="B238" s="177"/>
      <c r="C238" s="137"/>
      <c r="D238" s="137"/>
      <c r="E238" s="137"/>
      <c r="F238" s="137"/>
      <c r="G238" s="137"/>
      <c r="H238" s="137"/>
      <c r="I238" s="137"/>
      <c r="J238" s="137"/>
      <c r="K238" s="137"/>
      <c r="L238" s="137"/>
      <c r="M238" s="192" t="str">
        <f t="shared" si="7"/>
        <v/>
      </c>
      <c r="N238" s="192" t="str">
        <f t="shared" si="8"/>
        <v/>
      </c>
    </row>
    <row r="239" spans="1:14" ht="15.75">
      <c r="A239" s="177"/>
      <c r="B239" s="177"/>
      <c r="C239" s="137"/>
      <c r="D239" s="137"/>
      <c r="E239" s="137"/>
      <c r="F239" s="137"/>
      <c r="G239" s="137"/>
      <c r="H239" s="137"/>
      <c r="I239" s="137"/>
      <c r="J239" s="137"/>
      <c r="K239" s="137"/>
      <c r="L239" s="137"/>
      <c r="M239" s="192" t="str">
        <f t="shared" si="7"/>
        <v/>
      </c>
      <c r="N239" s="192" t="str">
        <f t="shared" si="8"/>
        <v/>
      </c>
    </row>
    <row r="240" spans="1:14" ht="15.75">
      <c r="A240" s="177"/>
      <c r="B240" s="177"/>
      <c r="C240" s="137"/>
      <c r="D240" s="137"/>
      <c r="E240" s="137"/>
      <c r="F240" s="137"/>
      <c r="G240" s="137"/>
      <c r="H240" s="137"/>
      <c r="I240" s="137"/>
      <c r="J240" s="137"/>
      <c r="K240" s="137"/>
      <c r="L240" s="137"/>
      <c r="M240" s="192" t="str">
        <f t="shared" si="7"/>
        <v/>
      </c>
      <c r="N240" s="192" t="str">
        <f t="shared" si="8"/>
        <v/>
      </c>
    </row>
    <row r="241" spans="1:14" ht="15.75">
      <c r="A241" s="177"/>
      <c r="B241" s="177"/>
      <c r="C241" s="137"/>
      <c r="D241" s="137"/>
      <c r="E241" s="137"/>
      <c r="F241" s="137"/>
      <c r="G241" s="137"/>
      <c r="H241" s="137"/>
      <c r="I241" s="137"/>
      <c r="J241" s="137"/>
      <c r="K241" s="137"/>
      <c r="L241" s="137"/>
      <c r="M241" s="192" t="str">
        <f t="shared" si="7"/>
        <v/>
      </c>
      <c r="N241" s="192" t="str">
        <f t="shared" si="8"/>
        <v/>
      </c>
    </row>
    <row r="242" spans="1:14" ht="15.75">
      <c r="A242" s="177"/>
      <c r="B242" s="177"/>
      <c r="C242" s="137"/>
      <c r="D242" s="137"/>
      <c r="E242" s="137"/>
      <c r="F242" s="137"/>
      <c r="G242" s="137"/>
      <c r="H242" s="137"/>
      <c r="I242" s="137"/>
      <c r="J242" s="137"/>
      <c r="K242" s="137"/>
      <c r="L242" s="137"/>
      <c r="M242" s="192" t="str">
        <f t="shared" si="7"/>
        <v/>
      </c>
      <c r="N242" s="192" t="str">
        <f t="shared" si="8"/>
        <v/>
      </c>
    </row>
    <row r="243" spans="1:14" ht="15.75">
      <c r="A243" s="177"/>
      <c r="B243" s="177"/>
      <c r="C243" s="137"/>
      <c r="D243" s="137"/>
      <c r="E243" s="137"/>
      <c r="F243" s="137"/>
      <c r="G243" s="137"/>
      <c r="H243" s="137"/>
      <c r="I243" s="137"/>
      <c r="J243" s="137"/>
      <c r="K243" s="137"/>
      <c r="L243" s="137"/>
      <c r="M243" s="192" t="str">
        <f t="shared" si="7"/>
        <v/>
      </c>
      <c r="N243" s="192" t="str">
        <f t="shared" si="8"/>
        <v/>
      </c>
    </row>
    <row r="244" spans="1:14" ht="15.75">
      <c r="A244" s="177"/>
      <c r="B244" s="177"/>
      <c r="C244" s="137"/>
      <c r="D244" s="137"/>
      <c r="E244" s="137"/>
      <c r="F244" s="137"/>
      <c r="G244" s="137"/>
      <c r="H244" s="137"/>
      <c r="I244" s="137"/>
      <c r="J244" s="137"/>
      <c r="K244" s="137"/>
      <c r="L244" s="137"/>
      <c r="M244" s="192" t="str">
        <f t="shared" si="7"/>
        <v/>
      </c>
      <c r="N244" s="192" t="str">
        <f t="shared" si="8"/>
        <v/>
      </c>
    </row>
    <row r="245" spans="1:14" ht="15.75">
      <c r="A245" s="177"/>
      <c r="B245" s="177"/>
      <c r="C245" s="137"/>
      <c r="D245" s="137"/>
      <c r="E245" s="137"/>
      <c r="F245" s="137"/>
      <c r="G245" s="137"/>
      <c r="H245" s="137"/>
      <c r="I245" s="137"/>
      <c r="J245" s="137"/>
      <c r="K245" s="137"/>
      <c r="L245" s="137"/>
      <c r="M245" s="192" t="str">
        <f t="shared" si="7"/>
        <v/>
      </c>
      <c r="N245" s="192" t="str">
        <f t="shared" si="8"/>
        <v/>
      </c>
    </row>
    <row r="246" spans="1:14" ht="15.75">
      <c r="A246" s="177"/>
      <c r="B246" s="177"/>
      <c r="C246" s="137"/>
      <c r="D246" s="137"/>
      <c r="E246" s="137"/>
      <c r="F246" s="137"/>
      <c r="G246" s="137"/>
      <c r="H246" s="137"/>
      <c r="I246" s="137"/>
      <c r="J246" s="137"/>
      <c r="K246" s="137"/>
      <c r="L246" s="137"/>
      <c r="M246" s="192" t="str">
        <f t="shared" si="7"/>
        <v/>
      </c>
      <c r="N246" s="192" t="str">
        <f t="shared" si="8"/>
        <v/>
      </c>
    </row>
    <row r="247" spans="1:14" ht="15.75">
      <c r="A247" s="177"/>
      <c r="B247" s="177"/>
      <c r="C247" s="137"/>
      <c r="D247" s="137"/>
      <c r="E247" s="137"/>
      <c r="F247" s="137"/>
      <c r="G247" s="137"/>
      <c r="H247" s="137"/>
      <c r="I247" s="137"/>
      <c r="J247" s="137"/>
      <c r="K247" s="137"/>
      <c r="L247" s="137"/>
      <c r="M247" s="192" t="str">
        <f t="shared" si="7"/>
        <v/>
      </c>
      <c r="N247" s="192" t="str">
        <f t="shared" si="8"/>
        <v/>
      </c>
    </row>
    <row r="248" spans="1:14" ht="15.75">
      <c r="A248" s="177"/>
      <c r="B248" s="177"/>
      <c r="C248" s="137"/>
      <c r="D248" s="137"/>
      <c r="E248" s="137"/>
      <c r="F248" s="137"/>
      <c r="G248" s="137"/>
      <c r="H248" s="137"/>
      <c r="I248" s="137"/>
      <c r="J248" s="137"/>
      <c r="K248" s="137"/>
      <c r="L248" s="137"/>
      <c r="M248" s="192" t="str">
        <f t="shared" si="7"/>
        <v/>
      </c>
      <c r="N248" s="192" t="str">
        <f t="shared" si="8"/>
        <v/>
      </c>
    </row>
    <row r="249" spans="1:14" ht="15.75">
      <c r="A249" s="177"/>
      <c r="B249" s="177"/>
      <c r="C249" s="137"/>
      <c r="D249" s="137"/>
      <c r="E249" s="137"/>
      <c r="F249" s="137"/>
      <c r="G249" s="137"/>
      <c r="H249" s="137"/>
      <c r="I249" s="137"/>
      <c r="J249" s="137"/>
      <c r="K249" s="137"/>
      <c r="L249" s="137"/>
      <c r="M249" s="192" t="str">
        <f t="shared" si="7"/>
        <v/>
      </c>
      <c r="N249" s="192" t="str">
        <f t="shared" si="8"/>
        <v/>
      </c>
    </row>
    <row r="250" spans="1:14" ht="15.75">
      <c r="A250" s="177"/>
      <c r="B250" s="177"/>
      <c r="C250" s="137"/>
      <c r="D250" s="137"/>
      <c r="E250" s="137"/>
      <c r="F250" s="137"/>
      <c r="G250" s="137"/>
      <c r="H250" s="137"/>
      <c r="I250" s="137"/>
      <c r="J250" s="137"/>
      <c r="K250" s="137"/>
      <c r="L250" s="137"/>
      <c r="M250" s="192" t="str">
        <f t="shared" si="7"/>
        <v/>
      </c>
      <c r="N250" s="192" t="str">
        <f t="shared" si="8"/>
        <v/>
      </c>
    </row>
    <row r="251" spans="1:14" ht="15.75">
      <c r="A251" s="177"/>
      <c r="B251" s="177"/>
      <c r="C251" s="137"/>
      <c r="D251" s="137"/>
      <c r="E251" s="137"/>
      <c r="F251" s="137"/>
      <c r="G251" s="137"/>
      <c r="H251" s="137"/>
      <c r="I251" s="137"/>
      <c r="J251" s="137"/>
      <c r="K251" s="137"/>
      <c r="L251" s="137"/>
      <c r="M251" s="192" t="str">
        <f t="shared" si="7"/>
        <v/>
      </c>
      <c r="N251" s="192" t="str">
        <f t="shared" si="8"/>
        <v/>
      </c>
    </row>
    <row r="252" spans="1:14" ht="15.75">
      <c r="A252" s="177"/>
      <c r="B252" s="177"/>
      <c r="C252" s="137"/>
      <c r="D252" s="137"/>
      <c r="E252" s="137"/>
      <c r="F252" s="137"/>
      <c r="G252" s="137"/>
      <c r="H252" s="137"/>
      <c r="I252" s="137"/>
      <c r="J252" s="137"/>
      <c r="K252" s="137"/>
      <c r="L252" s="137"/>
      <c r="M252" s="192" t="str">
        <f t="shared" si="7"/>
        <v/>
      </c>
      <c r="N252" s="192" t="str">
        <f t="shared" si="8"/>
        <v/>
      </c>
    </row>
    <row r="253" spans="1:14" ht="15.75">
      <c r="A253" s="177"/>
      <c r="B253" s="177"/>
      <c r="C253" s="137"/>
      <c r="D253" s="137"/>
      <c r="E253" s="137"/>
      <c r="F253" s="137"/>
      <c r="G253" s="137"/>
      <c r="H253" s="137"/>
      <c r="I253" s="137"/>
      <c r="J253" s="137"/>
      <c r="K253" s="137"/>
      <c r="L253" s="137"/>
      <c r="M253" s="192" t="str">
        <f t="shared" si="7"/>
        <v/>
      </c>
      <c r="N253" s="192" t="str">
        <f t="shared" si="8"/>
        <v/>
      </c>
    </row>
    <row r="254" spans="1:14" ht="15.75">
      <c r="A254" s="177"/>
      <c r="B254" s="177"/>
      <c r="C254" s="137"/>
      <c r="D254" s="137"/>
      <c r="E254" s="137"/>
      <c r="F254" s="137"/>
      <c r="G254" s="137"/>
      <c r="H254" s="137"/>
      <c r="I254" s="137"/>
      <c r="J254" s="137"/>
      <c r="K254" s="137"/>
      <c r="L254" s="137"/>
      <c r="M254" s="192" t="str">
        <f t="shared" si="7"/>
        <v/>
      </c>
      <c r="N254" s="192" t="str">
        <f t="shared" si="8"/>
        <v/>
      </c>
    </row>
    <row r="255" spans="1:14" ht="15.75">
      <c r="A255" s="177"/>
      <c r="B255" s="177"/>
      <c r="C255" s="137"/>
      <c r="D255" s="137"/>
      <c r="E255" s="137"/>
      <c r="F255" s="137"/>
      <c r="G255" s="137"/>
      <c r="H255" s="137"/>
      <c r="I255" s="137"/>
      <c r="J255" s="137"/>
      <c r="K255" s="137"/>
      <c r="L255" s="137"/>
      <c r="M255" s="192" t="str">
        <f t="shared" si="7"/>
        <v/>
      </c>
      <c r="N255" s="192" t="str">
        <f t="shared" si="8"/>
        <v/>
      </c>
    </row>
    <row r="256" spans="1:14" ht="15.75">
      <c r="A256" s="177"/>
      <c r="B256" s="177"/>
      <c r="C256" s="137"/>
      <c r="D256" s="137"/>
      <c r="E256" s="137"/>
      <c r="F256" s="137"/>
      <c r="G256" s="137"/>
      <c r="H256" s="137"/>
      <c r="I256" s="137"/>
      <c r="J256" s="137"/>
      <c r="K256" s="137"/>
      <c r="L256" s="137"/>
      <c r="M256" s="192" t="str">
        <f t="shared" si="7"/>
        <v/>
      </c>
      <c r="N256" s="192" t="str">
        <f t="shared" si="8"/>
        <v/>
      </c>
    </row>
    <row r="257" spans="1:14" ht="15.75">
      <c r="A257" s="177"/>
      <c r="B257" s="177"/>
      <c r="C257" s="137"/>
      <c r="D257" s="137"/>
      <c r="E257" s="137"/>
      <c r="F257" s="137"/>
      <c r="G257" s="137"/>
      <c r="H257" s="137"/>
      <c r="I257" s="137"/>
      <c r="J257" s="137"/>
      <c r="K257" s="137"/>
      <c r="L257" s="137"/>
      <c r="M257" s="192" t="str">
        <f t="shared" si="7"/>
        <v/>
      </c>
      <c r="N257" s="192" t="str">
        <f t="shared" si="8"/>
        <v/>
      </c>
    </row>
    <row r="258" spans="1:14" ht="15.75">
      <c r="A258" s="177"/>
      <c r="B258" s="177"/>
      <c r="C258" s="137"/>
      <c r="D258" s="137"/>
      <c r="E258" s="137"/>
      <c r="F258" s="137"/>
      <c r="G258" s="137"/>
      <c r="H258" s="137"/>
      <c r="I258" s="137"/>
      <c r="J258" s="137"/>
      <c r="K258" s="137"/>
      <c r="L258" s="137"/>
      <c r="M258" s="192" t="str">
        <f t="shared" si="7"/>
        <v/>
      </c>
      <c r="N258" s="192" t="str">
        <f t="shared" si="8"/>
        <v/>
      </c>
    </row>
    <row r="259" spans="1:14" ht="15.75">
      <c r="A259" s="177"/>
      <c r="B259" s="177"/>
      <c r="C259" s="137"/>
      <c r="D259" s="137"/>
      <c r="E259" s="137"/>
      <c r="F259" s="137"/>
      <c r="G259" s="137"/>
      <c r="H259" s="137"/>
      <c r="I259" s="137"/>
      <c r="J259" s="137"/>
      <c r="K259" s="137"/>
      <c r="L259" s="137"/>
      <c r="M259" s="192" t="str">
        <f t="shared" si="7"/>
        <v/>
      </c>
      <c r="N259" s="192" t="str">
        <f t="shared" si="8"/>
        <v/>
      </c>
    </row>
    <row r="260" spans="1:14" ht="15.75">
      <c r="A260" s="177"/>
      <c r="B260" s="177"/>
      <c r="C260" s="137"/>
      <c r="D260" s="137"/>
      <c r="E260" s="137"/>
      <c r="F260" s="137"/>
      <c r="G260" s="137"/>
      <c r="H260" s="137"/>
      <c r="I260" s="137"/>
      <c r="J260" s="137"/>
      <c r="K260" s="137"/>
      <c r="L260" s="137"/>
      <c r="M260" s="192" t="str">
        <f t="shared" si="7"/>
        <v/>
      </c>
      <c r="N260" s="192" t="str">
        <f t="shared" si="8"/>
        <v/>
      </c>
    </row>
    <row r="261" spans="1:14" ht="15.75">
      <c r="A261" s="177"/>
      <c r="B261" s="177"/>
      <c r="C261" s="137"/>
      <c r="D261" s="137"/>
      <c r="E261" s="137"/>
      <c r="F261" s="137"/>
      <c r="G261" s="137"/>
      <c r="H261" s="137"/>
      <c r="I261" s="137"/>
      <c r="J261" s="137"/>
      <c r="K261" s="137"/>
      <c r="L261" s="137"/>
      <c r="M261" s="192" t="str">
        <f t="shared" si="7"/>
        <v/>
      </c>
      <c r="N261" s="192" t="str">
        <f t="shared" si="8"/>
        <v/>
      </c>
    </row>
    <row r="262" spans="1:14" ht="15.75">
      <c r="A262" s="177"/>
      <c r="B262" s="177"/>
      <c r="C262" s="137"/>
      <c r="D262" s="137"/>
      <c r="E262" s="137"/>
      <c r="F262" s="137"/>
      <c r="G262" s="137"/>
      <c r="H262" s="137"/>
      <c r="I262" s="137"/>
      <c r="J262" s="137"/>
      <c r="K262" s="137"/>
      <c r="L262" s="137"/>
      <c r="M262" s="192" t="str">
        <f t="shared" si="7"/>
        <v/>
      </c>
      <c r="N262" s="192" t="str">
        <f t="shared" si="8"/>
        <v/>
      </c>
    </row>
    <row r="263" spans="1:14" ht="15.75">
      <c r="A263" s="177"/>
      <c r="B263" s="177"/>
      <c r="C263" s="137"/>
      <c r="D263" s="137"/>
      <c r="E263" s="137"/>
      <c r="F263" s="137"/>
      <c r="G263" s="137"/>
      <c r="H263" s="137"/>
      <c r="I263" s="137"/>
      <c r="J263" s="137"/>
      <c r="K263" s="137"/>
      <c r="L263" s="137"/>
      <c r="M263" s="192" t="str">
        <f t="shared" ref="M263:M326" si="9">IF(OR(A263="",A263="Heading"),"",IF(NOT(AND(C263="",D263="",E263="",F263="",G263="",H263="")),CheckOK,CheckErr))</f>
        <v/>
      </c>
      <c r="N263" s="192" t="str">
        <f t="shared" ref="N263:N326" si="10">IF(OR(A263="",A263="Heading"),"",IF(AND(NOT(J263=""),NOT(K263="")),CheckOK,CheckErr))</f>
        <v/>
      </c>
    </row>
    <row r="264" spans="1:14" ht="15.75">
      <c r="A264" s="177"/>
      <c r="B264" s="177"/>
      <c r="C264" s="137"/>
      <c r="D264" s="137"/>
      <c r="E264" s="137"/>
      <c r="F264" s="137"/>
      <c r="G264" s="137"/>
      <c r="H264" s="137"/>
      <c r="I264" s="137"/>
      <c r="J264" s="137"/>
      <c r="K264" s="137"/>
      <c r="L264" s="137"/>
      <c r="M264" s="192" t="str">
        <f t="shared" si="9"/>
        <v/>
      </c>
      <c r="N264" s="192" t="str">
        <f t="shared" si="10"/>
        <v/>
      </c>
    </row>
    <row r="265" spans="1:14" ht="15.75">
      <c r="A265" s="177"/>
      <c r="B265" s="177"/>
      <c r="C265" s="137"/>
      <c r="D265" s="137"/>
      <c r="E265" s="137"/>
      <c r="F265" s="137"/>
      <c r="G265" s="137"/>
      <c r="H265" s="137"/>
      <c r="I265" s="137"/>
      <c r="J265" s="137"/>
      <c r="K265" s="137"/>
      <c r="L265" s="137"/>
      <c r="M265" s="192" t="str">
        <f t="shared" si="9"/>
        <v/>
      </c>
      <c r="N265" s="192" t="str">
        <f t="shared" si="10"/>
        <v/>
      </c>
    </row>
    <row r="266" spans="1:14" ht="15.75">
      <c r="A266" s="177"/>
      <c r="B266" s="177"/>
      <c r="C266" s="137"/>
      <c r="D266" s="137"/>
      <c r="E266" s="137"/>
      <c r="F266" s="137"/>
      <c r="G266" s="137"/>
      <c r="H266" s="137"/>
      <c r="I266" s="137"/>
      <c r="J266" s="137"/>
      <c r="K266" s="137"/>
      <c r="L266" s="137"/>
      <c r="M266" s="192" t="str">
        <f t="shared" si="9"/>
        <v/>
      </c>
      <c r="N266" s="192" t="str">
        <f t="shared" si="10"/>
        <v/>
      </c>
    </row>
    <row r="267" spans="1:14" ht="15.75">
      <c r="A267" s="177"/>
      <c r="B267" s="177"/>
      <c r="C267" s="137"/>
      <c r="D267" s="137"/>
      <c r="E267" s="137"/>
      <c r="F267" s="137"/>
      <c r="G267" s="137"/>
      <c r="H267" s="137"/>
      <c r="I267" s="137"/>
      <c r="J267" s="137"/>
      <c r="K267" s="137"/>
      <c r="L267" s="137"/>
      <c r="M267" s="192" t="str">
        <f t="shared" si="9"/>
        <v/>
      </c>
      <c r="N267" s="192" t="str">
        <f t="shared" si="10"/>
        <v/>
      </c>
    </row>
    <row r="268" spans="1:14" ht="15.75">
      <c r="A268" s="177"/>
      <c r="B268" s="177"/>
      <c r="C268" s="137"/>
      <c r="D268" s="137"/>
      <c r="E268" s="137"/>
      <c r="F268" s="137"/>
      <c r="G268" s="137"/>
      <c r="H268" s="137"/>
      <c r="I268" s="137"/>
      <c r="J268" s="137"/>
      <c r="K268" s="137"/>
      <c r="L268" s="137"/>
      <c r="M268" s="192" t="str">
        <f t="shared" si="9"/>
        <v/>
      </c>
      <c r="N268" s="192" t="str">
        <f t="shared" si="10"/>
        <v/>
      </c>
    </row>
    <row r="269" spans="1:14" ht="15.75">
      <c r="A269" s="177"/>
      <c r="B269" s="177"/>
      <c r="C269" s="137"/>
      <c r="D269" s="137"/>
      <c r="E269" s="137"/>
      <c r="F269" s="137"/>
      <c r="G269" s="137"/>
      <c r="H269" s="137"/>
      <c r="I269" s="137"/>
      <c r="J269" s="137"/>
      <c r="K269" s="137"/>
      <c r="L269" s="137"/>
      <c r="M269" s="192" t="str">
        <f t="shared" si="9"/>
        <v/>
      </c>
      <c r="N269" s="192" t="str">
        <f t="shared" si="10"/>
        <v/>
      </c>
    </row>
    <row r="270" spans="1:14" ht="15.75">
      <c r="A270" s="177"/>
      <c r="B270" s="177"/>
      <c r="C270" s="137"/>
      <c r="D270" s="137"/>
      <c r="E270" s="137"/>
      <c r="F270" s="137"/>
      <c r="G270" s="137"/>
      <c r="H270" s="137"/>
      <c r="I270" s="137"/>
      <c r="J270" s="137"/>
      <c r="K270" s="137"/>
      <c r="L270" s="137"/>
      <c r="M270" s="192" t="str">
        <f t="shared" si="9"/>
        <v/>
      </c>
      <c r="N270" s="192" t="str">
        <f t="shared" si="10"/>
        <v/>
      </c>
    </row>
    <row r="271" spans="1:14" ht="15.75">
      <c r="A271" s="177"/>
      <c r="B271" s="177"/>
      <c r="C271" s="137"/>
      <c r="D271" s="137"/>
      <c r="E271" s="137"/>
      <c r="F271" s="137"/>
      <c r="G271" s="137"/>
      <c r="H271" s="137"/>
      <c r="I271" s="137"/>
      <c r="J271" s="137"/>
      <c r="K271" s="137"/>
      <c r="L271" s="137"/>
      <c r="M271" s="192" t="str">
        <f t="shared" si="9"/>
        <v/>
      </c>
      <c r="N271" s="192" t="str">
        <f t="shared" si="10"/>
        <v/>
      </c>
    </row>
    <row r="272" spans="1:14" ht="15.75">
      <c r="A272" s="177"/>
      <c r="B272" s="177"/>
      <c r="C272" s="137"/>
      <c r="D272" s="137"/>
      <c r="E272" s="137"/>
      <c r="F272" s="137"/>
      <c r="G272" s="137"/>
      <c r="H272" s="137"/>
      <c r="I272" s="137"/>
      <c r="J272" s="137"/>
      <c r="K272" s="137"/>
      <c r="L272" s="137"/>
      <c r="M272" s="192" t="str">
        <f t="shared" si="9"/>
        <v/>
      </c>
      <c r="N272" s="192" t="str">
        <f t="shared" si="10"/>
        <v/>
      </c>
    </row>
    <row r="273" spans="1:14" ht="15.75">
      <c r="A273" s="177"/>
      <c r="B273" s="177"/>
      <c r="C273" s="137"/>
      <c r="D273" s="137"/>
      <c r="E273" s="137"/>
      <c r="F273" s="137"/>
      <c r="G273" s="137"/>
      <c r="H273" s="137"/>
      <c r="I273" s="137"/>
      <c r="J273" s="137"/>
      <c r="K273" s="137"/>
      <c r="L273" s="137"/>
      <c r="M273" s="192" t="str">
        <f t="shared" si="9"/>
        <v/>
      </c>
      <c r="N273" s="192" t="str">
        <f t="shared" si="10"/>
        <v/>
      </c>
    </row>
    <row r="274" spans="1:14" ht="15.75">
      <c r="A274" s="177"/>
      <c r="B274" s="177"/>
      <c r="C274" s="137"/>
      <c r="D274" s="137"/>
      <c r="E274" s="137"/>
      <c r="F274" s="137"/>
      <c r="G274" s="137"/>
      <c r="H274" s="137"/>
      <c r="I274" s="137"/>
      <c r="J274" s="137"/>
      <c r="K274" s="137"/>
      <c r="L274" s="137"/>
      <c r="M274" s="192" t="str">
        <f t="shared" si="9"/>
        <v/>
      </c>
      <c r="N274" s="192" t="str">
        <f t="shared" si="10"/>
        <v/>
      </c>
    </row>
    <row r="275" spans="1:14" ht="15.75">
      <c r="A275" s="177"/>
      <c r="B275" s="177"/>
      <c r="C275" s="137"/>
      <c r="D275" s="137"/>
      <c r="E275" s="137"/>
      <c r="F275" s="137"/>
      <c r="G275" s="137"/>
      <c r="H275" s="137"/>
      <c r="I275" s="137"/>
      <c r="J275" s="137"/>
      <c r="K275" s="137"/>
      <c r="L275" s="137"/>
      <c r="M275" s="192" t="str">
        <f t="shared" si="9"/>
        <v/>
      </c>
      <c r="N275" s="192" t="str">
        <f t="shared" si="10"/>
        <v/>
      </c>
    </row>
    <row r="276" spans="1:14" ht="15.75">
      <c r="A276" s="177"/>
      <c r="B276" s="177"/>
      <c r="C276" s="137"/>
      <c r="D276" s="137"/>
      <c r="E276" s="137"/>
      <c r="F276" s="137"/>
      <c r="G276" s="137"/>
      <c r="H276" s="137"/>
      <c r="I276" s="137"/>
      <c r="J276" s="137"/>
      <c r="K276" s="137"/>
      <c r="L276" s="137"/>
      <c r="M276" s="192" t="str">
        <f t="shared" si="9"/>
        <v/>
      </c>
      <c r="N276" s="192" t="str">
        <f t="shared" si="10"/>
        <v/>
      </c>
    </row>
    <row r="277" spans="1:14" ht="15.75">
      <c r="A277" s="177"/>
      <c r="B277" s="177"/>
      <c r="C277" s="137"/>
      <c r="D277" s="137"/>
      <c r="E277" s="137"/>
      <c r="F277" s="137"/>
      <c r="G277" s="137"/>
      <c r="H277" s="137"/>
      <c r="I277" s="137"/>
      <c r="J277" s="137"/>
      <c r="K277" s="137"/>
      <c r="L277" s="137"/>
      <c r="M277" s="192" t="str">
        <f t="shared" si="9"/>
        <v/>
      </c>
      <c r="N277" s="192" t="str">
        <f t="shared" si="10"/>
        <v/>
      </c>
    </row>
    <row r="278" spans="1:14" ht="15.75">
      <c r="A278" s="177"/>
      <c r="B278" s="177"/>
      <c r="C278" s="137"/>
      <c r="D278" s="137"/>
      <c r="E278" s="137"/>
      <c r="F278" s="137"/>
      <c r="G278" s="137"/>
      <c r="H278" s="137"/>
      <c r="I278" s="137"/>
      <c r="J278" s="137"/>
      <c r="K278" s="137"/>
      <c r="L278" s="137"/>
      <c r="M278" s="192" t="str">
        <f t="shared" si="9"/>
        <v/>
      </c>
      <c r="N278" s="192" t="str">
        <f t="shared" si="10"/>
        <v/>
      </c>
    </row>
    <row r="279" spans="1:14" ht="15.75">
      <c r="A279" s="177"/>
      <c r="B279" s="177"/>
      <c r="C279" s="137"/>
      <c r="D279" s="137"/>
      <c r="E279" s="137"/>
      <c r="F279" s="137"/>
      <c r="G279" s="137"/>
      <c r="H279" s="137"/>
      <c r="I279" s="137"/>
      <c r="J279" s="137"/>
      <c r="K279" s="137"/>
      <c r="L279" s="137"/>
      <c r="M279" s="192" t="str">
        <f t="shared" si="9"/>
        <v/>
      </c>
      <c r="N279" s="192" t="str">
        <f t="shared" si="10"/>
        <v/>
      </c>
    </row>
    <row r="280" spans="1:14" ht="15.75">
      <c r="A280" s="177"/>
      <c r="B280" s="177"/>
      <c r="C280" s="137"/>
      <c r="D280" s="137"/>
      <c r="E280" s="137"/>
      <c r="F280" s="137"/>
      <c r="G280" s="137"/>
      <c r="H280" s="137"/>
      <c r="I280" s="137"/>
      <c r="J280" s="137"/>
      <c r="K280" s="137"/>
      <c r="L280" s="137"/>
      <c r="M280" s="192" t="str">
        <f t="shared" si="9"/>
        <v/>
      </c>
      <c r="N280" s="192" t="str">
        <f t="shared" si="10"/>
        <v/>
      </c>
    </row>
    <row r="281" spans="1:14" ht="15.75">
      <c r="A281" s="177"/>
      <c r="B281" s="177"/>
      <c r="C281" s="137"/>
      <c r="D281" s="137"/>
      <c r="E281" s="137"/>
      <c r="F281" s="137"/>
      <c r="G281" s="137"/>
      <c r="H281" s="137"/>
      <c r="I281" s="137"/>
      <c r="J281" s="137"/>
      <c r="K281" s="137"/>
      <c r="L281" s="137"/>
      <c r="M281" s="192" t="str">
        <f t="shared" si="9"/>
        <v/>
      </c>
      <c r="N281" s="192" t="str">
        <f t="shared" si="10"/>
        <v/>
      </c>
    </row>
    <row r="282" spans="1:14" ht="15.75">
      <c r="A282" s="177"/>
      <c r="B282" s="177"/>
      <c r="C282" s="137"/>
      <c r="D282" s="137"/>
      <c r="E282" s="137"/>
      <c r="F282" s="137"/>
      <c r="G282" s="137"/>
      <c r="H282" s="137"/>
      <c r="I282" s="137"/>
      <c r="J282" s="137"/>
      <c r="K282" s="137"/>
      <c r="L282" s="137"/>
      <c r="M282" s="192" t="str">
        <f t="shared" si="9"/>
        <v/>
      </c>
      <c r="N282" s="192" t="str">
        <f t="shared" si="10"/>
        <v/>
      </c>
    </row>
    <row r="283" spans="1:14" ht="15.75">
      <c r="A283" s="177"/>
      <c r="B283" s="177"/>
      <c r="C283" s="137"/>
      <c r="D283" s="137"/>
      <c r="E283" s="137"/>
      <c r="F283" s="137"/>
      <c r="G283" s="137"/>
      <c r="H283" s="137"/>
      <c r="I283" s="137"/>
      <c r="J283" s="137"/>
      <c r="K283" s="137"/>
      <c r="L283" s="137"/>
      <c r="M283" s="192" t="str">
        <f t="shared" si="9"/>
        <v/>
      </c>
      <c r="N283" s="192" t="str">
        <f t="shared" si="10"/>
        <v/>
      </c>
    </row>
    <row r="284" spans="1:14" ht="15.75">
      <c r="A284" s="177"/>
      <c r="B284" s="177"/>
      <c r="C284" s="137"/>
      <c r="D284" s="137"/>
      <c r="E284" s="137"/>
      <c r="F284" s="137"/>
      <c r="G284" s="137"/>
      <c r="H284" s="137"/>
      <c r="I284" s="137"/>
      <c r="J284" s="137"/>
      <c r="K284" s="137"/>
      <c r="L284" s="137"/>
      <c r="M284" s="192" t="str">
        <f t="shared" si="9"/>
        <v/>
      </c>
      <c r="N284" s="192" t="str">
        <f t="shared" si="10"/>
        <v/>
      </c>
    </row>
    <row r="285" spans="1:14" ht="15.75">
      <c r="A285" s="177"/>
      <c r="B285" s="177"/>
      <c r="C285" s="137"/>
      <c r="D285" s="137"/>
      <c r="E285" s="137"/>
      <c r="F285" s="137"/>
      <c r="G285" s="137"/>
      <c r="H285" s="137"/>
      <c r="I285" s="137"/>
      <c r="J285" s="137"/>
      <c r="K285" s="137"/>
      <c r="L285" s="137"/>
      <c r="M285" s="192" t="str">
        <f t="shared" si="9"/>
        <v/>
      </c>
      <c r="N285" s="192" t="str">
        <f t="shared" si="10"/>
        <v/>
      </c>
    </row>
    <row r="286" spans="1:14" ht="15.75">
      <c r="A286" s="177"/>
      <c r="B286" s="177"/>
      <c r="C286" s="137"/>
      <c r="D286" s="137"/>
      <c r="E286" s="137"/>
      <c r="F286" s="137"/>
      <c r="G286" s="137"/>
      <c r="H286" s="137"/>
      <c r="I286" s="137"/>
      <c r="J286" s="137"/>
      <c r="K286" s="137"/>
      <c r="L286" s="137"/>
      <c r="M286" s="192" t="str">
        <f t="shared" si="9"/>
        <v/>
      </c>
      <c r="N286" s="192" t="str">
        <f t="shared" si="10"/>
        <v/>
      </c>
    </row>
    <row r="287" spans="1:14" ht="15.75">
      <c r="A287" s="177"/>
      <c r="B287" s="177"/>
      <c r="C287" s="137"/>
      <c r="D287" s="137"/>
      <c r="E287" s="137"/>
      <c r="F287" s="137"/>
      <c r="G287" s="137"/>
      <c r="H287" s="137"/>
      <c r="I287" s="137"/>
      <c r="J287" s="137"/>
      <c r="K287" s="137"/>
      <c r="L287" s="137"/>
      <c r="M287" s="192" t="str">
        <f t="shared" si="9"/>
        <v/>
      </c>
      <c r="N287" s="192" t="str">
        <f t="shared" si="10"/>
        <v/>
      </c>
    </row>
    <row r="288" spans="1:14" ht="15.75">
      <c r="A288" s="177"/>
      <c r="B288" s="177"/>
      <c r="C288" s="137"/>
      <c r="D288" s="137"/>
      <c r="E288" s="137"/>
      <c r="F288" s="137"/>
      <c r="G288" s="137"/>
      <c r="H288" s="137"/>
      <c r="I288" s="137"/>
      <c r="J288" s="137"/>
      <c r="K288" s="137"/>
      <c r="L288" s="137"/>
      <c r="M288" s="192" t="str">
        <f t="shared" si="9"/>
        <v/>
      </c>
      <c r="N288" s="192" t="str">
        <f t="shared" si="10"/>
        <v/>
      </c>
    </row>
    <row r="289" spans="1:14" ht="15.75">
      <c r="A289" s="177"/>
      <c r="B289" s="177"/>
      <c r="C289" s="137"/>
      <c r="D289" s="137"/>
      <c r="E289" s="137"/>
      <c r="F289" s="137"/>
      <c r="G289" s="137"/>
      <c r="H289" s="137"/>
      <c r="I289" s="137"/>
      <c r="J289" s="137"/>
      <c r="K289" s="137"/>
      <c r="L289" s="137"/>
      <c r="M289" s="192" t="str">
        <f t="shared" si="9"/>
        <v/>
      </c>
      <c r="N289" s="192" t="str">
        <f t="shared" si="10"/>
        <v/>
      </c>
    </row>
    <row r="290" spans="1:14" ht="15.75">
      <c r="A290" s="177"/>
      <c r="B290" s="177"/>
      <c r="C290" s="137"/>
      <c r="D290" s="137"/>
      <c r="E290" s="137"/>
      <c r="F290" s="137"/>
      <c r="G290" s="137"/>
      <c r="H290" s="137"/>
      <c r="I290" s="137"/>
      <c r="J290" s="137"/>
      <c r="K290" s="137"/>
      <c r="L290" s="137"/>
      <c r="M290" s="192" t="str">
        <f t="shared" si="9"/>
        <v/>
      </c>
      <c r="N290" s="192" t="str">
        <f t="shared" si="10"/>
        <v/>
      </c>
    </row>
    <row r="291" spans="1:14" ht="15.75">
      <c r="A291" s="177"/>
      <c r="B291" s="177"/>
      <c r="C291" s="137"/>
      <c r="D291" s="137"/>
      <c r="E291" s="137"/>
      <c r="F291" s="137"/>
      <c r="G291" s="137"/>
      <c r="H291" s="137"/>
      <c r="I291" s="137"/>
      <c r="J291" s="137"/>
      <c r="K291" s="137"/>
      <c r="L291" s="137"/>
      <c r="M291" s="192" t="str">
        <f t="shared" si="9"/>
        <v/>
      </c>
      <c r="N291" s="192" t="str">
        <f t="shared" si="10"/>
        <v/>
      </c>
    </row>
    <row r="292" spans="1:14" ht="15.75">
      <c r="A292" s="177"/>
      <c r="B292" s="177"/>
      <c r="C292" s="137"/>
      <c r="D292" s="137"/>
      <c r="E292" s="137"/>
      <c r="F292" s="137"/>
      <c r="G292" s="137"/>
      <c r="H292" s="137"/>
      <c r="I292" s="137"/>
      <c r="J292" s="137"/>
      <c r="K292" s="137"/>
      <c r="L292" s="137"/>
      <c r="M292" s="192" t="str">
        <f t="shared" si="9"/>
        <v/>
      </c>
      <c r="N292" s="192" t="str">
        <f t="shared" si="10"/>
        <v/>
      </c>
    </row>
    <row r="293" spans="1:14" ht="15.75">
      <c r="A293" s="177"/>
      <c r="B293" s="177"/>
      <c r="C293" s="137"/>
      <c r="D293" s="137"/>
      <c r="E293" s="137"/>
      <c r="F293" s="137"/>
      <c r="G293" s="137"/>
      <c r="H293" s="137"/>
      <c r="I293" s="137"/>
      <c r="J293" s="137"/>
      <c r="K293" s="137"/>
      <c r="L293" s="137"/>
      <c r="M293" s="192" t="str">
        <f t="shared" si="9"/>
        <v/>
      </c>
      <c r="N293" s="192" t="str">
        <f t="shared" si="10"/>
        <v/>
      </c>
    </row>
    <row r="294" spans="1:14" ht="15.75">
      <c r="A294" s="177"/>
      <c r="B294" s="177"/>
      <c r="C294" s="137"/>
      <c r="D294" s="137"/>
      <c r="E294" s="137"/>
      <c r="F294" s="137"/>
      <c r="G294" s="137"/>
      <c r="H294" s="137"/>
      <c r="I294" s="137"/>
      <c r="J294" s="137"/>
      <c r="K294" s="137"/>
      <c r="L294" s="137"/>
      <c r="M294" s="192" t="str">
        <f t="shared" si="9"/>
        <v/>
      </c>
      <c r="N294" s="192" t="str">
        <f t="shared" si="10"/>
        <v/>
      </c>
    </row>
    <row r="295" spans="1:14" ht="15.75">
      <c r="A295" s="177"/>
      <c r="B295" s="177"/>
      <c r="C295" s="137"/>
      <c r="D295" s="137"/>
      <c r="E295" s="137"/>
      <c r="F295" s="137"/>
      <c r="G295" s="137"/>
      <c r="H295" s="137"/>
      <c r="I295" s="137"/>
      <c r="J295" s="137"/>
      <c r="K295" s="137"/>
      <c r="L295" s="137"/>
      <c r="M295" s="192" t="str">
        <f t="shared" si="9"/>
        <v/>
      </c>
      <c r="N295" s="192" t="str">
        <f t="shared" si="10"/>
        <v/>
      </c>
    </row>
    <row r="296" spans="1:14" ht="15.75">
      <c r="A296" s="177"/>
      <c r="B296" s="177"/>
      <c r="C296" s="137"/>
      <c r="D296" s="137"/>
      <c r="E296" s="137"/>
      <c r="F296" s="137"/>
      <c r="G296" s="137"/>
      <c r="H296" s="137"/>
      <c r="I296" s="137"/>
      <c r="J296" s="137"/>
      <c r="K296" s="137"/>
      <c r="L296" s="137"/>
      <c r="M296" s="192" t="str">
        <f t="shared" si="9"/>
        <v/>
      </c>
      <c r="N296" s="192" t="str">
        <f t="shared" si="10"/>
        <v/>
      </c>
    </row>
    <row r="297" spans="1:14" ht="15.75">
      <c r="A297" s="177"/>
      <c r="B297" s="177"/>
      <c r="C297" s="137"/>
      <c r="D297" s="137"/>
      <c r="E297" s="137"/>
      <c r="F297" s="137"/>
      <c r="G297" s="137"/>
      <c r="H297" s="137"/>
      <c r="I297" s="137"/>
      <c r="J297" s="137"/>
      <c r="K297" s="137"/>
      <c r="L297" s="137"/>
      <c r="M297" s="192" t="str">
        <f t="shared" si="9"/>
        <v/>
      </c>
      <c r="N297" s="192" t="str">
        <f t="shared" si="10"/>
        <v/>
      </c>
    </row>
    <row r="298" spans="1:14" ht="15.75">
      <c r="A298" s="177"/>
      <c r="B298" s="177"/>
      <c r="C298" s="137"/>
      <c r="D298" s="137"/>
      <c r="E298" s="137"/>
      <c r="F298" s="137"/>
      <c r="G298" s="137"/>
      <c r="H298" s="137"/>
      <c r="I298" s="137"/>
      <c r="J298" s="137"/>
      <c r="K298" s="137"/>
      <c r="L298" s="137"/>
      <c r="M298" s="192" t="str">
        <f t="shared" si="9"/>
        <v/>
      </c>
      <c r="N298" s="192" t="str">
        <f t="shared" si="10"/>
        <v/>
      </c>
    </row>
    <row r="299" spans="1:14" ht="15.75">
      <c r="A299" s="177"/>
      <c r="B299" s="177"/>
      <c r="C299" s="137"/>
      <c r="D299" s="137"/>
      <c r="E299" s="137"/>
      <c r="F299" s="137"/>
      <c r="G299" s="137"/>
      <c r="H299" s="137"/>
      <c r="I299" s="137"/>
      <c r="J299" s="137"/>
      <c r="K299" s="137"/>
      <c r="L299" s="137"/>
      <c r="M299" s="192" t="str">
        <f t="shared" si="9"/>
        <v/>
      </c>
      <c r="N299" s="192" t="str">
        <f t="shared" si="10"/>
        <v/>
      </c>
    </row>
    <row r="300" spans="1:14" ht="15.75">
      <c r="A300" s="177"/>
      <c r="B300" s="177"/>
      <c r="C300" s="137"/>
      <c r="D300" s="137"/>
      <c r="E300" s="137"/>
      <c r="F300" s="137"/>
      <c r="G300" s="137"/>
      <c r="H300" s="137"/>
      <c r="I300" s="137"/>
      <c r="J300" s="137"/>
      <c r="K300" s="137"/>
      <c r="L300" s="137"/>
      <c r="M300" s="192" t="str">
        <f t="shared" si="9"/>
        <v/>
      </c>
      <c r="N300" s="192" t="str">
        <f t="shared" si="10"/>
        <v/>
      </c>
    </row>
    <row r="301" spans="1:14" ht="15.75">
      <c r="A301" s="177"/>
      <c r="B301" s="177"/>
      <c r="C301" s="137"/>
      <c r="D301" s="137"/>
      <c r="E301" s="137"/>
      <c r="F301" s="137"/>
      <c r="G301" s="137"/>
      <c r="H301" s="137"/>
      <c r="I301" s="137"/>
      <c r="J301" s="137"/>
      <c r="K301" s="137"/>
      <c r="L301" s="137"/>
      <c r="M301" s="192" t="str">
        <f t="shared" si="9"/>
        <v/>
      </c>
      <c r="N301" s="192" t="str">
        <f t="shared" si="10"/>
        <v/>
      </c>
    </row>
    <row r="302" spans="1:14" ht="15.75">
      <c r="A302" s="177"/>
      <c r="B302" s="177"/>
      <c r="C302" s="137"/>
      <c r="D302" s="137"/>
      <c r="E302" s="137"/>
      <c r="F302" s="137"/>
      <c r="G302" s="137"/>
      <c r="H302" s="137"/>
      <c r="I302" s="137"/>
      <c r="J302" s="137"/>
      <c r="K302" s="137"/>
      <c r="L302" s="137"/>
      <c r="M302" s="192" t="str">
        <f t="shared" si="9"/>
        <v/>
      </c>
      <c r="N302" s="192" t="str">
        <f t="shared" si="10"/>
        <v/>
      </c>
    </row>
    <row r="303" spans="1:14" ht="15.75">
      <c r="A303" s="177"/>
      <c r="B303" s="177"/>
      <c r="C303" s="137"/>
      <c r="D303" s="137"/>
      <c r="E303" s="137"/>
      <c r="F303" s="137"/>
      <c r="G303" s="137"/>
      <c r="H303" s="137"/>
      <c r="I303" s="137"/>
      <c r="J303" s="137"/>
      <c r="K303" s="137"/>
      <c r="L303" s="137"/>
      <c r="M303" s="192" t="str">
        <f t="shared" si="9"/>
        <v/>
      </c>
      <c r="N303" s="192" t="str">
        <f t="shared" si="10"/>
        <v/>
      </c>
    </row>
    <row r="304" spans="1:14" ht="15.75">
      <c r="A304" s="177"/>
      <c r="B304" s="177"/>
      <c r="C304" s="137"/>
      <c r="D304" s="137"/>
      <c r="E304" s="137"/>
      <c r="F304" s="137"/>
      <c r="G304" s="137"/>
      <c r="H304" s="137"/>
      <c r="I304" s="137"/>
      <c r="J304" s="137"/>
      <c r="K304" s="137"/>
      <c r="L304" s="137"/>
      <c r="M304" s="192" t="str">
        <f t="shared" si="9"/>
        <v/>
      </c>
      <c r="N304" s="192" t="str">
        <f t="shared" si="10"/>
        <v/>
      </c>
    </row>
    <row r="305" spans="1:14" ht="15.75">
      <c r="A305" s="177"/>
      <c r="B305" s="177"/>
      <c r="C305" s="137"/>
      <c r="D305" s="137"/>
      <c r="E305" s="137"/>
      <c r="F305" s="137"/>
      <c r="G305" s="137"/>
      <c r="H305" s="137"/>
      <c r="I305" s="137"/>
      <c r="J305" s="137"/>
      <c r="K305" s="137"/>
      <c r="L305" s="137"/>
      <c r="M305" s="192" t="str">
        <f t="shared" si="9"/>
        <v/>
      </c>
      <c r="N305" s="192" t="str">
        <f t="shared" si="10"/>
        <v/>
      </c>
    </row>
    <row r="306" spans="1:14" ht="15.75">
      <c r="A306" s="177"/>
      <c r="B306" s="177"/>
      <c r="C306" s="137"/>
      <c r="D306" s="137"/>
      <c r="E306" s="137"/>
      <c r="F306" s="137"/>
      <c r="G306" s="137"/>
      <c r="H306" s="137"/>
      <c r="I306" s="137"/>
      <c r="J306" s="137"/>
      <c r="K306" s="137"/>
      <c r="L306" s="137"/>
      <c r="M306" s="192" t="str">
        <f t="shared" si="9"/>
        <v/>
      </c>
      <c r="N306" s="192" t="str">
        <f t="shared" si="10"/>
        <v/>
      </c>
    </row>
    <row r="307" spans="1:14" ht="15.75">
      <c r="A307" s="177"/>
      <c r="B307" s="177"/>
      <c r="C307" s="137"/>
      <c r="D307" s="137"/>
      <c r="E307" s="137"/>
      <c r="F307" s="137"/>
      <c r="G307" s="137"/>
      <c r="H307" s="137"/>
      <c r="I307" s="137"/>
      <c r="J307" s="137"/>
      <c r="K307" s="137"/>
      <c r="L307" s="137"/>
      <c r="M307" s="192" t="str">
        <f t="shared" si="9"/>
        <v/>
      </c>
      <c r="N307" s="192" t="str">
        <f t="shared" si="10"/>
        <v/>
      </c>
    </row>
    <row r="308" spans="1:14" ht="15.75">
      <c r="A308" s="177"/>
      <c r="B308" s="177"/>
      <c r="C308" s="137"/>
      <c r="D308" s="137"/>
      <c r="E308" s="137"/>
      <c r="F308" s="137"/>
      <c r="G308" s="137"/>
      <c r="H308" s="137"/>
      <c r="I308" s="137"/>
      <c r="J308" s="137"/>
      <c r="K308" s="137"/>
      <c r="L308" s="137"/>
      <c r="M308" s="192" t="str">
        <f t="shared" si="9"/>
        <v/>
      </c>
      <c r="N308" s="192" t="str">
        <f t="shared" si="10"/>
        <v/>
      </c>
    </row>
    <row r="309" spans="1:14" ht="15.75">
      <c r="A309" s="177"/>
      <c r="B309" s="177"/>
      <c r="C309" s="137"/>
      <c r="D309" s="137"/>
      <c r="E309" s="137"/>
      <c r="F309" s="137"/>
      <c r="G309" s="137"/>
      <c r="H309" s="137"/>
      <c r="I309" s="137"/>
      <c r="J309" s="137"/>
      <c r="K309" s="137"/>
      <c r="L309" s="137"/>
      <c r="M309" s="192" t="str">
        <f t="shared" si="9"/>
        <v/>
      </c>
      <c r="N309" s="192" t="str">
        <f t="shared" si="10"/>
        <v/>
      </c>
    </row>
    <row r="310" spans="1:14" ht="15.75">
      <c r="A310" s="177"/>
      <c r="B310" s="177"/>
      <c r="C310" s="137"/>
      <c r="D310" s="137"/>
      <c r="E310" s="137"/>
      <c r="F310" s="137"/>
      <c r="G310" s="137"/>
      <c r="H310" s="137"/>
      <c r="I310" s="137"/>
      <c r="J310" s="137"/>
      <c r="K310" s="137"/>
      <c r="L310" s="137"/>
      <c r="M310" s="192" t="str">
        <f t="shared" si="9"/>
        <v/>
      </c>
      <c r="N310" s="192" t="str">
        <f t="shared" si="10"/>
        <v/>
      </c>
    </row>
    <row r="311" spans="1:14" ht="15.75">
      <c r="A311" s="177"/>
      <c r="B311" s="177"/>
      <c r="C311" s="137"/>
      <c r="D311" s="137"/>
      <c r="E311" s="137"/>
      <c r="F311" s="137"/>
      <c r="G311" s="137"/>
      <c r="H311" s="137"/>
      <c r="I311" s="137"/>
      <c r="J311" s="137"/>
      <c r="K311" s="137"/>
      <c r="L311" s="137"/>
      <c r="M311" s="192" t="str">
        <f t="shared" si="9"/>
        <v/>
      </c>
      <c r="N311" s="192" t="str">
        <f t="shared" si="10"/>
        <v/>
      </c>
    </row>
    <row r="312" spans="1:14" ht="15.75">
      <c r="A312" s="177"/>
      <c r="B312" s="177"/>
      <c r="C312" s="137"/>
      <c r="D312" s="137"/>
      <c r="E312" s="137"/>
      <c r="F312" s="137"/>
      <c r="G312" s="137"/>
      <c r="H312" s="137"/>
      <c r="I312" s="137"/>
      <c r="J312" s="137"/>
      <c r="K312" s="137"/>
      <c r="L312" s="137"/>
      <c r="M312" s="192" t="str">
        <f t="shared" si="9"/>
        <v/>
      </c>
      <c r="N312" s="192" t="str">
        <f t="shared" si="10"/>
        <v/>
      </c>
    </row>
    <row r="313" spans="1:14" ht="15.75">
      <c r="A313" s="177"/>
      <c r="B313" s="177"/>
      <c r="C313" s="137"/>
      <c r="D313" s="137"/>
      <c r="E313" s="137"/>
      <c r="F313" s="137"/>
      <c r="G313" s="137"/>
      <c r="H313" s="137"/>
      <c r="I313" s="137"/>
      <c r="J313" s="137"/>
      <c r="K313" s="137"/>
      <c r="L313" s="137"/>
      <c r="M313" s="192" t="str">
        <f t="shared" si="9"/>
        <v/>
      </c>
      <c r="N313" s="192" t="str">
        <f t="shared" si="10"/>
        <v/>
      </c>
    </row>
    <row r="314" spans="1:14" ht="15.75">
      <c r="A314" s="177"/>
      <c r="B314" s="177"/>
      <c r="C314" s="137"/>
      <c r="D314" s="137"/>
      <c r="E314" s="137"/>
      <c r="F314" s="137"/>
      <c r="G314" s="137"/>
      <c r="H314" s="137"/>
      <c r="I314" s="137"/>
      <c r="J314" s="137"/>
      <c r="K314" s="137"/>
      <c r="L314" s="137"/>
      <c r="M314" s="192" t="str">
        <f t="shared" si="9"/>
        <v/>
      </c>
      <c r="N314" s="192" t="str">
        <f t="shared" si="10"/>
        <v/>
      </c>
    </row>
    <row r="315" spans="1:14" ht="15.75">
      <c r="A315" s="177"/>
      <c r="B315" s="177"/>
      <c r="C315" s="137"/>
      <c r="D315" s="137"/>
      <c r="E315" s="137"/>
      <c r="F315" s="137"/>
      <c r="G315" s="137"/>
      <c r="H315" s="137"/>
      <c r="I315" s="137"/>
      <c r="J315" s="137"/>
      <c r="K315" s="137"/>
      <c r="L315" s="137"/>
      <c r="M315" s="192" t="str">
        <f t="shared" si="9"/>
        <v/>
      </c>
      <c r="N315" s="192" t="str">
        <f t="shared" si="10"/>
        <v/>
      </c>
    </row>
    <row r="316" spans="1:14" ht="15.75">
      <c r="A316" s="177"/>
      <c r="B316" s="177"/>
      <c r="C316" s="137"/>
      <c r="D316" s="137"/>
      <c r="E316" s="137"/>
      <c r="F316" s="137"/>
      <c r="G316" s="137"/>
      <c r="H316" s="137"/>
      <c r="I316" s="137"/>
      <c r="J316" s="137"/>
      <c r="K316" s="137"/>
      <c r="L316" s="137"/>
      <c r="M316" s="192" t="str">
        <f t="shared" si="9"/>
        <v/>
      </c>
      <c r="N316" s="192" t="str">
        <f t="shared" si="10"/>
        <v/>
      </c>
    </row>
    <row r="317" spans="1:14" ht="15.75">
      <c r="A317" s="177"/>
      <c r="B317" s="177"/>
      <c r="C317" s="137"/>
      <c r="D317" s="137"/>
      <c r="E317" s="137"/>
      <c r="F317" s="137"/>
      <c r="G317" s="137"/>
      <c r="H317" s="137"/>
      <c r="I317" s="137"/>
      <c r="J317" s="137"/>
      <c r="K317" s="137"/>
      <c r="L317" s="137"/>
      <c r="M317" s="192" t="str">
        <f t="shared" si="9"/>
        <v/>
      </c>
      <c r="N317" s="192" t="str">
        <f t="shared" si="10"/>
        <v/>
      </c>
    </row>
    <row r="318" spans="1:14" ht="15.75">
      <c r="A318" s="177"/>
      <c r="B318" s="177"/>
      <c r="C318" s="137"/>
      <c r="D318" s="137"/>
      <c r="E318" s="137"/>
      <c r="F318" s="137"/>
      <c r="G318" s="137"/>
      <c r="H318" s="137"/>
      <c r="I318" s="137"/>
      <c r="J318" s="137"/>
      <c r="K318" s="137"/>
      <c r="L318" s="137"/>
      <c r="M318" s="192" t="str">
        <f t="shared" si="9"/>
        <v/>
      </c>
      <c r="N318" s="192" t="str">
        <f t="shared" si="10"/>
        <v/>
      </c>
    </row>
    <row r="319" spans="1:14" ht="15.75">
      <c r="A319" s="177"/>
      <c r="B319" s="177"/>
      <c r="C319" s="137"/>
      <c r="D319" s="137"/>
      <c r="E319" s="137"/>
      <c r="F319" s="137"/>
      <c r="G319" s="137"/>
      <c r="H319" s="137"/>
      <c r="I319" s="137"/>
      <c r="J319" s="137"/>
      <c r="K319" s="137"/>
      <c r="L319" s="137"/>
      <c r="M319" s="192" t="str">
        <f t="shared" si="9"/>
        <v/>
      </c>
      <c r="N319" s="192" t="str">
        <f t="shared" si="10"/>
        <v/>
      </c>
    </row>
    <row r="320" spans="1:14" ht="15.75">
      <c r="A320" s="177"/>
      <c r="B320" s="177"/>
      <c r="C320" s="137"/>
      <c r="D320" s="137"/>
      <c r="E320" s="137"/>
      <c r="F320" s="137"/>
      <c r="G320" s="137"/>
      <c r="H320" s="137"/>
      <c r="I320" s="137"/>
      <c r="J320" s="137"/>
      <c r="K320" s="137"/>
      <c r="L320" s="137"/>
      <c r="M320" s="192" t="str">
        <f t="shared" si="9"/>
        <v/>
      </c>
      <c r="N320" s="192" t="str">
        <f t="shared" si="10"/>
        <v/>
      </c>
    </row>
    <row r="321" spans="1:14" ht="15.75">
      <c r="A321" s="177"/>
      <c r="B321" s="177"/>
      <c r="C321" s="137"/>
      <c r="D321" s="137"/>
      <c r="E321" s="137"/>
      <c r="F321" s="137"/>
      <c r="G321" s="137"/>
      <c r="H321" s="137"/>
      <c r="I321" s="137"/>
      <c r="J321" s="137"/>
      <c r="K321" s="137"/>
      <c r="L321" s="137"/>
      <c r="M321" s="192" t="str">
        <f t="shared" si="9"/>
        <v/>
      </c>
      <c r="N321" s="192" t="str">
        <f t="shared" si="10"/>
        <v/>
      </c>
    </row>
    <row r="322" spans="1:14" ht="15.75">
      <c r="A322" s="177"/>
      <c r="B322" s="177"/>
      <c r="C322" s="137"/>
      <c r="D322" s="137"/>
      <c r="E322" s="137"/>
      <c r="F322" s="137"/>
      <c r="G322" s="137"/>
      <c r="H322" s="137"/>
      <c r="I322" s="137"/>
      <c r="J322" s="137"/>
      <c r="K322" s="137"/>
      <c r="L322" s="137"/>
      <c r="M322" s="192" t="str">
        <f t="shared" si="9"/>
        <v/>
      </c>
      <c r="N322" s="192" t="str">
        <f t="shared" si="10"/>
        <v/>
      </c>
    </row>
    <row r="323" spans="1:14" ht="15.75">
      <c r="A323" s="177"/>
      <c r="B323" s="177"/>
      <c r="C323" s="137"/>
      <c r="D323" s="137"/>
      <c r="E323" s="137"/>
      <c r="F323" s="137"/>
      <c r="G323" s="137"/>
      <c r="H323" s="137"/>
      <c r="I323" s="137"/>
      <c r="J323" s="137"/>
      <c r="K323" s="137"/>
      <c r="L323" s="137"/>
      <c r="M323" s="192" t="str">
        <f t="shared" si="9"/>
        <v/>
      </c>
      <c r="N323" s="192" t="str">
        <f t="shared" si="10"/>
        <v/>
      </c>
    </row>
    <row r="324" spans="1:14" ht="15.75">
      <c r="A324" s="177"/>
      <c r="B324" s="177"/>
      <c r="C324" s="137"/>
      <c r="D324" s="137"/>
      <c r="E324" s="137"/>
      <c r="F324" s="137"/>
      <c r="G324" s="137"/>
      <c r="H324" s="137"/>
      <c r="I324" s="137"/>
      <c r="J324" s="137"/>
      <c r="K324" s="137"/>
      <c r="L324" s="137"/>
      <c r="M324" s="192" t="str">
        <f t="shared" si="9"/>
        <v/>
      </c>
      <c r="N324" s="192" t="str">
        <f t="shared" si="10"/>
        <v/>
      </c>
    </row>
    <row r="325" spans="1:14" ht="15.75">
      <c r="A325" s="177"/>
      <c r="B325" s="177"/>
      <c r="C325" s="137"/>
      <c r="D325" s="137"/>
      <c r="E325" s="137"/>
      <c r="F325" s="137"/>
      <c r="G325" s="137"/>
      <c r="H325" s="137"/>
      <c r="I325" s="137"/>
      <c r="J325" s="137"/>
      <c r="K325" s="137"/>
      <c r="L325" s="137"/>
      <c r="M325" s="192" t="str">
        <f t="shared" si="9"/>
        <v/>
      </c>
      <c r="N325" s="192" t="str">
        <f t="shared" si="10"/>
        <v/>
      </c>
    </row>
    <row r="326" spans="1:14" ht="15.75">
      <c r="A326" s="177"/>
      <c r="B326" s="177"/>
      <c r="C326" s="137"/>
      <c r="D326" s="137"/>
      <c r="E326" s="137"/>
      <c r="F326" s="137"/>
      <c r="G326" s="137"/>
      <c r="H326" s="137"/>
      <c r="I326" s="137"/>
      <c r="J326" s="137"/>
      <c r="K326" s="137"/>
      <c r="L326" s="137"/>
      <c r="M326" s="192" t="str">
        <f t="shared" si="9"/>
        <v/>
      </c>
      <c r="N326" s="192" t="str">
        <f t="shared" si="10"/>
        <v/>
      </c>
    </row>
  </sheetData>
  <mergeCells count="3">
    <mergeCell ref="A5:B5"/>
    <mergeCell ref="J2:L2"/>
    <mergeCell ref="C2:I2"/>
  </mergeCells>
  <conditionalFormatting sqref="M7:N326">
    <cfRule type="cellIs" dxfId="13" priority="9" stopIfTrue="1" operator="equal">
      <formula>CheckErr</formula>
    </cfRule>
  </conditionalFormatting>
  <conditionalFormatting sqref="J1:K1048576">
    <cfRule type="expression" dxfId="12" priority="4" stopIfTrue="1">
      <formula>$N1=CheckErr</formula>
    </cfRule>
  </conditionalFormatting>
  <conditionalFormatting sqref="C1:H1048576">
    <cfRule type="expression" dxfId="11" priority="19" stopIfTrue="1">
      <formula>$M1=CheckErr</formula>
    </cfRule>
  </conditionalFormatting>
  <dataValidations count="1">
    <dataValidation type="list" allowBlank="1" showInputMessage="1" showErrorMessage="1" sqref="J7:J326">
      <formula1>$P$7:$P$12</formula1>
    </dataValidation>
  </dataValidations>
  <pageMargins left="0.70866141732283472" right="0.70866141732283472" top="0.74803149606299213" bottom="0.74803149606299213" header="0.31496062992125984" footer="0.31496062992125984"/>
  <pageSetup paperSize="9" scale="87" fitToHeight="16" orientation="landscape"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6.xml><?xml version="1.0" encoding="utf-8"?>
<worksheet xmlns="http://schemas.openxmlformats.org/spreadsheetml/2006/main" xmlns:r="http://schemas.openxmlformats.org/officeDocument/2006/relationships">
  <sheetPr codeName="Sheet12"/>
  <dimension ref="A1:S130"/>
  <sheetViews>
    <sheetView workbookViewId="0">
      <selection activeCell="C27" sqref="C27"/>
    </sheetView>
  </sheetViews>
  <sheetFormatPr defaultRowHeight="13.5"/>
  <cols>
    <col min="1" max="1" width="13.875" style="106" bestFit="1" customWidth="1"/>
    <col min="2" max="2" width="17.25" style="106" bestFit="1" customWidth="1"/>
    <col min="3" max="3" width="52.25" style="106" bestFit="1" customWidth="1"/>
    <col min="4" max="4" width="17.25" style="106" bestFit="1" customWidth="1"/>
    <col min="5" max="5" width="53" style="106" customWidth="1"/>
    <col min="6" max="6" width="17.25" style="106" customWidth="1"/>
    <col min="7" max="7" width="62.375" style="106" customWidth="1"/>
    <col min="8" max="8" width="16.5" style="106" bestFit="1" customWidth="1"/>
    <col min="9" max="9" width="62.375" style="106" customWidth="1"/>
    <col min="10" max="10" width="18" style="106" customWidth="1"/>
    <col min="11" max="11" width="25.875" style="106" customWidth="1"/>
    <col min="12" max="12" width="11.5" style="106" bestFit="1" customWidth="1"/>
    <col min="13" max="13" width="62.375" style="106" customWidth="1"/>
    <col min="14" max="14" width="11.5" style="106" bestFit="1" customWidth="1"/>
    <col min="15" max="15" width="62.375" style="106" customWidth="1"/>
    <col min="16" max="16" width="11.5" style="106" bestFit="1" customWidth="1"/>
    <col min="17" max="18" width="62.375" style="106" customWidth="1"/>
    <col min="19" max="19" width="9" style="106"/>
    <col min="20" max="16384" width="9" style="203"/>
  </cols>
  <sheetData>
    <row r="1" spans="1:19" ht="13.5" customHeight="1">
      <c r="A1" s="201" t="s">
        <v>152</v>
      </c>
      <c r="B1" s="283" t="s">
        <v>548</v>
      </c>
      <c r="C1" s="285"/>
      <c r="D1" s="283" t="s">
        <v>339</v>
      </c>
      <c r="E1" s="284"/>
      <c r="F1" s="283" t="s">
        <v>437</v>
      </c>
      <c r="G1" s="284"/>
      <c r="H1" s="283" t="s">
        <v>475</v>
      </c>
      <c r="I1" s="284"/>
      <c r="J1" s="283" t="s">
        <v>601</v>
      </c>
      <c r="K1" s="284"/>
      <c r="L1" s="283" t="s">
        <v>556</v>
      </c>
      <c r="M1" s="284"/>
      <c r="N1" s="283" t="s">
        <v>509</v>
      </c>
      <c r="O1" s="284"/>
      <c r="P1" s="283" t="s">
        <v>156</v>
      </c>
      <c r="Q1" s="284"/>
      <c r="R1" s="286" t="s">
        <v>208</v>
      </c>
      <c r="S1" s="202" t="s">
        <v>413</v>
      </c>
    </row>
    <row r="2" spans="1:19" ht="13.5" customHeight="1">
      <c r="A2" s="201" t="s">
        <v>153</v>
      </c>
      <c r="B2" s="283" t="s">
        <v>598</v>
      </c>
      <c r="C2" s="285"/>
      <c r="D2" s="283" t="s">
        <v>340</v>
      </c>
      <c r="E2" s="284"/>
      <c r="F2" s="283" t="s">
        <v>436</v>
      </c>
      <c r="G2" s="284"/>
      <c r="H2" s="283" t="s">
        <v>600</v>
      </c>
      <c r="I2" s="284"/>
      <c r="J2" s="283" t="s">
        <v>600</v>
      </c>
      <c r="K2" s="284"/>
      <c r="L2" s="283" t="s">
        <v>600</v>
      </c>
      <c r="M2" s="284"/>
      <c r="N2" s="283" t="s">
        <v>600</v>
      </c>
      <c r="O2" s="284"/>
      <c r="P2" s="283" t="s">
        <v>431</v>
      </c>
      <c r="Q2" s="284"/>
      <c r="R2" s="287"/>
      <c r="S2" s="202"/>
    </row>
    <row r="3" spans="1:19" ht="13.5" customHeight="1">
      <c r="A3" s="201" t="s">
        <v>154</v>
      </c>
      <c r="B3" s="283" t="s">
        <v>599</v>
      </c>
      <c r="C3" s="285"/>
      <c r="D3" s="283" t="s">
        <v>341</v>
      </c>
      <c r="E3" s="284"/>
      <c r="F3" s="283" t="s">
        <v>157</v>
      </c>
      <c r="G3" s="284"/>
      <c r="H3" s="283" t="s">
        <v>157</v>
      </c>
      <c r="I3" s="284"/>
      <c r="J3" s="283" t="s">
        <v>157</v>
      </c>
      <c r="K3" s="284"/>
      <c r="L3" s="283" t="s">
        <v>157</v>
      </c>
      <c r="M3" s="284"/>
      <c r="N3" s="283" t="s">
        <v>602</v>
      </c>
      <c r="O3" s="284"/>
      <c r="P3" s="283" t="s">
        <v>157</v>
      </c>
      <c r="Q3" s="284"/>
      <c r="R3" s="288"/>
      <c r="S3" s="202"/>
    </row>
    <row r="4" spans="1:19" ht="14.25" customHeight="1" thickBot="1">
      <c r="A4" s="201" t="s">
        <v>379</v>
      </c>
      <c r="B4" s="283" t="s">
        <v>389</v>
      </c>
      <c r="C4" s="285"/>
      <c r="D4" s="283" t="s">
        <v>414</v>
      </c>
      <c r="E4" s="284"/>
      <c r="F4" s="283" t="s">
        <v>470</v>
      </c>
      <c r="G4" s="284"/>
      <c r="H4" s="283" t="s">
        <v>470</v>
      </c>
      <c r="I4" s="284"/>
      <c r="J4" s="283" t="s">
        <v>581</v>
      </c>
      <c r="K4" s="284"/>
      <c r="L4" s="283" t="s">
        <v>470</v>
      </c>
      <c r="M4" s="284"/>
      <c r="N4" s="283" t="s">
        <v>510</v>
      </c>
      <c r="O4" s="284"/>
      <c r="P4" s="283" t="s">
        <v>414</v>
      </c>
      <c r="Q4" s="284"/>
      <c r="R4" s="202" t="s">
        <v>414</v>
      </c>
      <c r="S4" s="202"/>
    </row>
    <row r="5" spans="1:19" ht="19.5">
      <c r="B5" s="106" t="s">
        <v>380</v>
      </c>
      <c r="C5" s="204" t="s">
        <v>381</v>
      </c>
      <c r="D5" s="106" t="s">
        <v>380</v>
      </c>
      <c r="E5" s="204" t="s">
        <v>342</v>
      </c>
      <c r="F5" s="177" t="s">
        <v>380</v>
      </c>
      <c r="G5" s="204" t="s">
        <v>438</v>
      </c>
      <c r="H5" s="106" t="s">
        <v>380</v>
      </c>
      <c r="I5" s="204" t="s">
        <v>476</v>
      </c>
      <c r="J5" s="213" t="s">
        <v>380</v>
      </c>
      <c r="K5" s="214" t="s">
        <v>573</v>
      </c>
      <c r="L5" s="106" t="s">
        <v>380</v>
      </c>
      <c r="M5" s="204" t="s">
        <v>557</v>
      </c>
      <c r="N5" s="106" t="s">
        <v>380</v>
      </c>
      <c r="O5" s="204" t="s">
        <v>517</v>
      </c>
      <c r="P5" s="106" t="s">
        <v>380</v>
      </c>
      <c r="Q5" s="204" t="s">
        <v>155</v>
      </c>
    </row>
    <row r="6" spans="1:19" ht="40.5">
      <c r="B6" s="106" t="s">
        <v>382</v>
      </c>
      <c r="C6" s="106" t="s">
        <v>149</v>
      </c>
      <c r="D6" s="106" t="s">
        <v>382</v>
      </c>
      <c r="E6" s="106" t="s">
        <v>343</v>
      </c>
      <c r="F6" s="106" t="s">
        <v>382</v>
      </c>
      <c r="G6" s="106" t="s">
        <v>439</v>
      </c>
      <c r="H6" s="106" t="s">
        <v>433</v>
      </c>
      <c r="I6" s="106" t="s">
        <v>477</v>
      </c>
      <c r="J6" s="106" t="s">
        <v>382</v>
      </c>
      <c r="K6" s="106" t="s">
        <v>574</v>
      </c>
      <c r="L6" s="106" t="s">
        <v>433</v>
      </c>
      <c r="M6" s="106" t="s">
        <v>558</v>
      </c>
      <c r="N6" s="106" t="s">
        <v>506</v>
      </c>
      <c r="O6" s="106" t="s">
        <v>553</v>
      </c>
      <c r="P6" s="106" t="s">
        <v>390</v>
      </c>
      <c r="Q6" s="106" t="s">
        <v>220</v>
      </c>
    </row>
    <row r="7" spans="1:19" ht="42">
      <c r="B7" s="106" t="s">
        <v>382</v>
      </c>
      <c r="C7" s="106" t="s">
        <v>168</v>
      </c>
      <c r="D7" s="106" t="s">
        <v>382</v>
      </c>
      <c r="E7" s="106" t="s">
        <v>344</v>
      </c>
      <c r="F7" s="106" t="s">
        <v>382</v>
      </c>
      <c r="G7" s="106" t="s">
        <v>440</v>
      </c>
      <c r="H7" s="106" t="s">
        <v>380</v>
      </c>
      <c r="I7" s="204" t="s">
        <v>478</v>
      </c>
      <c r="J7" s="106" t="s">
        <v>572</v>
      </c>
      <c r="K7" s="106" t="s">
        <v>575</v>
      </c>
      <c r="L7" s="106" t="s">
        <v>433</v>
      </c>
      <c r="M7" s="106" t="s">
        <v>559</v>
      </c>
      <c r="N7" s="106" t="s">
        <v>506</v>
      </c>
      <c r="O7" s="106" t="s">
        <v>511</v>
      </c>
      <c r="P7" s="106" t="s">
        <v>390</v>
      </c>
      <c r="Q7" s="106" t="s">
        <v>221</v>
      </c>
    </row>
    <row r="8" spans="1:19" ht="40.5">
      <c r="B8" s="106" t="s">
        <v>382</v>
      </c>
      <c r="C8" s="106" t="s">
        <v>150</v>
      </c>
      <c r="D8" s="106" t="s">
        <v>382</v>
      </c>
      <c r="E8" s="106" t="s">
        <v>345</v>
      </c>
      <c r="F8" s="106" t="s">
        <v>382</v>
      </c>
      <c r="G8" s="106" t="s">
        <v>471</v>
      </c>
      <c r="H8" s="106" t="s">
        <v>433</v>
      </c>
      <c r="I8" s="106" t="s">
        <v>479</v>
      </c>
      <c r="J8" s="106" t="s">
        <v>572</v>
      </c>
      <c r="K8" s="106" t="s">
        <v>576</v>
      </c>
      <c r="L8" s="106" t="s">
        <v>433</v>
      </c>
      <c r="M8" s="106" t="s">
        <v>560</v>
      </c>
      <c r="N8" s="106" t="s">
        <v>390</v>
      </c>
      <c r="O8" s="106" t="s">
        <v>512</v>
      </c>
      <c r="P8" s="106" t="s">
        <v>390</v>
      </c>
      <c r="Q8" s="106" t="s">
        <v>222</v>
      </c>
    </row>
    <row r="9" spans="1:19" ht="40.5">
      <c r="B9" s="106" t="s">
        <v>382</v>
      </c>
      <c r="C9" s="106" t="s">
        <v>151</v>
      </c>
      <c r="D9" s="106" t="s">
        <v>382</v>
      </c>
      <c r="E9" s="106" t="s">
        <v>346</v>
      </c>
      <c r="F9" s="106" t="s">
        <v>382</v>
      </c>
      <c r="G9" s="106" t="s">
        <v>441</v>
      </c>
      <c r="H9" s="106" t="s">
        <v>390</v>
      </c>
      <c r="I9" s="106" t="s">
        <v>480</v>
      </c>
      <c r="J9" s="106" t="s">
        <v>572</v>
      </c>
      <c r="K9" s="106" t="s">
        <v>577</v>
      </c>
      <c r="L9" s="106" t="s">
        <v>433</v>
      </c>
      <c r="M9" s="106" t="s">
        <v>561</v>
      </c>
      <c r="N9" s="106" t="s">
        <v>433</v>
      </c>
      <c r="O9" s="106" t="s">
        <v>513</v>
      </c>
      <c r="P9" s="106" t="s">
        <v>390</v>
      </c>
      <c r="Q9" s="106" t="s">
        <v>223</v>
      </c>
    </row>
    <row r="10" spans="1:19" ht="27">
      <c r="B10" s="106" t="s">
        <v>382</v>
      </c>
      <c r="C10" s="106" t="s">
        <v>383</v>
      </c>
      <c r="D10" s="106" t="s">
        <v>382</v>
      </c>
      <c r="E10" s="106" t="s">
        <v>347</v>
      </c>
      <c r="F10" s="106" t="s">
        <v>382</v>
      </c>
      <c r="G10" s="106" t="s">
        <v>442</v>
      </c>
      <c r="H10" s="106" t="s">
        <v>390</v>
      </c>
      <c r="I10" s="106" t="s">
        <v>481</v>
      </c>
      <c r="J10" s="106" t="s">
        <v>382</v>
      </c>
      <c r="K10" s="106" t="s">
        <v>578</v>
      </c>
      <c r="L10" s="106" t="s">
        <v>390</v>
      </c>
      <c r="M10" s="106" t="s">
        <v>562</v>
      </c>
      <c r="N10" s="106" t="s">
        <v>506</v>
      </c>
      <c r="O10" s="106" t="s">
        <v>514</v>
      </c>
      <c r="P10" s="106" t="s">
        <v>390</v>
      </c>
      <c r="Q10" s="106" t="s">
        <v>224</v>
      </c>
    </row>
    <row r="11" spans="1:19" ht="28.5">
      <c r="B11" s="106" t="s">
        <v>382</v>
      </c>
      <c r="C11" s="106" t="s">
        <v>384</v>
      </c>
      <c r="D11" s="106" t="s">
        <v>380</v>
      </c>
      <c r="E11" s="204" t="s">
        <v>348</v>
      </c>
      <c r="F11" s="106" t="s">
        <v>382</v>
      </c>
      <c r="G11" s="106" t="s">
        <v>443</v>
      </c>
      <c r="H11" s="106" t="s">
        <v>390</v>
      </c>
      <c r="I11" s="106" t="s">
        <v>482</v>
      </c>
      <c r="J11" s="106" t="s">
        <v>382</v>
      </c>
      <c r="K11" s="106" t="s">
        <v>579</v>
      </c>
      <c r="L11" s="106" t="s">
        <v>390</v>
      </c>
      <c r="M11" s="106" t="s">
        <v>563</v>
      </c>
      <c r="N11" s="106" t="s">
        <v>433</v>
      </c>
      <c r="O11" s="106" t="s">
        <v>515</v>
      </c>
      <c r="P11" s="106" t="s">
        <v>390</v>
      </c>
      <c r="Q11" s="106" t="s">
        <v>225</v>
      </c>
    </row>
    <row r="12" spans="1:19" ht="42">
      <c r="B12" s="106" t="s">
        <v>382</v>
      </c>
      <c r="C12" s="106" t="s">
        <v>571</v>
      </c>
      <c r="D12" s="106" t="s">
        <v>390</v>
      </c>
      <c r="E12" s="106" t="s">
        <v>349</v>
      </c>
      <c r="F12" s="106" t="s">
        <v>382</v>
      </c>
      <c r="G12" s="106" t="s">
        <v>444</v>
      </c>
      <c r="H12" s="106" t="s">
        <v>380</v>
      </c>
      <c r="I12" s="204" t="s">
        <v>483</v>
      </c>
      <c r="J12" s="106" t="s">
        <v>390</v>
      </c>
      <c r="K12" s="106" t="s">
        <v>580</v>
      </c>
      <c r="L12" s="106" t="s">
        <v>390</v>
      </c>
      <c r="M12" s="106" t="s">
        <v>564</v>
      </c>
      <c r="N12" s="106" t="s">
        <v>433</v>
      </c>
      <c r="O12" s="106" t="s">
        <v>516</v>
      </c>
      <c r="P12" s="106" t="s">
        <v>390</v>
      </c>
      <c r="Q12" s="106" t="s">
        <v>226</v>
      </c>
    </row>
    <row r="13" spans="1:19" ht="42">
      <c r="B13" s="106" t="s">
        <v>382</v>
      </c>
      <c r="C13" s="106" t="s">
        <v>385</v>
      </c>
      <c r="D13" s="106" t="s">
        <v>390</v>
      </c>
      <c r="E13" s="106" t="s">
        <v>350</v>
      </c>
      <c r="F13" s="106" t="s">
        <v>382</v>
      </c>
      <c r="G13" s="106" t="s">
        <v>445</v>
      </c>
      <c r="H13" s="106" t="s">
        <v>433</v>
      </c>
      <c r="I13" s="106" t="s">
        <v>484</v>
      </c>
      <c r="L13" s="106" t="s">
        <v>506</v>
      </c>
      <c r="M13" s="106" t="s">
        <v>565</v>
      </c>
      <c r="N13" s="106" t="s">
        <v>380</v>
      </c>
      <c r="O13" s="204" t="s">
        <v>518</v>
      </c>
      <c r="P13" s="106" t="s">
        <v>390</v>
      </c>
      <c r="Q13" s="106" t="s">
        <v>227</v>
      </c>
    </row>
    <row r="14" spans="1:19" ht="54">
      <c r="B14" s="106" t="s">
        <v>382</v>
      </c>
      <c r="C14" s="106" t="s">
        <v>386</v>
      </c>
      <c r="D14" s="106" t="s">
        <v>390</v>
      </c>
      <c r="E14" s="106" t="s">
        <v>351</v>
      </c>
      <c r="F14" s="106" t="s">
        <v>382</v>
      </c>
      <c r="G14" s="106" t="s">
        <v>446</v>
      </c>
      <c r="H14" s="106" t="s">
        <v>390</v>
      </c>
      <c r="I14" s="106" t="s">
        <v>549</v>
      </c>
      <c r="L14" s="106" t="s">
        <v>506</v>
      </c>
      <c r="M14" s="106" t="s">
        <v>566</v>
      </c>
      <c r="N14" s="106" t="s">
        <v>433</v>
      </c>
      <c r="O14" s="106" t="s">
        <v>519</v>
      </c>
      <c r="P14" s="106" t="s">
        <v>390</v>
      </c>
      <c r="Q14" s="106" t="s">
        <v>228</v>
      </c>
    </row>
    <row r="15" spans="1:19" ht="27">
      <c r="B15" s="106" t="s">
        <v>382</v>
      </c>
      <c r="C15" s="106" t="s">
        <v>387</v>
      </c>
      <c r="D15" s="106" t="s">
        <v>390</v>
      </c>
      <c r="E15" s="106" t="s">
        <v>352</v>
      </c>
      <c r="F15" s="106" t="s">
        <v>382</v>
      </c>
      <c r="G15" s="106" t="s">
        <v>447</v>
      </c>
      <c r="H15" s="106" t="s">
        <v>433</v>
      </c>
      <c r="I15" s="106" t="s">
        <v>485</v>
      </c>
      <c r="L15" s="106" t="s">
        <v>506</v>
      </c>
      <c r="M15" s="106" t="s">
        <v>567</v>
      </c>
      <c r="N15" s="106" t="s">
        <v>433</v>
      </c>
      <c r="O15" s="106" t="s">
        <v>520</v>
      </c>
      <c r="P15" s="106" t="s">
        <v>390</v>
      </c>
      <c r="Q15" s="106" t="s">
        <v>229</v>
      </c>
    </row>
    <row r="16" spans="1:19" ht="40.5">
      <c r="B16" s="106" t="s">
        <v>382</v>
      </c>
      <c r="C16" s="106" t="s">
        <v>388</v>
      </c>
      <c r="D16" s="106" t="s">
        <v>390</v>
      </c>
      <c r="E16" s="106" t="s">
        <v>353</v>
      </c>
      <c r="F16" s="106" t="s">
        <v>382</v>
      </c>
      <c r="G16" s="106" t="s">
        <v>448</v>
      </c>
      <c r="H16" s="106" t="s">
        <v>433</v>
      </c>
      <c r="I16" s="106" t="s">
        <v>486</v>
      </c>
      <c r="L16" s="106" t="s">
        <v>506</v>
      </c>
      <c r="M16" s="106" t="s">
        <v>568</v>
      </c>
      <c r="N16" s="106" t="s">
        <v>506</v>
      </c>
      <c r="O16" s="106" t="s">
        <v>521</v>
      </c>
      <c r="P16" s="106" t="s">
        <v>390</v>
      </c>
      <c r="Q16" s="106" t="s">
        <v>230</v>
      </c>
    </row>
    <row r="17" spans="4:17" ht="28.5">
      <c r="D17" s="106" t="s">
        <v>390</v>
      </c>
      <c r="E17" s="106" t="s">
        <v>354</v>
      </c>
      <c r="F17" s="106" t="s">
        <v>382</v>
      </c>
      <c r="G17" s="106" t="s">
        <v>449</v>
      </c>
      <c r="H17" s="106" t="s">
        <v>380</v>
      </c>
      <c r="I17" s="204" t="s">
        <v>508</v>
      </c>
      <c r="J17" s="204"/>
      <c r="K17" s="204"/>
      <c r="N17" s="106" t="s">
        <v>433</v>
      </c>
      <c r="O17" s="106" t="s">
        <v>522</v>
      </c>
      <c r="P17" s="106" t="s">
        <v>390</v>
      </c>
      <c r="Q17" s="106" t="s">
        <v>231</v>
      </c>
    </row>
    <row r="18" spans="4:17" ht="27">
      <c r="D18" s="106" t="s">
        <v>390</v>
      </c>
      <c r="E18" s="106" t="s">
        <v>355</v>
      </c>
      <c r="F18" s="106" t="s">
        <v>382</v>
      </c>
      <c r="G18" s="106" t="s">
        <v>450</v>
      </c>
      <c r="H18" s="106" t="s">
        <v>390</v>
      </c>
      <c r="I18" s="106" t="s">
        <v>487</v>
      </c>
      <c r="N18" s="106" t="s">
        <v>390</v>
      </c>
      <c r="O18" s="106" t="s">
        <v>523</v>
      </c>
      <c r="P18" s="106" t="s">
        <v>390</v>
      </c>
      <c r="Q18" s="106" t="s">
        <v>232</v>
      </c>
    </row>
    <row r="19" spans="4:17" ht="40.5">
      <c r="D19" s="106" t="s">
        <v>390</v>
      </c>
      <c r="E19" s="106" t="s">
        <v>356</v>
      </c>
      <c r="F19" s="106" t="s">
        <v>382</v>
      </c>
      <c r="G19" s="106" t="s">
        <v>451</v>
      </c>
      <c r="H19" s="106" t="s">
        <v>390</v>
      </c>
      <c r="I19" s="106" t="s">
        <v>488</v>
      </c>
      <c r="N19" s="106" t="s">
        <v>506</v>
      </c>
      <c r="O19" s="106" t="s">
        <v>524</v>
      </c>
      <c r="P19" s="106" t="s">
        <v>390</v>
      </c>
      <c r="Q19" s="106" t="s">
        <v>233</v>
      </c>
    </row>
    <row r="20" spans="4:17" ht="39">
      <c r="D20" s="106" t="s">
        <v>390</v>
      </c>
      <c r="E20" s="106" t="s">
        <v>357</v>
      </c>
      <c r="F20" s="106" t="s">
        <v>382</v>
      </c>
      <c r="G20" s="106" t="s">
        <v>452</v>
      </c>
      <c r="H20" s="106" t="s">
        <v>390</v>
      </c>
      <c r="I20" s="106" t="s">
        <v>489</v>
      </c>
      <c r="M20" s="204"/>
      <c r="N20" s="106" t="s">
        <v>506</v>
      </c>
      <c r="O20" s="106" t="s">
        <v>525</v>
      </c>
      <c r="P20" s="106" t="s">
        <v>380</v>
      </c>
      <c r="Q20" s="204" t="s">
        <v>158</v>
      </c>
    </row>
    <row r="21" spans="4:17" ht="40.5">
      <c r="D21" s="106" t="s">
        <v>390</v>
      </c>
      <c r="E21" s="106" t="s">
        <v>358</v>
      </c>
      <c r="F21" s="106" t="s">
        <v>382</v>
      </c>
      <c r="G21" s="106" t="s">
        <v>453</v>
      </c>
      <c r="H21" s="106" t="s">
        <v>433</v>
      </c>
      <c r="I21" s="106" t="s">
        <v>490</v>
      </c>
      <c r="N21" s="106" t="s">
        <v>433</v>
      </c>
      <c r="O21" s="106" t="s">
        <v>526</v>
      </c>
      <c r="P21" s="106" t="s">
        <v>390</v>
      </c>
      <c r="Q21" s="106" t="s">
        <v>234</v>
      </c>
    </row>
    <row r="22" spans="4:17" ht="42">
      <c r="D22" s="106" t="s">
        <v>390</v>
      </c>
      <c r="E22" s="106" t="s">
        <v>359</v>
      </c>
      <c r="F22" s="106" t="s">
        <v>382</v>
      </c>
      <c r="G22" s="106" t="s">
        <v>454</v>
      </c>
      <c r="H22" s="106" t="s">
        <v>380</v>
      </c>
      <c r="I22" s="106" t="s">
        <v>491</v>
      </c>
      <c r="N22" s="106" t="s">
        <v>380</v>
      </c>
      <c r="O22" s="204" t="s">
        <v>527</v>
      </c>
      <c r="P22" s="106" t="s">
        <v>390</v>
      </c>
      <c r="Q22" s="106" t="s">
        <v>235</v>
      </c>
    </row>
    <row r="23" spans="4:17" ht="40.5">
      <c r="D23" s="106" t="s">
        <v>390</v>
      </c>
      <c r="E23" s="106" t="s">
        <v>360</v>
      </c>
      <c r="F23" s="106" t="s">
        <v>382</v>
      </c>
      <c r="G23" s="106" t="s">
        <v>455</v>
      </c>
      <c r="H23" s="106" t="s">
        <v>390</v>
      </c>
      <c r="I23" s="106" t="s">
        <v>550</v>
      </c>
      <c r="N23" s="106" t="s">
        <v>506</v>
      </c>
      <c r="O23" s="106" t="s">
        <v>528</v>
      </c>
      <c r="P23" s="106" t="s">
        <v>390</v>
      </c>
      <c r="Q23" s="106" t="s">
        <v>236</v>
      </c>
    </row>
    <row r="24" spans="4:17" ht="28.5">
      <c r="D24" s="106" t="s">
        <v>380</v>
      </c>
      <c r="E24" s="204" t="s">
        <v>361</v>
      </c>
      <c r="F24" s="106" t="s">
        <v>382</v>
      </c>
      <c r="G24" s="106" t="s">
        <v>456</v>
      </c>
      <c r="H24" s="106" t="s">
        <v>390</v>
      </c>
      <c r="I24" s="106" t="s">
        <v>492</v>
      </c>
      <c r="N24" s="106" t="s">
        <v>433</v>
      </c>
      <c r="O24" s="106" t="s">
        <v>529</v>
      </c>
      <c r="P24" s="106" t="s">
        <v>390</v>
      </c>
      <c r="Q24" s="106" t="s">
        <v>237</v>
      </c>
    </row>
    <row r="25" spans="4:17" ht="28.5">
      <c r="D25" s="106" t="s">
        <v>382</v>
      </c>
      <c r="E25" s="106" t="s">
        <v>370</v>
      </c>
      <c r="F25" s="106" t="s">
        <v>382</v>
      </c>
      <c r="G25" s="106" t="s">
        <v>457</v>
      </c>
      <c r="H25" s="106" t="s">
        <v>380</v>
      </c>
      <c r="I25" s="204" t="s">
        <v>493</v>
      </c>
      <c r="J25" s="204"/>
      <c r="K25" s="204"/>
      <c r="N25" s="106" t="s">
        <v>433</v>
      </c>
      <c r="O25" s="106" t="s">
        <v>530</v>
      </c>
      <c r="P25" s="106" t="s">
        <v>390</v>
      </c>
      <c r="Q25" s="106" t="s">
        <v>238</v>
      </c>
    </row>
    <row r="26" spans="4:17" ht="40.5">
      <c r="D26" s="106" t="s">
        <v>390</v>
      </c>
      <c r="E26" s="106" t="s">
        <v>371</v>
      </c>
      <c r="F26" s="106" t="s">
        <v>382</v>
      </c>
      <c r="G26" s="106" t="s">
        <v>458</v>
      </c>
      <c r="H26" s="106" t="s">
        <v>390</v>
      </c>
      <c r="I26" s="106" t="s">
        <v>494</v>
      </c>
      <c r="N26" s="106" t="s">
        <v>433</v>
      </c>
      <c r="O26" s="106" t="s">
        <v>531</v>
      </c>
      <c r="P26" s="106" t="s">
        <v>390</v>
      </c>
      <c r="Q26" s="106" t="s">
        <v>239</v>
      </c>
    </row>
    <row r="27" spans="4:17" ht="40.5">
      <c r="D27" s="106" t="s">
        <v>382</v>
      </c>
      <c r="E27" s="106" t="s">
        <v>362</v>
      </c>
      <c r="F27" s="106" t="s">
        <v>382</v>
      </c>
      <c r="G27" s="106" t="s">
        <v>459</v>
      </c>
      <c r="H27" s="106" t="s">
        <v>390</v>
      </c>
      <c r="I27" s="106" t="s">
        <v>495</v>
      </c>
      <c r="N27" s="106" t="s">
        <v>433</v>
      </c>
      <c r="O27" s="106" t="s">
        <v>532</v>
      </c>
      <c r="P27" s="106" t="s">
        <v>390</v>
      </c>
      <c r="Q27" s="106" t="s">
        <v>240</v>
      </c>
    </row>
    <row r="28" spans="4:17" ht="27">
      <c r="D28" s="106" t="s">
        <v>382</v>
      </c>
      <c r="E28" s="106" t="s">
        <v>363</v>
      </c>
      <c r="F28" s="106" t="s">
        <v>382</v>
      </c>
      <c r="G28" s="106" t="s">
        <v>460</v>
      </c>
      <c r="H28" s="106" t="s">
        <v>390</v>
      </c>
      <c r="I28" s="106" t="s">
        <v>551</v>
      </c>
      <c r="N28" s="106" t="s">
        <v>433</v>
      </c>
      <c r="O28" s="106" t="s">
        <v>533</v>
      </c>
      <c r="P28" s="106" t="s">
        <v>390</v>
      </c>
      <c r="Q28" s="106" t="s">
        <v>241</v>
      </c>
    </row>
    <row r="29" spans="4:17" ht="27">
      <c r="D29" s="106" t="s">
        <v>382</v>
      </c>
      <c r="E29" s="106" t="s">
        <v>364</v>
      </c>
      <c r="F29" s="106" t="s">
        <v>382</v>
      </c>
      <c r="G29" s="106" t="s">
        <v>461</v>
      </c>
      <c r="H29" s="106" t="s">
        <v>390</v>
      </c>
      <c r="I29" s="106" t="s">
        <v>496</v>
      </c>
      <c r="N29" s="106" t="s">
        <v>433</v>
      </c>
      <c r="O29" s="106" t="s">
        <v>534</v>
      </c>
      <c r="P29" s="106" t="s">
        <v>390</v>
      </c>
      <c r="Q29" s="106" t="s">
        <v>242</v>
      </c>
    </row>
    <row r="30" spans="4:17" ht="40.5">
      <c r="D30" s="106" t="s">
        <v>382</v>
      </c>
      <c r="E30" s="106" t="s">
        <v>365</v>
      </c>
      <c r="F30" s="106" t="s">
        <v>382</v>
      </c>
      <c r="G30" s="106" t="s">
        <v>462</v>
      </c>
      <c r="H30" s="106" t="s">
        <v>390</v>
      </c>
      <c r="I30" s="106" t="s">
        <v>497</v>
      </c>
      <c r="N30" s="106" t="s">
        <v>433</v>
      </c>
      <c r="O30" s="106" t="s">
        <v>535</v>
      </c>
      <c r="P30" s="106" t="s">
        <v>390</v>
      </c>
      <c r="Q30" s="106" t="s">
        <v>243</v>
      </c>
    </row>
    <row r="31" spans="4:17" ht="27">
      <c r="D31" s="106" t="s">
        <v>382</v>
      </c>
      <c r="E31" s="106" t="s">
        <v>366</v>
      </c>
      <c r="F31" s="106" t="s">
        <v>382</v>
      </c>
      <c r="G31" s="106" t="s">
        <v>463</v>
      </c>
      <c r="H31" s="106" t="s">
        <v>390</v>
      </c>
      <c r="I31" s="106" t="s">
        <v>498</v>
      </c>
      <c r="N31" s="106" t="s">
        <v>506</v>
      </c>
      <c r="O31" s="106" t="s">
        <v>536</v>
      </c>
      <c r="P31" s="106" t="s">
        <v>390</v>
      </c>
      <c r="Q31" s="106" t="s">
        <v>244</v>
      </c>
    </row>
    <row r="32" spans="4:17" ht="27">
      <c r="D32" s="106" t="s">
        <v>382</v>
      </c>
      <c r="E32" s="106" t="s">
        <v>367</v>
      </c>
      <c r="F32" s="106" t="s">
        <v>382</v>
      </c>
      <c r="G32" s="106" t="s">
        <v>464</v>
      </c>
      <c r="H32" s="106" t="s">
        <v>390</v>
      </c>
      <c r="I32" s="106" t="s">
        <v>499</v>
      </c>
      <c r="N32" s="106" t="s">
        <v>390</v>
      </c>
      <c r="O32" s="106" t="s">
        <v>537</v>
      </c>
      <c r="P32" s="106" t="s">
        <v>390</v>
      </c>
      <c r="Q32" s="106" t="s">
        <v>245</v>
      </c>
    </row>
    <row r="33" spans="4:17" ht="27">
      <c r="D33" s="106" t="s">
        <v>382</v>
      </c>
      <c r="E33" s="106" t="s">
        <v>368</v>
      </c>
      <c r="F33" s="106" t="s">
        <v>382</v>
      </c>
      <c r="G33" s="106" t="s">
        <v>465</v>
      </c>
      <c r="H33" s="106" t="s">
        <v>390</v>
      </c>
      <c r="I33" s="106" t="s">
        <v>500</v>
      </c>
      <c r="N33" s="106" t="s">
        <v>433</v>
      </c>
      <c r="O33" s="106" t="s">
        <v>538</v>
      </c>
      <c r="P33" s="106" t="s">
        <v>390</v>
      </c>
      <c r="Q33" s="106" t="s">
        <v>246</v>
      </c>
    </row>
    <row r="34" spans="4:17" ht="54">
      <c r="D34" s="106" t="s">
        <v>382</v>
      </c>
      <c r="E34" s="106" t="s">
        <v>369</v>
      </c>
      <c r="F34" s="106" t="s">
        <v>382</v>
      </c>
      <c r="G34" s="106" t="s">
        <v>466</v>
      </c>
      <c r="H34" s="106" t="s">
        <v>390</v>
      </c>
      <c r="I34" s="106" t="s">
        <v>552</v>
      </c>
      <c r="N34" s="106" t="s">
        <v>390</v>
      </c>
      <c r="O34" s="106" t="s">
        <v>539</v>
      </c>
      <c r="P34" s="106" t="s">
        <v>390</v>
      </c>
      <c r="Q34" s="106" t="s">
        <v>247</v>
      </c>
    </row>
    <row r="35" spans="4:17" ht="39">
      <c r="F35" s="106" t="s">
        <v>382</v>
      </c>
      <c r="G35" s="106" t="s">
        <v>467</v>
      </c>
      <c r="H35" s="106" t="s">
        <v>390</v>
      </c>
      <c r="I35" s="106" t="s">
        <v>501</v>
      </c>
      <c r="M35" s="204"/>
      <c r="N35" s="106" t="s">
        <v>433</v>
      </c>
      <c r="O35" s="106" t="s">
        <v>540</v>
      </c>
      <c r="P35" s="106" t="s">
        <v>380</v>
      </c>
      <c r="Q35" s="204" t="s">
        <v>159</v>
      </c>
    </row>
    <row r="36" spans="4:17" ht="27">
      <c r="F36" s="106" t="s">
        <v>382</v>
      </c>
      <c r="G36" s="106" t="s">
        <v>468</v>
      </c>
      <c r="H36" s="106" t="s">
        <v>390</v>
      </c>
      <c r="I36" s="106" t="s">
        <v>502</v>
      </c>
      <c r="N36" s="106" t="s">
        <v>433</v>
      </c>
      <c r="O36" s="106" t="s">
        <v>541</v>
      </c>
      <c r="P36" s="106" t="s">
        <v>390</v>
      </c>
      <c r="Q36" s="106" t="s">
        <v>248</v>
      </c>
    </row>
    <row r="37" spans="4:17" ht="27">
      <c r="F37" s="106" t="s">
        <v>382</v>
      </c>
      <c r="G37" s="106" t="s">
        <v>469</v>
      </c>
      <c r="H37" s="106" t="s">
        <v>390</v>
      </c>
      <c r="I37" s="106" t="s">
        <v>503</v>
      </c>
      <c r="N37" s="106" t="s">
        <v>433</v>
      </c>
      <c r="O37" s="106" t="s">
        <v>542</v>
      </c>
      <c r="P37" s="106" t="s">
        <v>390</v>
      </c>
      <c r="Q37" s="106" t="s">
        <v>249</v>
      </c>
    </row>
    <row r="38" spans="4:17" ht="28.5">
      <c r="H38" s="106" t="s">
        <v>390</v>
      </c>
      <c r="I38" s="106" t="s">
        <v>504</v>
      </c>
      <c r="N38" s="106" t="s">
        <v>380</v>
      </c>
      <c r="O38" s="204" t="s">
        <v>543</v>
      </c>
      <c r="P38" s="106" t="s">
        <v>390</v>
      </c>
      <c r="Q38" s="106" t="s">
        <v>250</v>
      </c>
    </row>
    <row r="39" spans="4:17" ht="28.5">
      <c r="H39" s="106" t="s">
        <v>380</v>
      </c>
      <c r="I39" s="204" t="s">
        <v>505</v>
      </c>
      <c r="J39" s="204"/>
      <c r="K39" s="204"/>
      <c r="N39" s="106" t="s">
        <v>506</v>
      </c>
      <c r="O39" s="106" t="s">
        <v>544</v>
      </c>
      <c r="P39" s="106" t="s">
        <v>390</v>
      </c>
      <c r="Q39" s="106" t="s">
        <v>251</v>
      </c>
    </row>
    <row r="40" spans="4:17" ht="27">
      <c r="H40" s="106" t="s">
        <v>506</v>
      </c>
      <c r="I40" s="106" t="s">
        <v>507</v>
      </c>
      <c r="N40" s="106" t="s">
        <v>506</v>
      </c>
      <c r="O40" s="106" t="s">
        <v>545</v>
      </c>
      <c r="P40" s="106" t="s">
        <v>390</v>
      </c>
      <c r="Q40" s="106" t="s">
        <v>252</v>
      </c>
    </row>
    <row r="41" spans="4:17" ht="27">
      <c r="N41" s="106" t="s">
        <v>432</v>
      </c>
      <c r="O41" s="106" t="s">
        <v>546</v>
      </c>
      <c r="P41" s="106" t="s">
        <v>390</v>
      </c>
      <c r="Q41" s="106" t="s">
        <v>253</v>
      </c>
    </row>
    <row r="42" spans="4:17" ht="27">
      <c r="N42" s="106" t="s">
        <v>433</v>
      </c>
      <c r="O42" s="106" t="s">
        <v>547</v>
      </c>
      <c r="P42" s="106" t="s">
        <v>390</v>
      </c>
      <c r="Q42" s="106" t="s">
        <v>254</v>
      </c>
    </row>
    <row r="43" spans="4:17" ht="19.5">
      <c r="I43" s="204"/>
      <c r="J43" s="204"/>
      <c r="K43" s="204"/>
      <c r="P43" s="106" t="s">
        <v>390</v>
      </c>
      <c r="Q43" s="106" t="s">
        <v>255</v>
      </c>
    </row>
    <row r="44" spans="4:17" ht="27">
      <c r="P44" s="106" t="s">
        <v>390</v>
      </c>
      <c r="Q44" s="106" t="s">
        <v>256</v>
      </c>
    </row>
    <row r="45" spans="4:17">
      <c r="F45" s="105"/>
      <c r="G45" s="105"/>
      <c r="P45" s="106" t="s">
        <v>390</v>
      </c>
      <c r="Q45" s="106" t="s">
        <v>257</v>
      </c>
    </row>
    <row r="46" spans="4:17">
      <c r="F46" s="105"/>
      <c r="G46" s="105"/>
      <c r="P46" s="106" t="s">
        <v>390</v>
      </c>
      <c r="Q46" s="106" t="s">
        <v>258</v>
      </c>
    </row>
    <row r="47" spans="4:17">
      <c r="P47" s="106" t="s">
        <v>390</v>
      </c>
      <c r="Q47" s="106" t="s">
        <v>259</v>
      </c>
    </row>
    <row r="48" spans="4:17" ht="40.5">
      <c r="P48" s="106" t="s">
        <v>390</v>
      </c>
      <c r="Q48" s="106" t="s">
        <v>260</v>
      </c>
    </row>
    <row r="49" spans="7:17" ht="27">
      <c r="P49" s="106" t="s">
        <v>390</v>
      </c>
      <c r="Q49" s="106" t="s">
        <v>261</v>
      </c>
    </row>
    <row r="50" spans="7:17">
      <c r="P50" s="106" t="s">
        <v>390</v>
      </c>
      <c r="Q50" s="106" t="s">
        <v>262</v>
      </c>
    </row>
    <row r="51" spans="7:17" ht="27">
      <c r="P51" s="106" t="s">
        <v>390</v>
      </c>
      <c r="Q51" s="106" t="s">
        <v>263</v>
      </c>
    </row>
    <row r="52" spans="7:17">
      <c r="P52" s="106" t="s">
        <v>390</v>
      </c>
      <c r="Q52" s="106" t="s">
        <v>264</v>
      </c>
    </row>
    <row r="53" spans="7:17">
      <c r="P53" s="106" t="s">
        <v>390</v>
      </c>
      <c r="Q53" s="106" t="s">
        <v>265</v>
      </c>
    </row>
    <row r="54" spans="7:17">
      <c r="P54" s="106" t="s">
        <v>390</v>
      </c>
      <c r="Q54" s="106" t="s">
        <v>266</v>
      </c>
    </row>
    <row r="55" spans="7:17">
      <c r="P55" s="106" t="s">
        <v>390</v>
      </c>
      <c r="Q55" s="106" t="s">
        <v>267</v>
      </c>
    </row>
    <row r="56" spans="7:17">
      <c r="P56" s="106" t="s">
        <v>390</v>
      </c>
      <c r="Q56" s="106" t="s">
        <v>268</v>
      </c>
    </row>
    <row r="57" spans="7:17" ht="19.5">
      <c r="G57" s="204"/>
      <c r="M57" s="204"/>
      <c r="O57" s="204"/>
      <c r="P57" s="106" t="s">
        <v>380</v>
      </c>
      <c r="Q57" s="204" t="s">
        <v>161</v>
      </c>
    </row>
    <row r="58" spans="7:17" ht="78">
      <c r="G58" s="204"/>
      <c r="M58" s="204"/>
      <c r="O58" s="204"/>
      <c r="P58" s="106" t="s">
        <v>380</v>
      </c>
      <c r="Q58" s="204" t="s">
        <v>160</v>
      </c>
    </row>
    <row r="59" spans="7:17">
      <c r="P59" s="106" t="s">
        <v>390</v>
      </c>
      <c r="Q59" s="106" t="s">
        <v>269</v>
      </c>
    </row>
    <row r="60" spans="7:17" ht="27">
      <c r="P60" s="106" t="s">
        <v>390</v>
      </c>
      <c r="Q60" s="106" t="s">
        <v>270</v>
      </c>
    </row>
    <row r="61" spans="7:17">
      <c r="P61" s="106" t="s">
        <v>390</v>
      </c>
      <c r="Q61" s="106" t="s">
        <v>271</v>
      </c>
    </row>
    <row r="62" spans="7:17">
      <c r="P62" s="106" t="s">
        <v>390</v>
      </c>
      <c r="Q62" s="106" t="s">
        <v>272</v>
      </c>
    </row>
    <row r="63" spans="7:17">
      <c r="P63" s="106" t="s">
        <v>390</v>
      </c>
      <c r="Q63" s="106" t="s">
        <v>273</v>
      </c>
    </row>
    <row r="64" spans="7:17">
      <c r="P64" s="106" t="s">
        <v>390</v>
      </c>
      <c r="Q64" s="106" t="s">
        <v>274</v>
      </c>
    </row>
    <row r="65" spans="7:17">
      <c r="P65" s="106" t="s">
        <v>390</v>
      </c>
      <c r="Q65" s="106" t="s">
        <v>275</v>
      </c>
    </row>
    <row r="66" spans="7:17" ht="27">
      <c r="P66" s="106" t="s">
        <v>390</v>
      </c>
      <c r="Q66" s="106" t="s">
        <v>276</v>
      </c>
    </row>
    <row r="67" spans="7:17">
      <c r="P67" s="106" t="s">
        <v>390</v>
      </c>
      <c r="Q67" s="106" t="s">
        <v>277</v>
      </c>
    </row>
    <row r="68" spans="7:17">
      <c r="P68" s="106" t="s">
        <v>390</v>
      </c>
      <c r="Q68" s="106" t="s">
        <v>278</v>
      </c>
    </row>
    <row r="69" spans="7:17">
      <c r="P69" s="106" t="s">
        <v>390</v>
      </c>
      <c r="Q69" s="106" t="s">
        <v>279</v>
      </c>
    </row>
    <row r="70" spans="7:17">
      <c r="P70" s="106" t="s">
        <v>390</v>
      </c>
      <c r="Q70" s="106" t="s">
        <v>280</v>
      </c>
    </row>
    <row r="71" spans="7:17">
      <c r="P71" s="106" t="s">
        <v>390</v>
      </c>
      <c r="Q71" s="106" t="s">
        <v>281</v>
      </c>
    </row>
    <row r="72" spans="7:17">
      <c r="P72" s="106" t="s">
        <v>390</v>
      </c>
      <c r="Q72" s="106" t="s">
        <v>282</v>
      </c>
    </row>
    <row r="73" spans="7:17">
      <c r="P73" s="106" t="s">
        <v>390</v>
      </c>
      <c r="Q73" s="106" t="s">
        <v>283</v>
      </c>
    </row>
    <row r="74" spans="7:17">
      <c r="P74" s="106" t="s">
        <v>390</v>
      </c>
      <c r="Q74" s="106" t="s">
        <v>284</v>
      </c>
    </row>
    <row r="75" spans="7:17">
      <c r="P75" s="106" t="s">
        <v>390</v>
      </c>
      <c r="Q75" s="106" t="s">
        <v>285</v>
      </c>
    </row>
    <row r="76" spans="7:17" ht="27">
      <c r="P76" s="106" t="s">
        <v>390</v>
      </c>
      <c r="Q76" s="106" t="s">
        <v>286</v>
      </c>
    </row>
    <row r="77" spans="7:17" ht="19.5">
      <c r="G77" s="204"/>
      <c r="M77" s="204"/>
      <c r="O77" s="204"/>
      <c r="P77" s="106" t="s">
        <v>380</v>
      </c>
      <c r="Q77" s="204" t="s">
        <v>165</v>
      </c>
    </row>
    <row r="78" spans="7:17" ht="39">
      <c r="G78" s="204"/>
      <c r="M78" s="204"/>
      <c r="O78" s="204"/>
      <c r="P78" s="106" t="s">
        <v>380</v>
      </c>
      <c r="Q78" s="204" t="s">
        <v>162</v>
      </c>
    </row>
    <row r="79" spans="7:17" ht="27">
      <c r="P79" s="106" t="s">
        <v>390</v>
      </c>
      <c r="Q79" s="106" t="s">
        <v>287</v>
      </c>
    </row>
    <row r="80" spans="7:17" ht="27">
      <c r="P80" s="106" t="s">
        <v>390</v>
      </c>
      <c r="Q80" s="106" t="s">
        <v>288</v>
      </c>
    </row>
    <row r="81" spans="16:17" ht="27">
      <c r="P81" s="106" t="s">
        <v>390</v>
      </c>
      <c r="Q81" s="106" t="s">
        <v>289</v>
      </c>
    </row>
    <row r="82" spans="16:17" ht="27">
      <c r="P82" s="106" t="s">
        <v>390</v>
      </c>
      <c r="Q82" s="106" t="s">
        <v>290</v>
      </c>
    </row>
    <row r="83" spans="16:17" ht="40.5">
      <c r="P83" s="106" t="s">
        <v>390</v>
      </c>
      <c r="Q83" s="106" t="s">
        <v>291</v>
      </c>
    </row>
    <row r="84" spans="16:17" ht="27">
      <c r="P84" s="106" t="s">
        <v>390</v>
      </c>
      <c r="Q84" s="106" t="s">
        <v>292</v>
      </c>
    </row>
    <row r="85" spans="16:17">
      <c r="P85" s="106" t="s">
        <v>390</v>
      </c>
      <c r="Q85" s="106" t="s">
        <v>163</v>
      </c>
    </row>
    <row r="86" spans="16:17" ht="27">
      <c r="P86" s="106" t="s">
        <v>390</v>
      </c>
      <c r="Q86" s="106" t="s">
        <v>293</v>
      </c>
    </row>
    <row r="87" spans="16:17" ht="40.5">
      <c r="P87" s="106" t="s">
        <v>390</v>
      </c>
      <c r="Q87" s="106" t="s">
        <v>294</v>
      </c>
    </row>
    <row r="88" spans="16:17" ht="40.5">
      <c r="P88" s="106" t="s">
        <v>390</v>
      </c>
      <c r="Q88" s="106" t="s">
        <v>295</v>
      </c>
    </row>
    <row r="89" spans="16:17">
      <c r="P89" s="106" t="s">
        <v>390</v>
      </c>
      <c r="Q89" s="106" t="s">
        <v>296</v>
      </c>
    </row>
    <row r="90" spans="16:17">
      <c r="P90" s="106" t="s">
        <v>390</v>
      </c>
      <c r="Q90" s="106" t="s">
        <v>297</v>
      </c>
    </row>
    <row r="91" spans="16:17" ht="27">
      <c r="P91" s="106" t="s">
        <v>390</v>
      </c>
      <c r="Q91" s="106" t="s">
        <v>298</v>
      </c>
    </row>
    <row r="92" spans="16:17">
      <c r="P92" s="106" t="s">
        <v>390</v>
      </c>
      <c r="Q92" s="106" t="s">
        <v>299</v>
      </c>
    </row>
    <row r="93" spans="16:17">
      <c r="P93" s="106" t="s">
        <v>390</v>
      </c>
      <c r="Q93" s="106" t="s">
        <v>300</v>
      </c>
    </row>
    <row r="94" spans="16:17">
      <c r="P94" s="106" t="s">
        <v>390</v>
      </c>
      <c r="Q94" s="106" t="s">
        <v>301</v>
      </c>
    </row>
    <row r="95" spans="16:17">
      <c r="P95" s="106" t="s">
        <v>390</v>
      </c>
      <c r="Q95" s="106" t="s">
        <v>302</v>
      </c>
    </row>
    <row r="96" spans="16:17" ht="40.5">
      <c r="P96" s="106" t="s">
        <v>390</v>
      </c>
      <c r="Q96" s="106" t="s">
        <v>303</v>
      </c>
    </row>
    <row r="97" spans="7:17" ht="19.5">
      <c r="G97" s="204"/>
      <c r="M97" s="204"/>
      <c r="O97" s="204"/>
      <c r="P97" s="106" t="s">
        <v>380</v>
      </c>
      <c r="Q97" s="204" t="s">
        <v>166</v>
      </c>
    </row>
    <row r="98" spans="7:17" ht="19.5">
      <c r="G98" s="204"/>
      <c r="M98" s="204"/>
      <c r="O98" s="204"/>
      <c r="P98" s="106" t="s">
        <v>380</v>
      </c>
      <c r="Q98" s="204" t="s">
        <v>434</v>
      </c>
    </row>
    <row r="99" spans="7:17">
      <c r="P99" s="106" t="s">
        <v>390</v>
      </c>
      <c r="Q99" s="106" t="s">
        <v>304</v>
      </c>
    </row>
    <row r="100" spans="7:17" ht="27">
      <c r="P100" s="106" t="s">
        <v>390</v>
      </c>
      <c r="Q100" s="106" t="s">
        <v>305</v>
      </c>
    </row>
    <row r="101" spans="7:17" ht="27">
      <c r="P101" s="106" t="s">
        <v>390</v>
      </c>
      <c r="Q101" s="106" t="s">
        <v>306</v>
      </c>
    </row>
    <row r="102" spans="7:17" ht="27">
      <c r="P102" s="106" t="s">
        <v>390</v>
      </c>
      <c r="Q102" s="106" t="s">
        <v>307</v>
      </c>
    </row>
    <row r="103" spans="7:17" ht="27">
      <c r="P103" s="106" t="s">
        <v>390</v>
      </c>
      <c r="Q103" s="106" t="s">
        <v>308</v>
      </c>
    </row>
    <row r="104" spans="7:17">
      <c r="P104" s="106" t="s">
        <v>390</v>
      </c>
      <c r="Q104" s="106" t="s">
        <v>309</v>
      </c>
    </row>
    <row r="105" spans="7:17" ht="27">
      <c r="P105" s="106" t="s">
        <v>390</v>
      </c>
      <c r="Q105" s="106" t="s">
        <v>310</v>
      </c>
    </row>
    <row r="106" spans="7:17">
      <c r="P106" s="106" t="s">
        <v>390</v>
      </c>
      <c r="Q106" s="106" t="s">
        <v>311</v>
      </c>
    </row>
    <row r="107" spans="7:17" ht="27">
      <c r="P107" s="106" t="s">
        <v>390</v>
      </c>
      <c r="Q107" s="106" t="s">
        <v>312</v>
      </c>
    </row>
    <row r="108" spans="7:17">
      <c r="P108" s="106" t="s">
        <v>390</v>
      </c>
      <c r="Q108" s="106" t="s">
        <v>313</v>
      </c>
    </row>
    <row r="109" spans="7:17" ht="27">
      <c r="P109" s="106" t="s">
        <v>390</v>
      </c>
      <c r="Q109" s="106" t="s">
        <v>314</v>
      </c>
    </row>
    <row r="110" spans="7:17" ht="27">
      <c r="P110" s="106" t="s">
        <v>390</v>
      </c>
      <c r="Q110" s="106" t="s">
        <v>315</v>
      </c>
    </row>
    <row r="111" spans="7:17">
      <c r="P111" s="106" t="s">
        <v>390</v>
      </c>
      <c r="Q111" s="106" t="s">
        <v>316</v>
      </c>
    </row>
    <row r="112" spans="7:17">
      <c r="P112" s="106" t="s">
        <v>390</v>
      </c>
      <c r="Q112" s="106" t="s">
        <v>317</v>
      </c>
    </row>
    <row r="113" spans="7:17">
      <c r="P113" s="106" t="s">
        <v>390</v>
      </c>
      <c r="Q113" s="106" t="s">
        <v>318</v>
      </c>
    </row>
    <row r="114" spans="7:17">
      <c r="P114" s="106" t="s">
        <v>390</v>
      </c>
      <c r="Q114" s="106" t="s">
        <v>319</v>
      </c>
    </row>
    <row r="115" spans="7:17" ht="19.5">
      <c r="G115" s="204"/>
      <c r="M115" s="204"/>
      <c r="O115" s="204"/>
      <c r="P115" s="106" t="s">
        <v>380</v>
      </c>
      <c r="Q115" s="204" t="s">
        <v>167</v>
      </c>
    </row>
    <row r="116" spans="7:17" ht="19.5">
      <c r="G116" s="204"/>
      <c r="M116" s="204"/>
      <c r="O116" s="204"/>
      <c r="P116" s="106" t="s">
        <v>380</v>
      </c>
      <c r="Q116" s="204" t="s">
        <v>164</v>
      </c>
    </row>
    <row r="117" spans="7:17" ht="19.5">
      <c r="G117" s="204"/>
      <c r="M117" s="204"/>
      <c r="O117" s="204"/>
      <c r="P117" s="106" t="s">
        <v>380</v>
      </c>
      <c r="Q117" s="204" t="s">
        <v>435</v>
      </c>
    </row>
    <row r="118" spans="7:17">
      <c r="P118" s="106" t="s">
        <v>390</v>
      </c>
      <c r="Q118" s="106" t="s">
        <v>320</v>
      </c>
    </row>
    <row r="119" spans="7:17">
      <c r="P119" s="106" t="s">
        <v>390</v>
      </c>
      <c r="Q119" s="106" t="s">
        <v>228</v>
      </c>
    </row>
    <row r="120" spans="7:17">
      <c r="P120" s="106" t="s">
        <v>390</v>
      </c>
      <c r="Q120" s="106" t="s">
        <v>321</v>
      </c>
    </row>
    <row r="121" spans="7:17">
      <c r="P121" s="106" t="s">
        <v>390</v>
      </c>
      <c r="Q121" s="106" t="s">
        <v>322</v>
      </c>
    </row>
    <row r="122" spans="7:17">
      <c r="P122" s="106" t="s">
        <v>390</v>
      </c>
      <c r="Q122" s="106" t="s">
        <v>323</v>
      </c>
    </row>
    <row r="123" spans="7:17">
      <c r="P123" s="106" t="s">
        <v>390</v>
      </c>
      <c r="Q123" s="106" t="s">
        <v>324</v>
      </c>
    </row>
    <row r="124" spans="7:17">
      <c r="P124" s="106" t="s">
        <v>390</v>
      </c>
      <c r="Q124" s="106" t="s">
        <v>325</v>
      </c>
    </row>
    <row r="125" spans="7:17">
      <c r="P125" s="106" t="s">
        <v>390</v>
      </c>
      <c r="Q125" s="106" t="s">
        <v>326</v>
      </c>
    </row>
    <row r="126" spans="7:17">
      <c r="P126" s="106" t="s">
        <v>390</v>
      </c>
      <c r="Q126" s="106" t="s">
        <v>327</v>
      </c>
    </row>
    <row r="127" spans="7:17">
      <c r="P127" s="106" t="s">
        <v>390</v>
      </c>
      <c r="Q127" s="106" t="s">
        <v>328</v>
      </c>
    </row>
    <row r="128" spans="7:17">
      <c r="P128" s="106" t="s">
        <v>390</v>
      </c>
      <c r="Q128" s="106" t="s">
        <v>329</v>
      </c>
    </row>
    <row r="129" spans="16:17">
      <c r="P129" s="106" t="s">
        <v>390</v>
      </c>
      <c r="Q129" s="106" t="s">
        <v>330</v>
      </c>
    </row>
    <row r="130" spans="16:17">
      <c r="P130" s="106" t="s">
        <v>390</v>
      </c>
      <c r="Q130" s="106" t="s">
        <v>331</v>
      </c>
    </row>
  </sheetData>
  <mergeCells count="33">
    <mergeCell ref="R1:R3"/>
    <mergeCell ref="B2:C2"/>
    <mergeCell ref="D2:E2"/>
    <mergeCell ref="P2:Q2"/>
    <mergeCell ref="B3:C3"/>
    <mergeCell ref="H3:I3"/>
    <mergeCell ref="L1:M1"/>
    <mergeCell ref="L2:M2"/>
    <mergeCell ref="L3:M3"/>
    <mergeCell ref="P3:Q3"/>
    <mergeCell ref="J1:K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P4:Q4"/>
    <mergeCell ref="N1:O1"/>
    <mergeCell ref="N2:O2"/>
    <mergeCell ref="N3:O3"/>
    <mergeCell ref="N4:O4"/>
    <mergeCell ref="P1:Q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7.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54" customWidth="1"/>
    <col min="2" max="2" width="5.375" style="54" customWidth="1"/>
    <col min="3" max="3" width="28.125" style="54" customWidth="1"/>
    <col min="4" max="4" width="5" style="143" customWidth="1"/>
    <col min="5" max="5" width="14.125" style="144" customWidth="1"/>
    <col min="6" max="6" width="9.875" style="143" customWidth="1"/>
    <col min="7" max="7" width="10.125" style="143" customWidth="1"/>
    <col min="8" max="8" width="10" style="143" customWidth="1"/>
    <col min="9" max="10" width="9.875" style="143" customWidth="1"/>
    <col min="11" max="11" width="5" style="143" customWidth="1"/>
    <col min="12" max="16384" width="9" style="54"/>
  </cols>
  <sheetData>
    <row r="1" spans="1:11" ht="21">
      <c r="A1" s="142" t="s">
        <v>175</v>
      </c>
    </row>
    <row r="2" spans="1:11">
      <c r="A2" s="54" t="str">
        <f>'Calling Notice'!A9</f>
        <v>Item Size (Added)</v>
      </c>
      <c r="B2" s="289" t="str">
        <f>'Calling Notice'!B9</f>
        <v>&lt;Item Size&gt;</v>
      </c>
      <c r="C2" s="289"/>
    </row>
    <row r="3" spans="1:11" ht="24">
      <c r="A3" s="54" t="str">
        <f>'Calling Notice'!A10</f>
        <v>Item Size (Modified)</v>
      </c>
      <c r="B3" s="289" t="str">
        <f>'Calling Notice'!B10</f>
        <v>&lt;Item Size&gt;</v>
      </c>
      <c r="C3" s="289"/>
      <c r="E3" s="145" t="str">
        <f>IF(CaptureEffortData,"","THERE IS NO NEED TO FILL IN THIS SHEET")</f>
        <v>THERE IS NO NEED TO FILL IN THIS SHEET</v>
      </c>
    </row>
    <row r="4" spans="1:11">
      <c r="A4" s="54" t="str">
        <f>'Calling Notice'!A11</f>
        <v>Item Size (Deleted)</v>
      </c>
      <c r="B4" s="289" t="str">
        <f>'Calling Notice'!B11</f>
        <v>&lt;Item Size&gt;</v>
      </c>
      <c r="C4" s="289"/>
    </row>
    <row r="5" spans="1:11">
      <c r="A5" s="54" t="str">
        <f>'Calling Notice'!A12</f>
        <v>Item Size Units</v>
      </c>
      <c r="B5" s="289" t="str">
        <f>'Calling Notice'!B12</f>
        <v>&lt;Item Size Units&gt;</v>
      </c>
      <c r="C5" s="289"/>
    </row>
    <row r="6" spans="1:11">
      <c r="A6" s="146" t="s">
        <v>176</v>
      </c>
      <c r="B6" s="289" t="str">
        <f>IF(SUM(B2:B4)=0,"&lt;Item Size&gt;",SUM(B2:B4))</f>
        <v>&lt;Item Size&gt;</v>
      </c>
      <c r="C6" s="289"/>
    </row>
    <row r="8" spans="1:11" ht="21">
      <c r="A8" s="142" t="s">
        <v>118</v>
      </c>
      <c r="B8" s="142"/>
    </row>
    <row r="9" spans="1:11">
      <c r="A9" s="147"/>
      <c r="B9" s="148"/>
    </row>
    <row r="10" spans="1:11" ht="24" customHeight="1">
      <c r="A10" s="290" t="s">
        <v>117</v>
      </c>
      <c r="B10" s="291"/>
      <c r="C10" s="59">
        <f>SUM(C14:C23)</f>
        <v>0</v>
      </c>
      <c r="D10" s="71"/>
      <c r="E10" s="149"/>
    </row>
    <row r="11" spans="1:11">
      <c r="A11" s="292" t="s">
        <v>116</v>
      </c>
      <c r="B11" s="293"/>
      <c r="C11" s="70" t="str">
        <f>CONCATENATE(INT(C10/60)," hour(s) and ", MOD(C10,60), " minutes")</f>
        <v>0 hour(s) and 0 minutes</v>
      </c>
      <c r="D11" s="69"/>
      <c r="E11" s="149"/>
    </row>
    <row r="12" spans="1:11">
      <c r="D12" s="150"/>
      <c r="G12" s="151" t="s">
        <v>101</v>
      </c>
      <c r="H12" s="151" t="s">
        <v>100</v>
      </c>
      <c r="I12" s="151" t="s">
        <v>141</v>
      </c>
      <c r="J12" s="151" t="s">
        <v>99</v>
      </c>
      <c r="K12" s="151"/>
    </row>
    <row r="13" spans="1:11" ht="45.75" customHeight="1" outlineLevel="1">
      <c r="A13" s="152" t="s">
        <v>115</v>
      </c>
      <c r="B13" s="153" t="s">
        <v>114</v>
      </c>
      <c r="C13" s="154" t="s">
        <v>113</v>
      </c>
      <c r="D13" s="155" t="s">
        <v>107</v>
      </c>
      <c r="E13" s="156" t="s">
        <v>112</v>
      </c>
      <c r="F13" s="157" t="s">
        <v>111</v>
      </c>
      <c r="G13" s="157" t="s">
        <v>110</v>
      </c>
      <c r="H13" s="157" t="s">
        <v>109</v>
      </c>
      <c r="I13" s="157" t="s">
        <v>140</v>
      </c>
      <c r="J13" s="157" t="s">
        <v>108</v>
      </c>
      <c r="K13" s="158" t="s">
        <v>107</v>
      </c>
    </row>
    <row r="14" spans="1:11" outlineLevel="1">
      <c r="A14" s="173"/>
      <c r="B14" s="173"/>
      <c r="C14" s="173"/>
      <c r="D14" s="68" t="str">
        <f t="shared" ref="D14:D23" si="0">IF(OR(COUNTA(A14:C14)=0,COUNTA(A14:C14)=COUNTA(A$13:C$13)),CheckOK,CheckErr)</f>
        <v/>
      </c>
      <c r="E14" s="67" t="str">
        <f>IF(NOT(ISBLANK(C14)),IF(ISNUMBER(ItemSize),ItemSize/C14,"Enter Item Size"),"")</f>
        <v/>
      </c>
      <c r="F14" s="65" t="str">
        <f t="shared" ref="F14:F23" si="1">IF(ISBLANK(B14),"",COUNTIF(DevCommentInitials,B14))</f>
        <v/>
      </c>
      <c r="G14" s="65" t="str">
        <f t="shared" ref="G14:J23" si="2">IF(ISBLANK($B14),"",COUNTIFS(DevCommentInitials,$B14,DevCommentStatuses,G$12))</f>
        <v/>
      </c>
      <c r="H14" s="65" t="str">
        <f t="shared" si="2"/>
        <v/>
      </c>
      <c r="I14" s="65" t="str">
        <f t="shared" si="2"/>
        <v/>
      </c>
      <c r="J14" s="65" t="str">
        <f t="shared" si="2"/>
        <v/>
      </c>
      <c r="K14" s="65" t="str">
        <f t="shared" ref="K14:K23" si="3">IF(ISBLANK(B14),"",IF(F14=G14+H14+I14+J14,CheckOK,CheckErr))</f>
        <v/>
      </c>
    </row>
    <row r="15" spans="1:11" outlineLevel="1">
      <c r="A15" s="173"/>
      <c r="B15" s="173"/>
      <c r="C15" s="173"/>
      <c r="D15" s="68" t="str">
        <f t="shared" si="0"/>
        <v/>
      </c>
      <c r="E15" s="67" t="str">
        <f t="shared" ref="E15:E23" si="4">IF(NOT(ISBLANK(C15)),IF(ISNUMBER(ItemSize),ItemSize/C15,"Enter Item Size"),"")</f>
        <v/>
      </c>
      <c r="F15" s="65" t="str">
        <f t="shared" si="1"/>
        <v/>
      </c>
      <c r="G15" s="65" t="str">
        <f t="shared" si="2"/>
        <v/>
      </c>
      <c r="H15" s="65" t="str">
        <f t="shared" si="2"/>
        <v/>
      </c>
      <c r="I15" s="65" t="str">
        <f t="shared" si="2"/>
        <v/>
      </c>
      <c r="J15" s="65" t="str">
        <f t="shared" si="2"/>
        <v/>
      </c>
      <c r="K15" s="65" t="str">
        <f t="shared" si="3"/>
        <v/>
      </c>
    </row>
    <row r="16" spans="1:11" outlineLevel="1">
      <c r="A16" s="173"/>
      <c r="B16" s="173"/>
      <c r="C16" s="173"/>
      <c r="D16" s="68" t="str">
        <f t="shared" si="0"/>
        <v/>
      </c>
      <c r="E16" s="67" t="str">
        <f t="shared" si="4"/>
        <v/>
      </c>
      <c r="F16" s="65" t="str">
        <f t="shared" si="1"/>
        <v/>
      </c>
      <c r="G16" s="65" t="str">
        <f t="shared" si="2"/>
        <v/>
      </c>
      <c r="H16" s="65" t="str">
        <f t="shared" si="2"/>
        <v/>
      </c>
      <c r="I16" s="65" t="str">
        <f t="shared" si="2"/>
        <v/>
      </c>
      <c r="J16" s="65" t="str">
        <f t="shared" si="2"/>
        <v/>
      </c>
      <c r="K16" s="65" t="str">
        <f t="shared" si="3"/>
        <v/>
      </c>
    </row>
    <row r="17" spans="1:11" outlineLevel="1">
      <c r="A17" s="173"/>
      <c r="B17" s="173"/>
      <c r="C17" s="173"/>
      <c r="D17" s="68" t="str">
        <f t="shared" si="0"/>
        <v/>
      </c>
      <c r="E17" s="67" t="str">
        <f t="shared" si="4"/>
        <v/>
      </c>
      <c r="F17" s="65" t="str">
        <f t="shared" si="1"/>
        <v/>
      </c>
      <c r="G17" s="65" t="str">
        <f t="shared" si="2"/>
        <v/>
      </c>
      <c r="H17" s="65" t="str">
        <f t="shared" si="2"/>
        <v/>
      </c>
      <c r="I17" s="65" t="str">
        <f t="shared" si="2"/>
        <v/>
      </c>
      <c r="J17" s="65" t="str">
        <f t="shared" si="2"/>
        <v/>
      </c>
      <c r="K17" s="65" t="str">
        <f t="shared" si="3"/>
        <v/>
      </c>
    </row>
    <row r="18" spans="1:11" outlineLevel="1">
      <c r="A18" s="173"/>
      <c r="B18" s="173"/>
      <c r="C18" s="173"/>
      <c r="D18" s="68" t="str">
        <f t="shared" si="0"/>
        <v/>
      </c>
      <c r="E18" s="67" t="str">
        <f t="shared" si="4"/>
        <v/>
      </c>
      <c r="F18" s="65" t="str">
        <f t="shared" si="1"/>
        <v/>
      </c>
      <c r="G18" s="65" t="str">
        <f t="shared" si="2"/>
        <v/>
      </c>
      <c r="H18" s="65" t="str">
        <f t="shared" si="2"/>
        <v/>
      </c>
      <c r="I18" s="65" t="str">
        <f t="shared" si="2"/>
        <v/>
      </c>
      <c r="J18" s="65" t="str">
        <f t="shared" si="2"/>
        <v/>
      </c>
      <c r="K18" s="65" t="str">
        <f t="shared" si="3"/>
        <v/>
      </c>
    </row>
    <row r="19" spans="1:11" outlineLevel="1">
      <c r="A19" s="173"/>
      <c r="B19" s="173"/>
      <c r="C19" s="173"/>
      <c r="D19" s="68" t="str">
        <f t="shared" si="0"/>
        <v/>
      </c>
      <c r="E19" s="67" t="str">
        <f t="shared" si="4"/>
        <v/>
      </c>
      <c r="F19" s="65" t="str">
        <f t="shared" si="1"/>
        <v/>
      </c>
      <c r="G19" s="65" t="str">
        <f t="shared" si="2"/>
        <v/>
      </c>
      <c r="H19" s="65" t="str">
        <f t="shared" si="2"/>
        <v/>
      </c>
      <c r="I19" s="65" t="str">
        <f t="shared" si="2"/>
        <v/>
      </c>
      <c r="J19" s="65" t="str">
        <f t="shared" si="2"/>
        <v/>
      </c>
      <c r="K19" s="65" t="str">
        <f t="shared" si="3"/>
        <v/>
      </c>
    </row>
    <row r="20" spans="1:11" outlineLevel="1">
      <c r="A20" s="173"/>
      <c r="B20" s="173"/>
      <c r="C20" s="173"/>
      <c r="D20" s="68" t="str">
        <f t="shared" si="0"/>
        <v/>
      </c>
      <c r="E20" s="67" t="str">
        <f t="shared" si="4"/>
        <v/>
      </c>
      <c r="F20" s="65" t="str">
        <f t="shared" si="1"/>
        <v/>
      </c>
      <c r="G20" s="65" t="str">
        <f t="shared" si="2"/>
        <v/>
      </c>
      <c r="H20" s="65" t="str">
        <f t="shared" si="2"/>
        <v/>
      </c>
      <c r="I20" s="65" t="str">
        <f t="shared" si="2"/>
        <v/>
      </c>
      <c r="J20" s="65" t="str">
        <f t="shared" si="2"/>
        <v/>
      </c>
      <c r="K20" s="65" t="str">
        <f t="shared" si="3"/>
        <v/>
      </c>
    </row>
    <row r="21" spans="1:11" outlineLevel="1">
      <c r="A21" s="173"/>
      <c r="B21" s="173"/>
      <c r="C21" s="173"/>
      <c r="D21" s="68" t="str">
        <f t="shared" si="0"/>
        <v/>
      </c>
      <c r="E21" s="67" t="str">
        <f t="shared" si="4"/>
        <v/>
      </c>
      <c r="F21" s="65" t="str">
        <f t="shared" si="1"/>
        <v/>
      </c>
      <c r="G21" s="65" t="str">
        <f t="shared" si="2"/>
        <v/>
      </c>
      <c r="H21" s="65" t="str">
        <f t="shared" si="2"/>
        <v/>
      </c>
      <c r="I21" s="65" t="str">
        <f t="shared" si="2"/>
        <v/>
      </c>
      <c r="J21" s="65" t="str">
        <f t="shared" si="2"/>
        <v/>
      </c>
      <c r="K21" s="65" t="str">
        <f t="shared" si="3"/>
        <v/>
      </c>
    </row>
    <row r="22" spans="1:11" outlineLevel="1">
      <c r="A22" s="173"/>
      <c r="B22" s="173"/>
      <c r="C22" s="173"/>
      <c r="D22" s="68" t="str">
        <f t="shared" si="0"/>
        <v/>
      </c>
      <c r="E22" s="67" t="str">
        <f t="shared" si="4"/>
        <v/>
      </c>
      <c r="F22" s="65" t="str">
        <f t="shared" si="1"/>
        <v/>
      </c>
      <c r="G22" s="65" t="str">
        <f t="shared" si="2"/>
        <v/>
      </c>
      <c r="H22" s="65" t="str">
        <f t="shared" si="2"/>
        <v/>
      </c>
      <c r="I22" s="65" t="str">
        <f t="shared" si="2"/>
        <v/>
      </c>
      <c r="J22" s="65" t="str">
        <f t="shared" si="2"/>
        <v/>
      </c>
      <c r="K22" s="65" t="str">
        <f t="shared" si="3"/>
        <v/>
      </c>
    </row>
    <row r="23" spans="1:11" outlineLevel="1">
      <c r="A23" s="173"/>
      <c r="B23" s="173"/>
      <c r="C23" s="173"/>
      <c r="D23" s="68" t="str">
        <f t="shared" si="0"/>
        <v/>
      </c>
      <c r="E23" s="67" t="str">
        <f t="shared" si="4"/>
        <v/>
      </c>
      <c r="F23" s="65" t="str">
        <f t="shared" si="1"/>
        <v/>
      </c>
      <c r="G23" s="65" t="str">
        <f t="shared" si="2"/>
        <v/>
      </c>
      <c r="H23" s="65" t="str">
        <f t="shared" si="2"/>
        <v/>
      </c>
      <c r="I23" s="65" t="str">
        <f t="shared" si="2"/>
        <v/>
      </c>
      <c r="J23" s="65" t="str">
        <f t="shared" si="2"/>
        <v/>
      </c>
      <c r="K23" s="65" t="str">
        <f t="shared" si="3"/>
        <v/>
      </c>
    </row>
    <row r="24" spans="1:11" outlineLevel="1">
      <c r="A24" s="295" t="s">
        <v>106</v>
      </c>
      <c r="B24" s="295"/>
      <c r="C24" s="160">
        <f>TotalTimeSpentReviewing</f>
        <v>0</v>
      </c>
      <c r="D24" s="161"/>
      <c r="E24" s="66" t="str">
        <f>IF(NOT(ISNUMBER(ItemSize)),"Enter Item Size",IF(C24&gt;0,ItemSize/C24,"-"))</f>
        <v>Enter Item Size</v>
      </c>
      <c r="F24" s="162">
        <f>SUM(F14:F23)</f>
        <v>0</v>
      </c>
      <c r="G24" s="162">
        <f>SUM(G14:G23)</f>
        <v>0</v>
      </c>
      <c r="H24" s="162">
        <f>SUM(H14:H23)</f>
        <v>0</v>
      </c>
      <c r="I24" s="162">
        <f>SUM(I14:I23)</f>
        <v>0</v>
      </c>
      <c r="J24" s="162">
        <f>SUM(J14:J23)</f>
        <v>0</v>
      </c>
      <c r="K24" s="65" t="str">
        <f>IF(F24=G24+H24+I24+J24,CheckOK,CheckErr)</f>
        <v/>
      </c>
    </row>
    <row r="25" spans="1:11" s="166" customFormat="1" ht="27" customHeight="1" outlineLevel="1">
      <c r="A25" s="294" t="s">
        <v>105</v>
      </c>
      <c r="B25" s="294"/>
      <c r="C25" s="159"/>
      <c r="D25" s="163"/>
      <c r="E25" s="164"/>
      <c r="F25" s="165">
        <f>COUNTA(DevCommentInitials)</f>
        <v>334</v>
      </c>
      <c r="G25" s="165">
        <f>COUNTIF(DevCommentStatuses,G$12)</f>
        <v>0</v>
      </c>
      <c r="H25" s="165">
        <f>COUNTIF(DevCommentStatuses,H$12)</f>
        <v>17</v>
      </c>
      <c r="I25" s="165">
        <f>COUNTIF(DevCommentStatuses,I$12)</f>
        <v>0</v>
      </c>
      <c r="J25" s="165">
        <f>COUNTIF(DevCommentStatuses,J$12)</f>
        <v>1</v>
      </c>
      <c r="K25" s="65" t="str">
        <f>IF(AND(F25=G25+H25+I25+J25,F24=F25,G24=G25,H24=H25,I24=I25,J24=J25),CheckOK,CheckErr)</f>
        <v>!</v>
      </c>
    </row>
    <row r="27" spans="1:11" ht="21">
      <c r="A27" s="142" t="s">
        <v>177</v>
      </c>
    </row>
    <row r="28" spans="1:11">
      <c r="A28" s="290" t="str">
        <f>A27</f>
        <v>Time Spent Reworking</v>
      </c>
      <c r="B28" s="291"/>
      <c r="C28" s="59">
        <f>SUM(C32:C36)</f>
        <v>0</v>
      </c>
    </row>
    <row r="29" spans="1:11">
      <c r="A29" s="292" t="s">
        <v>116</v>
      </c>
      <c r="B29" s="293"/>
      <c r="C29" s="70" t="str">
        <f>CONCATENATE(INT(C28/60)," hour(s) and ", MOD(C28,60), " minutes")</f>
        <v>0 hour(s) and 0 minutes</v>
      </c>
    </row>
    <row r="30" spans="1:11">
      <c r="G30" s="151" t="s">
        <v>101</v>
      </c>
      <c r="H30" s="151" t="s">
        <v>100</v>
      </c>
      <c r="I30" s="151" t="s">
        <v>141</v>
      </c>
      <c r="J30" s="151" t="s">
        <v>99</v>
      </c>
    </row>
    <row r="31" spans="1:11" ht="38.25" customHeight="1" outlineLevel="2">
      <c r="A31" s="167" t="s">
        <v>179</v>
      </c>
      <c r="B31" s="168" t="s">
        <v>180</v>
      </c>
      <c r="C31" s="169" t="s">
        <v>138</v>
      </c>
      <c r="D31" s="155" t="s">
        <v>107</v>
      </c>
      <c r="E31" s="156" t="s">
        <v>181</v>
      </c>
      <c r="F31" s="157" t="s">
        <v>184</v>
      </c>
      <c r="G31" s="157" t="s">
        <v>110</v>
      </c>
      <c r="H31" s="157" t="s">
        <v>109</v>
      </c>
      <c r="I31" s="157" t="s">
        <v>140</v>
      </c>
      <c r="J31" s="157" t="s">
        <v>108</v>
      </c>
      <c r="K31" s="158" t="s">
        <v>107</v>
      </c>
    </row>
    <row r="32" spans="1:11" outlineLevel="2">
      <c r="A32" s="173"/>
      <c r="B32" s="173"/>
      <c r="C32" s="173"/>
      <c r="D32" s="68" t="str">
        <f>IF(OR(COUNTA(A32:C32)=0,COUNTA(A32:C32)=COUNTA(A$13:C$13)),CheckOK,CheckErr)</f>
        <v/>
      </c>
      <c r="E32" s="67" t="str">
        <f>IF(NOT(ISBLANK(C32)),IF(ISNUMBER(ItemSize),F32/C32,"Enter Item Size"),"")</f>
        <v/>
      </c>
      <c r="F32" s="65" t="str">
        <f>IF(ISBLANK(B32),"",COUNTIF(DevAuthorInitials,B32))</f>
        <v/>
      </c>
      <c r="G32" s="65" t="str">
        <f t="shared" ref="G32:J36" si="5">IF(ISBLANK($B32),"",COUNTIFS(DevAuthorInitials,$B32,DevCommentStatuses,G$12))</f>
        <v/>
      </c>
      <c r="H32" s="65" t="str">
        <f t="shared" si="5"/>
        <v/>
      </c>
      <c r="I32" s="65" t="str">
        <f t="shared" si="5"/>
        <v/>
      </c>
      <c r="J32" s="65" t="str">
        <f t="shared" si="5"/>
        <v/>
      </c>
      <c r="K32" s="65" t="str">
        <f>IF(ISBLANK(B32),"",IF(F32=G32+H32+I32+J32,CheckOK,CheckErr))</f>
        <v/>
      </c>
    </row>
    <row r="33" spans="1:11" outlineLevel="2">
      <c r="A33" s="173"/>
      <c r="B33" s="173"/>
      <c r="C33" s="173"/>
      <c r="D33" s="68" t="str">
        <f>IF(OR(COUNTA(A33:C33)=0,COUNTA(A33:C33)=COUNTA(A$13:C$13)),CheckOK,CheckErr)</f>
        <v/>
      </c>
      <c r="E33" s="67" t="str">
        <f>IF(NOT(ISBLANK(C33)),IF(ISNUMBER(ItemSize),F33/C33,"Enter Item Size"),"")</f>
        <v/>
      </c>
      <c r="F33" s="65" t="str">
        <f>IF(ISBLANK(B33),"",COUNTIF(DevAuthorInitials,B33))</f>
        <v/>
      </c>
      <c r="G33" s="65" t="str">
        <f t="shared" si="5"/>
        <v/>
      </c>
      <c r="H33" s="65" t="str">
        <f t="shared" si="5"/>
        <v/>
      </c>
      <c r="I33" s="65" t="str">
        <f t="shared" si="5"/>
        <v/>
      </c>
      <c r="J33" s="65" t="str">
        <f t="shared" si="5"/>
        <v/>
      </c>
      <c r="K33" s="65" t="str">
        <f>IF(ISBLANK(B33),"",IF(F33=G33+H33+I33+J33,CheckOK,CheckErr))</f>
        <v/>
      </c>
    </row>
    <row r="34" spans="1:11" outlineLevel="2">
      <c r="A34" s="173"/>
      <c r="B34" s="173"/>
      <c r="C34" s="173"/>
      <c r="D34" s="68" t="str">
        <f>IF(OR(COUNTA(A34:C34)=0,COUNTA(A34:C34)=COUNTA(A$13:C$13)),CheckOK,CheckErr)</f>
        <v/>
      </c>
      <c r="E34" s="67" t="str">
        <f>IF(NOT(ISBLANK(C34)),IF(ISNUMBER(ItemSize),F34/C34,"Enter Item Size"),"")</f>
        <v/>
      </c>
      <c r="F34" s="65" t="str">
        <f>IF(ISBLANK(B34),"",COUNTIF(DevAuthorInitials,B34))</f>
        <v/>
      </c>
      <c r="G34" s="65" t="str">
        <f t="shared" si="5"/>
        <v/>
      </c>
      <c r="H34" s="65" t="str">
        <f t="shared" si="5"/>
        <v/>
      </c>
      <c r="I34" s="65" t="str">
        <f t="shared" si="5"/>
        <v/>
      </c>
      <c r="J34" s="65" t="str">
        <f t="shared" si="5"/>
        <v/>
      </c>
      <c r="K34" s="65" t="str">
        <f>IF(ISBLANK(B34),"",IF(F34=G34+H34+I34+J34,CheckOK,CheckErr))</f>
        <v/>
      </c>
    </row>
    <row r="35" spans="1:11" outlineLevel="2">
      <c r="A35" s="173"/>
      <c r="B35" s="173"/>
      <c r="C35" s="173"/>
      <c r="D35" s="68" t="str">
        <f>IF(OR(COUNTA(A35:C35)=0,COUNTA(A35:C35)=COUNTA(A$13:C$13)),CheckOK,CheckErr)</f>
        <v/>
      </c>
      <c r="E35" s="67" t="str">
        <f>IF(NOT(ISBLANK(C35)),IF(ISNUMBER(ItemSize),F35/C35,"Enter Item Size"),"")</f>
        <v/>
      </c>
      <c r="F35" s="65" t="str">
        <f>IF(ISBLANK(B35),"",COUNTIF(DevAuthorInitials,B35))</f>
        <v/>
      </c>
      <c r="G35" s="65" t="str">
        <f t="shared" si="5"/>
        <v/>
      </c>
      <c r="H35" s="65" t="str">
        <f t="shared" si="5"/>
        <v/>
      </c>
      <c r="I35" s="65" t="str">
        <f t="shared" si="5"/>
        <v/>
      </c>
      <c r="J35" s="65" t="str">
        <f t="shared" si="5"/>
        <v/>
      </c>
      <c r="K35" s="65" t="str">
        <f>IF(ISBLANK(B35),"",IF(F35=G35+H35+I35+J35,CheckOK,CheckErr))</f>
        <v/>
      </c>
    </row>
    <row r="36" spans="1:11" outlineLevel="2">
      <c r="A36" s="173"/>
      <c r="B36" s="173"/>
      <c r="C36" s="173"/>
      <c r="D36" s="68" t="str">
        <f>IF(OR(COUNTA(A36:C36)=0,COUNTA(A36:C36)=COUNTA(A$13:C$13)),CheckOK,CheckErr)</f>
        <v/>
      </c>
      <c r="E36" s="67" t="str">
        <f>IF(NOT(ISBLANK(C36)),IF(ISNUMBER(ItemSize),F36/C36,"Enter Item Size"),"")</f>
        <v/>
      </c>
      <c r="F36" s="65" t="str">
        <f>IF(ISBLANK(B36),"",COUNTIF(DevAuthorInitials,B36))</f>
        <v/>
      </c>
      <c r="G36" s="65" t="str">
        <f t="shared" si="5"/>
        <v/>
      </c>
      <c r="H36" s="65" t="str">
        <f t="shared" si="5"/>
        <v/>
      </c>
      <c r="I36" s="65" t="str">
        <f t="shared" si="5"/>
        <v/>
      </c>
      <c r="J36" s="65" t="str">
        <f t="shared" si="5"/>
        <v/>
      </c>
      <c r="K36" s="65" t="str">
        <f>IF(ISBLANK(B36),"",IF(F36=G36+H36+I36+J36,CheckOK,CheckErr))</f>
        <v/>
      </c>
    </row>
    <row r="37" spans="1:11" outlineLevel="2">
      <c r="A37" s="295" t="s">
        <v>106</v>
      </c>
      <c r="B37" s="295"/>
      <c r="C37" s="160">
        <f>TotalEffortToFix</f>
        <v>0</v>
      </c>
      <c r="D37" s="161"/>
      <c r="E37" s="66" t="str">
        <f>IF(NOT(ISNUMBER(ItemSize)),"Enter Item Size",IF(C37&gt;0,ItemSize/C37,"-"))</f>
        <v>Enter Item Size</v>
      </c>
      <c r="F37" s="162">
        <f>SUM(F32:F36)</f>
        <v>0</v>
      </c>
      <c r="G37" s="162">
        <f>SUM(G32:G36)</f>
        <v>0</v>
      </c>
      <c r="H37" s="162">
        <f>SUM(H32:H36)</f>
        <v>0</v>
      </c>
      <c r="I37" s="162">
        <f>SUM(I32:I36)</f>
        <v>0</v>
      </c>
      <c r="J37" s="162">
        <f>SUM(J32:J36)</f>
        <v>0</v>
      </c>
      <c r="K37" s="65" t="str">
        <f>IF(F37=G37+H37+I37+J37,CheckOK,CheckErr)</f>
        <v/>
      </c>
    </row>
    <row r="38" spans="1:11" outlineLevel="2">
      <c r="A38" s="294" t="s">
        <v>105</v>
      </c>
      <c r="B38" s="294"/>
      <c r="C38" s="159"/>
      <c r="D38" s="163"/>
      <c r="E38" s="164"/>
      <c r="F38" s="165">
        <f>COUNTA(DevCommentInitials)</f>
        <v>334</v>
      </c>
      <c r="G38" s="165">
        <f>COUNTIF(DevCommentStatuses,G$12)</f>
        <v>0</v>
      </c>
      <c r="H38" s="165">
        <f>COUNTIF(DevCommentStatuses,H$12)</f>
        <v>17</v>
      </c>
      <c r="I38" s="165">
        <f>COUNTIF(DevCommentStatuses,I$12)</f>
        <v>0</v>
      </c>
      <c r="J38" s="165">
        <f>COUNTIF(DevCommentStatuses,J$12)</f>
        <v>1</v>
      </c>
      <c r="K38" s="65" t="str">
        <f>IF(AND(F38=G38+H38+I38+J38,F37=F38,G37=G38,H37=H38,I37=I38,J37=J38),CheckOK,CheckErr)</f>
        <v>!</v>
      </c>
    </row>
    <row r="40" spans="1:11" ht="21">
      <c r="A40" s="142" t="s">
        <v>178</v>
      </c>
    </row>
    <row r="42" spans="1:11">
      <c r="A42" s="290" t="str">
        <f>A40</f>
        <v>Time Spent Moderating</v>
      </c>
      <c r="B42" s="291"/>
      <c r="C42" s="59">
        <f>SUM(C46:C50)</f>
        <v>0</v>
      </c>
    </row>
    <row r="43" spans="1:11">
      <c r="A43" s="292" t="s">
        <v>116</v>
      </c>
      <c r="B43" s="293"/>
      <c r="C43" s="70" t="str">
        <f>CONCATENATE(INT(C42/60)," hour(s) and ", MOD(C42,60), " minutes")</f>
        <v>0 hour(s) and 0 minutes</v>
      </c>
    </row>
    <row r="44" spans="1:11">
      <c r="G44" s="151" t="s">
        <v>101</v>
      </c>
      <c r="H44" s="151" t="s">
        <v>100</v>
      </c>
      <c r="I44" s="151" t="s">
        <v>141</v>
      </c>
      <c r="J44" s="151" t="s">
        <v>99</v>
      </c>
    </row>
    <row r="45" spans="1:11" ht="45" customHeight="1" outlineLevel="2">
      <c r="A45" s="170" t="s">
        <v>186</v>
      </c>
      <c r="B45" s="171" t="s">
        <v>185</v>
      </c>
      <c r="C45" s="172" t="s">
        <v>139</v>
      </c>
      <c r="D45" s="155" t="s">
        <v>107</v>
      </c>
      <c r="E45" s="156" t="s">
        <v>182</v>
      </c>
      <c r="F45" s="157" t="s">
        <v>183</v>
      </c>
      <c r="G45" s="157" t="s">
        <v>110</v>
      </c>
      <c r="H45" s="157" t="s">
        <v>109</v>
      </c>
      <c r="I45" s="157" t="s">
        <v>140</v>
      </c>
      <c r="J45" s="157" t="s">
        <v>108</v>
      </c>
      <c r="K45" s="158" t="s">
        <v>107</v>
      </c>
    </row>
    <row r="46" spans="1:11" outlineLevel="2">
      <c r="A46" s="173"/>
      <c r="B46" s="173"/>
      <c r="C46" s="173"/>
      <c r="D46" s="68" t="str">
        <f>IF(OR(COUNTA(A46:C46)=0,COUNTA(A46:C46)=COUNTA(A$13:C$13)),CheckOK,CheckErr)</f>
        <v/>
      </c>
      <c r="E46" s="67" t="str">
        <f>IF(NOT(ISBLANK(C46)),IF(ISNUMBER(ItemSize),F46/C46,"Enter Item Size"),"")</f>
        <v/>
      </c>
      <c r="F46" s="65" t="str">
        <f>IF(ISBLANK(B46),"",COUNTIF(DevModeratorInitials,B46))</f>
        <v/>
      </c>
      <c r="G46" s="65" t="str">
        <f t="shared" ref="G46:J50" si="6">IF(ISBLANK($B46),"",COUNTIFS(DevModeratorInitials,$B46,DevCommentStatuses,G$12))</f>
        <v/>
      </c>
      <c r="H46" s="65" t="str">
        <f t="shared" si="6"/>
        <v/>
      </c>
      <c r="I46" s="65" t="str">
        <f t="shared" si="6"/>
        <v/>
      </c>
      <c r="J46" s="65" t="str">
        <f t="shared" si="6"/>
        <v/>
      </c>
      <c r="K46" s="65" t="str">
        <f>IF(ISBLANK(B46),"",IF(F46=G46+H46+I46+J46,CheckOK,CheckErr))</f>
        <v/>
      </c>
    </row>
    <row r="47" spans="1:11" outlineLevel="2">
      <c r="A47" s="173"/>
      <c r="B47" s="173"/>
      <c r="C47" s="173"/>
      <c r="D47" s="68" t="str">
        <f>IF(OR(COUNTA(A47:C47)=0,COUNTA(A47:C47)=COUNTA(A$13:C$13)),CheckOK,CheckErr)</f>
        <v/>
      </c>
      <c r="E47" s="67" t="str">
        <f>IF(NOT(ISBLANK(C47)),IF(ISNUMBER(ItemSize),F47/C47,"Enter Item Size"),"")</f>
        <v/>
      </c>
      <c r="F47" s="65" t="str">
        <f>IF(ISBLANK(B47),"",COUNTIF(DevModeratorInitials,B47))</f>
        <v/>
      </c>
      <c r="G47" s="65" t="str">
        <f t="shared" si="6"/>
        <v/>
      </c>
      <c r="H47" s="65" t="str">
        <f t="shared" si="6"/>
        <v/>
      </c>
      <c r="I47" s="65" t="str">
        <f t="shared" si="6"/>
        <v/>
      </c>
      <c r="J47" s="65" t="str">
        <f t="shared" si="6"/>
        <v/>
      </c>
      <c r="K47" s="65" t="str">
        <f>IF(ISBLANK(B47),"",IF(F47=G47+H47+I47+J47,CheckOK,CheckErr))</f>
        <v/>
      </c>
    </row>
    <row r="48" spans="1:11" outlineLevel="2">
      <c r="A48" s="173"/>
      <c r="B48" s="173"/>
      <c r="C48" s="173"/>
      <c r="D48" s="68" t="str">
        <f>IF(OR(COUNTA(A48:C48)=0,COUNTA(A48:C48)=COUNTA(A$13:C$13)),CheckOK,CheckErr)</f>
        <v/>
      </c>
      <c r="E48" s="67" t="str">
        <f>IF(NOT(ISBLANK(C48)),IF(ISNUMBER(ItemSize),F48/C48,"Enter Item Size"),"")</f>
        <v/>
      </c>
      <c r="F48" s="65" t="str">
        <f>IF(ISBLANK(B48),"",COUNTIF(DevModeratorInitials,B48))</f>
        <v/>
      </c>
      <c r="G48" s="65" t="str">
        <f t="shared" si="6"/>
        <v/>
      </c>
      <c r="H48" s="65" t="str">
        <f t="shared" si="6"/>
        <v/>
      </c>
      <c r="I48" s="65" t="str">
        <f t="shared" si="6"/>
        <v/>
      </c>
      <c r="J48" s="65" t="str">
        <f t="shared" si="6"/>
        <v/>
      </c>
      <c r="K48" s="65" t="str">
        <f>IF(ISBLANK(B48),"",IF(F48=G48+H48+I48+J48,CheckOK,CheckErr))</f>
        <v/>
      </c>
    </row>
    <row r="49" spans="1:11" outlineLevel="2">
      <c r="A49" s="173"/>
      <c r="B49" s="173"/>
      <c r="C49" s="173"/>
      <c r="D49" s="68" t="str">
        <f>IF(OR(COUNTA(A49:C49)=0,COUNTA(A49:C49)=COUNTA(A$13:C$13)),CheckOK,CheckErr)</f>
        <v/>
      </c>
      <c r="E49" s="67" t="str">
        <f>IF(NOT(ISBLANK(C49)),IF(ISNUMBER(ItemSize),F49/C49,"Enter Item Size"),"")</f>
        <v/>
      </c>
      <c r="F49" s="65" t="str">
        <f>IF(ISBLANK(B49),"",COUNTIF(DevModeratorInitials,B49))</f>
        <v/>
      </c>
      <c r="G49" s="65" t="str">
        <f t="shared" si="6"/>
        <v/>
      </c>
      <c r="H49" s="65" t="str">
        <f t="shared" si="6"/>
        <v/>
      </c>
      <c r="I49" s="65" t="str">
        <f t="shared" si="6"/>
        <v/>
      </c>
      <c r="J49" s="65" t="str">
        <f t="shared" si="6"/>
        <v/>
      </c>
      <c r="K49" s="65" t="str">
        <f>IF(ISBLANK(B49),"",IF(F49=G49+H49+I49+J49,CheckOK,CheckErr))</f>
        <v/>
      </c>
    </row>
    <row r="50" spans="1:11" outlineLevel="2">
      <c r="A50" s="173"/>
      <c r="B50" s="173"/>
      <c r="C50" s="173"/>
      <c r="D50" s="68" t="str">
        <f>IF(OR(COUNTA(A50:C50)=0,COUNTA(A50:C50)=COUNTA(A$13:C$13)),CheckOK,CheckErr)</f>
        <v/>
      </c>
      <c r="E50" s="67" t="str">
        <f>IF(NOT(ISBLANK(C50)),IF(ISNUMBER(ItemSize),F50/C50,"Enter Item Size"),"")</f>
        <v/>
      </c>
      <c r="F50" s="65" t="str">
        <f>IF(ISBLANK(B50),"",COUNTIF(DevModeratorInitials,B50))</f>
        <v/>
      </c>
      <c r="G50" s="65" t="str">
        <f t="shared" si="6"/>
        <v/>
      </c>
      <c r="H50" s="65" t="str">
        <f t="shared" si="6"/>
        <v/>
      </c>
      <c r="I50" s="65" t="str">
        <f t="shared" si="6"/>
        <v/>
      </c>
      <c r="J50" s="65" t="str">
        <f t="shared" si="6"/>
        <v/>
      </c>
      <c r="K50" s="65" t="str">
        <f>IF(ISBLANK(B50),"",IF(F50=G50+H50+I50+J50,CheckOK,CheckErr))</f>
        <v/>
      </c>
    </row>
    <row r="51" spans="1:11" outlineLevel="2">
      <c r="A51" s="295" t="s">
        <v>106</v>
      </c>
      <c r="B51" s="295"/>
      <c r="C51" s="160">
        <f>TotalTimeModerating</f>
        <v>0</v>
      </c>
      <c r="D51" s="161"/>
      <c r="E51" s="66" t="str">
        <f>IF(NOT(ISNUMBER(ItemSize)),"Enter Item Size",IF(C51&gt;0,ItemSize/C51,"-"))</f>
        <v>Enter Item Size</v>
      </c>
      <c r="F51" s="162">
        <f>SUM(F46:F50)</f>
        <v>0</v>
      </c>
      <c r="G51" s="162">
        <f>SUM(G46:G50)</f>
        <v>0</v>
      </c>
      <c r="H51" s="162">
        <f>SUM(H46:H50)</f>
        <v>0</v>
      </c>
      <c r="I51" s="162">
        <f>SUM(I46:I50)</f>
        <v>0</v>
      </c>
      <c r="J51" s="162">
        <f>SUM(J46:J50)</f>
        <v>0</v>
      </c>
      <c r="K51" s="65" t="str">
        <f>IF(F51=G51+H51+I51+J51,CheckOK,CheckErr)</f>
        <v/>
      </c>
    </row>
    <row r="52" spans="1:11" outlineLevel="2">
      <c r="A52" s="294" t="s">
        <v>105</v>
      </c>
      <c r="B52" s="294"/>
      <c r="C52" s="159"/>
      <c r="D52" s="163"/>
      <c r="E52" s="164"/>
      <c r="F52" s="165">
        <f>COUNTA(DevCommentInitials)</f>
        <v>334</v>
      </c>
      <c r="G52" s="165">
        <f>COUNTIF(DevCommentStatuses,G$12)</f>
        <v>0</v>
      </c>
      <c r="H52" s="165">
        <f>COUNTIF(DevCommentStatuses,H$12)</f>
        <v>17</v>
      </c>
      <c r="I52" s="165">
        <f>COUNTIF(DevCommentStatuses,I$12)</f>
        <v>0</v>
      </c>
      <c r="J52" s="165">
        <f>COUNTIF(DevCommentStatuses,J$12)</f>
        <v>1</v>
      </c>
      <c r="K52" s="65" t="str">
        <f>IF(AND(F52=G52+H52+I52+J52,F51=F52,G51=G52,H51=H52,I51=I52,J51=J52),CheckOK,CheckErr)</f>
        <v>!</v>
      </c>
    </row>
  </sheetData>
  <sheetProtection insertRows="0"/>
  <mergeCells count="17">
    <mergeCell ref="A43:B43"/>
    <mergeCell ref="A51:B51"/>
    <mergeCell ref="A52:B52"/>
    <mergeCell ref="A37:B37"/>
    <mergeCell ref="A38:B38"/>
    <mergeCell ref="A28:B28"/>
    <mergeCell ref="A29:B29"/>
    <mergeCell ref="A42:B42"/>
    <mergeCell ref="A10:B10"/>
    <mergeCell ref="A11:B11"/>
    <mergeCell ref="A25:B25"/>
    <mergeCell ref="A24:B24"/>
    <mergeCell ref="B2:C2"/>
    <mergeCell ref="B3:C3"/>
    <mergeCell ref="B4:C4"/>
    <mergeCell ref="B5:C5"/>
    <mergeCell ref="B6:C6"/>
  </mergeCells>
  <conditionalFormatting sqref="D1:D1048576">
    <cfRule type="cellIs" dxfId="10" priority="46" stopIfTrue="1" operator="equal">
      <formula>CheckErr</formula>
    </cfRule>
  </conditionalFormatting>
  <conditionalFormatting sqref="K1:K1048576">
    <cfRule type="expression" dxfId="9" priority="45" stopIfTrue="1">
      <formula>K1=CheckErr</formula>
    </cfRule>
  </conditionalFormatting>
  <conditionalFormatting sqref="A14:C23">
    <cfRule type="expression" dxfId="8" priority="6" stopIfTrue="1">
      <formula>$D14=CheckErr</formula>
    </cfRule>
  </conditionalFormatting>
  <conditionalFormatting sqref="C24:C25">
    <cfRule type="expression" dxfId="7" priority="5" stopIfTrue="1">
      <formula>$D24=CheckErr</formula>
    </cfRule>
  </conditionalFormatting>
  <conditionalFormatting sqref="A32:C36">
    <cfRule type="expression" dxfId="6" priority="4" stopIfTrue="1">
      <formula>$D32=CheckErr</formula>
    </cfRule>
  </conditionalFormatting>
  <conditionalFormatting sqref="C37:C38">
    <cfRule type="expression" dxfId="5" priority="3" stopIfTrue="1">
      <formula>$D37=CheckErr</formula>
    </cfRule>
  </conditionalFormatting>
  <conditionalFormatting sqref="A46:C50">
    <cfRule type="expression" dxfId="4" priority="2" stopIfTrue="1">
      <formula>$D46=CheckErr</formula>
    </cfRule>
  </conditionalFormatting>
  <conditionalFormatting sqref="C51:C52">
    <cfRule type="expression" dxfId="3"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6">
    <tabColor rgb="FF92D050"/>
    <pageSetUpPr fitToPage="1"/>
  </sheetPr>
  <dimension ref="A1:F78"/>
  <sheetViews>
    <sheetView workbookViewId="0">
      <selection activeCell="A61" sqref="A61:XFD78"/>
    </sheetView>
  </sheetViews>
  <sheetFormatPr defaultRowHeight="13.5"/>
  <cols>
    <col min="1" max="1" width="29" style="31" customWidth="1"/>
    <col min="2" max="2" width="18" style="31" customWidth="1"/>
    <col min="3" max="3" width="12.375" style="31" customWidth="1"/>
    <col min="4" max="4" width="28.125" style="31" customWidth="1"/>
    <col min="5" max="5" width="1.375" style="31" bestFit="1" customWidth="1"/>
    <col min="6" max="6" width="21.625" style="31" customWidth="1"/>
    <col min="7" max="16384" width="9" style="31"/>
  </cols>
  <sheetData>
    <row r="1" spans="1:5" ht="21">
      <c r="A1" s="53" t="s">
        <v>104</v>
      </c>
    </row>
    <row r="3" spans="1:5" ht="27" customHeight="1">
      <c r="A3" s="64" t="s">
        <v>103</v>
      </c>
      <c r="B3" s="311" t="str">
        <f>CONCATENATE('Calling Notice'!$B$3,", ",'Calling Notice'!$B$4,", ",'Calling Notice'!$B$5," ",'Calling Notice'!$B$6,", ",TEXT('Calling Notice'!$B$7,"dd MMMM yyyy"))</f>
        <v>&lt;Title&gt;, &lt;S.Pnnnn.nn.n&gt; or &lt;CM System path&gt;, &lt;Issue n.n&gt; or &lt;CM System revision number&gt; &lt;Status&gt;, dd MMMM yyyy</v>
      </c>
      <c r="C3" s="311"/>
      <c r="D3" s="311"/>
    </row>
    <row r="5" spans="1:5">
      <c r="A5" s="38" t="s">
        <v>102</v>
      </c>
      <c r="B5" s="63">
        <f>COUNTA(DevCommentInitials)</f>
        <v>334</v>
      </c>
      <c r="C5" s="62"/>
    </row>
    <row r="6" spans="1:5">
      <c r="A6" s="38" t="s">
        <v>423</v>
      </c>
      <c r="B6" s="59">
        <f>COUNTIFS(DevCommentStatuses,"Accepted",DevCommentCategory, "01 - Mandatory (Op)")</f>
        <v>0</v>
      </c>
      <c r="C6" s="61">
        <f>IF($B$5&lt;&gt;0,B6/$B$5,0)</f>
        <v>0</v>
      </c>
    </row>
    <row r="7" spans="1:5">
      <c r="A7" s="38" t="s">
        <v>424</v>
      </c>
      <c r="B7" s="59">
        <f>COUNTIF(DevCommentStatuses,"Accepted")-B6</f>
        <v>0</v>
      </c>
      <c r="C7" s="61">
        <f>IF($B$5&lt;&gt;0,B7/$B$5,0)</f>
        <v>0</v>
      </c>
    </row>
    <row r="8" spans="1:5">
      <c r="A8" s="38" t="s">
        <v>100</v>
      </c>
      <c r="B8" s="59">
        <f>COUNTIF(DevCommentStatuses,A8)</f>
        <v>17</v>
      </c>
      <c r="C8" s="61">
        <f>IF($B$5&lt;&gt;0,B8/$B$5,0)</f>
        <v>5.089820359281437E-2</v>
      </c>
    </row>
    <row r="9" spans="1:5">
      <c r="A9" s="38" t="s">
        <v>141</v>
      </c>
      <c r="B9" s="59">
        <f>COUNTIF(DevCommentStatuses,A9)</f>
        <v>0</v>
      </c>
      <c r="C9" s="61">
        <f>IF($B$5&lt;&gt;0,B9/$B$5,0)</f>
        <v>0</v>
      </c>
    </row>
    <row r="10" spans="1:5" ht="14.25" thickBot="1">
      <c r="A10" s="60" t="s">
        <v>99</v>
      </c>
      <c r="B10" s="59">
        <f>COUNTIF(DevCommentStatuses,A10)</f>
        <v>1</v>
      </c>
      <c r="C10" s="58">
        <f>IF($B$5&lt;&gt;0,B10/$B$5,0)</f>
        <v>2.9940119760479044E-3</v>
      </c>
    </row>
    <row r="11" spans="1:5" ht="14.25" thickBot="1">
      <c r="A11" s="57" t="s">
        <v>98</v>
      </c>
      <c r="B11" s="56">
        <f>SUM(B6:B10)</f>
        <v>18</v>
      </c>
      <c r="C11" s="55">
        <f>SUM(C6:C10)</f>
        <v>5.3892215568862277E-2</v>
      </c>
      <c r="E11" s="31" t="str">
        <f>IF(C11&lt;&gt;1,CheckErr,CheckOK)</f>
        <v>!</v>
      </c>
    </row>
    <row r="12" spans="1:5">
      <c r="B12" s="54"/>
    </row>
    <row r="13" spans="1:5">
      <c r="A13" s="111"/>
      <c r="B13" s="109" t="s">
        <v>204</v>
      </c>
      <c r="C13" s="109" t="s">
        <v>411</v>
      </c>
      <c r="D13" s="109" t="s">
        <v>412</v>
      </c>
    </row>
    <row r="14" spans="1:5">
      <c r="A14" s="112" t="s">
        <v>203</v>
      </c>
      <c r="B14" s="109">
        <f>Checklist_Total</f>
        <v>11</v>
      </c>
      <c r="C14" s="109">
        <f>B14-Checklist_ToGo</f>
        <v>0</v>
      </c>
      <c r="D14" s="109">
        <f>B14-Checklist_ToSign</f>
        <v>0</v>
      </c>
      <c r="E14" s="31" t="str">
        <f>IF(OR(B14=0,NOT(AND(C14=B14,C14=D14))),CheckErr,CheckOK)</f>
        <v>!</v>
      </c>
    </row>
    <row r="15" spans="1:5">
      <c r="B15" s="54"/>
    </row>
    <row r="16" spans="1:5" hidden="1">
      <c r="A16" s="38" t="s">
        <v>97</v>
      </c>
      <c r="B16" s="314" t="str">
        <f>Metrics!C11</f>
        <v>0 hour(s) and 0 minutes</v>
      </c>
      <c r="C16" s="315"/>
    </row>
    <row r="17" spans="1:5" hidden="1">
      <c r="A17" s="38" t="s">
        <v>96</v>
      </c>
      <c r="B17" s="307" t="str">
        <f>Metrics!C29</f>
        <v>0 hour(s) and 0 minutes</v>
      </c>
      <c r="C17" s="308"/>
    </row>
    <row r="18" spans="1:5" hidden="1">
      <c r="A18" s="38" t="s">
        <v>96</v>
      </c>
      <c r="B18" s="307" t="str">
        <f>Metrics!C43</f>
        <v>0 hour(s) and 0 minutes</v>
      </c>
      <c r="C18" s="308"/>
    </row>
    <row r="19" spans="1:5" hidden="1"/>
    <row r="20" spans="1:5" hidden="1"/>
    <row r="21" spans="1:5" hidden="1"/>
    <row r="23" spans="1:5" ht="21">
      <c r="A23" s="32" t="s">
        <v>95</v>
      </c>
    </row>
    <row r="25" spans="1:5">
      <c r="A25" s="125" t="s">
        <v>94</v>
      </c>
      <c r="B25" s="312"/>
      <c r="C25" s="312"/>
      <c r="D25" s="312"/>
      <c r="E25" s="31" t="str">
        <f>IF(ISBLANK(B25),CheckErr,CheckOK)</f>
        <v>!</v>
      </c>
    </row>
    <row r="26" spans="1:5">
      <c r="A26" s="113" t="s">
        <v>93</v>
      </c>
      <c r="B26" s="309" t="s">
        <v>41</v>
      </c>
      <c r="C26" s="310"/>
      <c r="D26" s="310"/>
      <c r="E26" s="31" t="str">
        <f>IF(OR(LEFT(B26,1)="&lt;",COUNTIF(Blanks,B26)&gt;0),CheckErr,CheckOK)</f>
        <v>!</v>
      </c>
    </row>
    <row r="28" spans="1:5">
      <c r="A28" s="113" t="s">
        <v>206</v>
      </c>
      <c r="B28" s="305" t="s">
        <v>207</v>
      </c>
      <c r="C28" s="306"/>
      <c r="D28" s="282"/>
      <c r="E28" s="27" t="str">
        <f>IF(OR(LEFT(B28,1)="&lt;",COUNTIF(Blanks,B28)&gt;0),CheckErr,CheckOK)</f>
        <v>!</v>
      </c>
    </row>
    <row r="29" spans="1:5">
      <c r="A29" s="113" t="s">
        <v>92</v>
      </c>
      <c r="B29" s="313" t="s">
        <v>91</v>
      </c>
      <c r="C29" s="312"/>
      <c r="D29" s="312"/>
      <c r="E29" s="31" t="str">
        <f>IF(OR(LEFT(B29,1)="&lt;",COUNTIF(Blanks,B29)&gt;0),CheckErr,CheckOK)</f>
        <v>!</v>
      </c>
    </row>
    <row r="30" spans="1:5">
      <c r="A30" s="113" t="s">
        <v>90</v>
      </c>
      <c r="B30" s="309" t="s">
        <v>41</v>
      </c>
      <c r="C30" s="310"/>
      <c r="D30" s="310"/>
      <c r="E30" s="31" t="str">
        <f>IF(OR(LEFT(B30,1)="&lt;",COUNTIF(Blanks,B30)&gt;0),CheckErr,CheckOK)</f>
        <v>!</v>
      </c>
    </row>
    <row r="32" spans="1:5">
      <c r="A32" s="113" t="s">
        <v>407</v>
      </c>
      <c r="B32" s="313" t="s">
        <v>91</v>
      </c>
      <c r="C32" s="312"/>
      <c r="D32" s="312"/>
      <c r="E32" s="31" t="str">
        <f>IF(Checklist_FailSafety&gt;0,CheckErr,CheckOK)</f>
        <v/>
      </c>
    </row>
    <row r="33" spans="1:6">
      <c r="A33" s="113" t="s">
        <v>408</v>
      </c>
      <c r="B33" s="309" t="s">
        <v>41</v>
      </c>
      <c r="C33" s="310"/>
      <c r="D33" s="310"/>
      <c r="E33" s="31" t="str">
        <f>IF(Checklist_FailSafety&gt;0,CheckErr,CheckOK)</f>
        <v/>
      </c>
    </row>
    <row r="35" spans="1:6">
      <c r="A35" s="113" t="s">
        <v>409</v>
      </c>
      <c r="B35" s="313" t="s">
        <v>91</v>
      </c>
      <c r="C35" s="312"/>
      <c r="D35" s="312"/>
      <c r="E35" s="31" t="str">
        <f>IF(Checklist_FailTechnical,CheckErr,CheckOK)</f>
        <v/>
      </c>
    </row>
    <row r="36" spans="1:6">
      <c r="A36" s="113" t="s">
        <v>410</v>
      </c>
      <c r="B36" s="309" t="s">
        <v>41</v>
      </c>
      <c r="C36" s="310"/>
      <c r="D36" s="310"/>
      <c r="E36" s="31" t="str">
        <f>IF(Checklist_FailTechnical,CheckErr,CheckOK)</f>
        <v/>
      </c>
    </row>
    <row r="39" spans="1:6" ht="21">
      <c r="A39" s="53" t="s">
        <v>89</v>
      </c>
    </row>
    <row r="41" spans="1:6" ht="29.25" customHeight="1">
      <c r="A41" s="301" t="s">
        <v>145</v>
      </c>
      <c r="B41" s="301"/>
      <c r="C41" s="301"/>
      <c r="D41" s="301"/>
      <c r="E41" s="301"/>
      <c r="F41" s="301"/>
    </row>
    <row r="43" spans="1:6">
      <c r="A43" s="98" t="s">
        <v>88</v>
      </c>
      <c r="B43" s="98" t="s">
        <v>87</v>
      </c>
      <c r="C43" s="52" t="s">
        <v>86</v>
      </c>
      <c r="D43" s="98" t="s">
        <v>85</v>
      </c>
      <c r="E43" s="304" t="s">
        <v>84</v>
      </c>
      <c r="F43" s="304"/>
    </row>
    <row r="44" spans="1:6">
      <c r="A44" s="50" t="s">
        <v>83</v>
      </c>
      <c r="B44" s="50" t="s">
        <v>82</v>
      </c>
      <c r="C44" s="51" t="s">
        <v>81</v>
      </c>
      <c r="D44" s="50" t="str">
        <f t="shared" ref="D44:D54" ca="1" si="0">IF(COUNTIF(INDIRECT("'" &amp; B44 &amp; "'!$" &amp; C44 &amp; ":$" &amp; C44),CheckErr)=0,StatusConsistent,StatusInconsistent)</f>
        <v>Inconsistent</v>
      </c>
      <c r="E44" s="300"/>
      <c r="F44" s="300"/>
    </row>
    <row r="45" spans="1:6">
      <c r="A45" s="50" t="s">
        <v>80</v>
      </c>
      <c r="B45" s="50" t="s">
        <v>216</v>
      </c>
      <c r="C45" s="51" t="s">
        <v>79</v>
      </c>
      <c r="D45" s="50" t="e">
        <f ca="1">IF(COUNTIF(INDIRECT("'" &amp; B45 &amp; "'!$" &amp; C45 &amp; ":$" &amp; C45),CheckErr)=0,StatusConsistent,StatusInconsistent)</f>
        <v>#REF!</v>
      </c>
      <c r="E45" s="300"/>
      <c r="F45" s="300"/>
    </row>
    <row r="46" spans="1:6">
      <c r="A46" s="50" t="s">
        <v>80</v>
      </c>
      <c r="B46" s="50" t="s">
        <v>76</v>
      </c>
      <c r="C46" s="51" t="s">
        <v>472</v>
      </c>
      <c r="D46" s="50" t="str">
        <f t="shared" ca="1" si="0"/>
        <v>Consistent</v>
      </c>
      <c r="E46" s="300"/>
      <c r="F46" s="300"/>
    </row>
    <row r="47" spans="1:6">
      <c r="A47" s="50" t="s">
        <v>80</v>
      </c>
      <c r="B47" s="50" t="s">
        <v>174</v>
      </c>
      <c r="C47" s="51" t="s">
        <v>415</v>
      </c>
      <c r="D47" s="50" t="str">
        <f t="shared" ca="1" si="0"/>
        <v>Inconsistent</v>
      </c>
      <c r="E47" s="297"/>
      <c r="F47" s="298"/>
    </row>
    <row r="48" spans="1:6">
      <c r="A48" s="50" t="s">
        <v>78</v>
      </c>
      <c r="B48" s="50" t="s">
        <v>76</v>
      </c>
      <c r="C48" s="51" t="s">
        <v>473</v>
      </c>
      <c r="D48" s="50" t="str">
        <f t="shared" ca="1" si="0"/>
        <v>Consistent</v>
      </c>
      <c r="E48" s="300"/>
      <c r="F48" s="300"/>
    </row>
    <row r="49" spans="1:6" hidden="1">
      <c r="A49" s="50" t="s">
        <v>78</v>
      </c>
      <c r="B49" s="50" t="s">
        <v>77</v>
      </c>
      <c r="C49" s="51" t="s">
        <v>79</v>
      </c>
      <c r="D49" s="50" t="str">
        <f ca="1">IF(COUNTIF(INDIRECT("'" &amp; B49 &amp; "'!$" &amp; C49 &amp; ":$" &amp; C49),CheckErr)=0,StatusConsistent,IF(CaptureEffortData, StatusInconsistent,StatusConsistent))</f>
        <v>Consistent</v>
      </c>
      <c r="E49" s="300"/>
      <c r="F49" s="300"/>
    </row>
    <row r="50" spans="1:6" hidden="1">
      <c r="A50" s="50" t="s">
        <v>78</v>
      </c>
      <c r="B50" s="50" t="s">
        <v>77</v>
      </c>
      <c r="C50" s="51" t="s">
        <v>219</v>
      </c>
      <c r="D50" s="50" t="str">
        <f ca="1">IF(COUNTIF(INDIRECT("'" &amp; B50 &amp; "'!$" &amp; C50 &amp; ":$" &amp; C50),CheckErr)=0,StatusConsistent,IF(CaptureEffortData, StatusInconsistent,StatusConsistent))</f>
        <v>Consistent</v>
      </c>
      <c r="E50" s="300"/>
      <c r="F50" s="300"/>
    </row>
    <row r="51" spans="1:6">
      <c r="A51" s="50" t="s">
        <v>75</v>
      </c>
      <c r="B51" s="50" t="s">
        <v>216</v>
      </c>
      <c r="C51" s="51" t="s">
        <v>73</v>
      </c>
      <c r="D51" s="50" t="e">
        <f ca="1">IF(COUNTIF(INDIRECT("'" &amp; B51 &amp; "'!$" &amp; C51 &amp; ":$" &amp; C51),CheckErr)=0,StatusConsistent,StatusInconsistent)</f>
        <v>#REF!</v>
      </c>
      <c r="E51" s="297"/>
      <c r="F51" s="298"/>
    </row>
    <row r="52" spans="1:6">
      <c r="A52" s="50" t="s">
        <v>75</v>
      </c>
      <c r="B52" s="50" t="s">
        <v>76</v>
      </c>
      <c r="C52" s="51" t="s">
        <v>202</v>
      </c>
      <c r="D52" s="50" t="str">
        <f t="shared" ca="1" si="0"/>
        <v>Consistent</v>
      </c>
      <c r="E52" s="300"/>
      <c r="F52" s="300"/>
    </row>
    <row r="53" spans="1:6">
      <c r="A53" s="50" t="s">
        <v>75</v>
      </c>
      <c r="B53" s="50" t="s">
        <v>174</v>
      </c>
      <c r="C53" s="51" t="s">
        <v>474</v>
      </c>
      <c r="D53" s="50" t="str">
        <f ca="1">IF(COUNTIF(INDIRECT("'" &amp; B53 &amp; "'!$" &amp; C53 &amp; ":$" &amp; C53),CheckErr)=0,StatusConsistent,StatusInconsistent)</f>
        <v>Inconsistent</v>
      </c>
      <c r="E53" s="297"/>
      <c r="F53" s="298"/>
    </row>
    <row r="54" spans="1:6">
      <c r="A54" s="50" t="s">
        <v>75</v>
      </c>
      <c r="B54" s="50" t="s">
        <v>74</v>
      </c>
      <c r="C54" s="51" t="s">
        <v>73</v>
      </c>
      <c r="D54" s="50" t="str">
        <f t="shared" ca="1" si="0"/>
        <v>Inconsistent</v>
      </c>
      <c r="E54" s="300"/>
      <c r="F54" s="300"/>
    </row>
    <row r="56" spans="1:6">
      <c r="A56" s="31" t="s">
        <v>72</v>
      </c>
    </row>
    <row r="57" spans="1:6">
      <c r="B57" s="42" t="s">
        <v>71</v>
      </c>
      <c r="C57" s="301" t="s">
        <v>70</v>
      </c>
      <c r="D57" s="301"/>
      <c r="E57" s="301"/>
      <c r="F57" s="301"/>
    </row>
    <row r="58" spans="1:6">
      <c r="B58" s="49" t="s">
        <v>69</v>
      </c>
      <c r="C58" s="301" t="s">
        <v>68</v>
      </c>
      <c r="D58" s="301"/>
      <c r="E58" s="301"/>
      <c r="F58" s="301"/>
    </row>
    <row r="59" spans="1:6">
      <c r="A59" s="47"/>
      <c r="B59" s="47"/>
      <c r="C59" s="47"/>
      <c r="D59" s="47"/>
      <c r="E59" s="45"/>
      <c r="F59" s="45"/>
    </row>
    <row r="60" spans="1:6">
      <c r="A60" s="47"/>
      <c r="B60" s="47"/>
      <c r="C60" s="47"/>
      <c r="D60" s="47"/>
      <c r="E60" s="45"/>
      <c r="F60" s="45"/>
    </row>
    <row r="61" spans="1:6" hidden="1">
      <c r="A61" s="215" t="s">
        <v>605</v>
      </c>
      <c r="B61" s="216" t="s">
        <v>606</v>
      </c>
      <c r="C61" s="216"/>
      <c r="D61" s="216"/>
      <c r="E61" s="217"/>
      <c r="F61" s="218"/>
    </row>
    <row r="62" spans="1:6" hidden="1">
      <c r="A62" s="47"/>
      <c r="B62" s="47"/>
      <c r="C62" s="47"/>
      <c r="D62" s="47"/>
      <c r="E62" s="45"/>
      <c r="F62" s="45"/>
    </row>
    <row r="63" spans="1:6" hidden="1">
      <c r="A63" s="48" t="s">
        <v>67</v>
      </c>
      <c r="B63" s="47"/>
      <c r="C63" s="47"/>
      <c r="D63" s="47"/>
      <c r="E63" s="45"/>
      <c r="F63" s="46" t="str">
        <f>""</f>
        <v/>
      </c>
    </row>
    <row r="64" spans="1:6" hidden="1">
      <c r="E64" s="47"/>
    </row>
    <row r="65" spans="1:6" hidden="1">
      <c r="A65" s="302" t="s">
        <v>66</v>
      </c>
      <c r="B65" s="302"/>
      <c r="C65" s="302"/>
      <c r="D65" s="302"/>
      <c r="E65" s="133"/>
      <c r="F65" s="44" t="s">
        <v>65</v>
      </c>
    </row>
    <row r="66" spans="1:6" hidden="1"/>
    <row r="67" spans="1:6" hidden="1">
      <c r="A67" s="31" t="s">
        <v>64</v>
      </c>
      <c r="E67" s="303"/>
      <c r="F67" s="303"/>
    </row>
    <row r="68" spans="1:6" hidden="1"/>
    <row r="69" spans="1:6" hidden="1">
      <c r="A69" s="31" t="s">
        <v>63</v>
      </c>
    </row>
    <row r="70" spans="1:6" hidden="1"/>
    <row r="71" spans="1:6" hidden="1">
      <c r="A71" s="98" t="s">
        <v>62</v>
      </c>
      <c r="B71" s="304" t="s">
        <v>61</v>
      </c>
      <c r="C71" s="304"/>
    </row>
    <row r="72" spans="1:6" hidden="1">
      <c r="A72" s="99" t="s">
        <v>60</v>
      </c>
      <c r="B72" s="296" t="s">
        <v>41</v>
      </c>
      <c r="C72" s="296"/>
    </row>
    <row r="73" spans="1:6" hidden="1">
      <c r="A73" s="99" t="s">
        <v>59</v>
      </c>
      <c r="B73" s="296" t="s">
        <v>218</v>
      </c>
      <c r="C73" s="296"/>
    </row>
    <row r="74" spans="1:6" hidden="1">
      <c r="A74" s="299" t="s">
        <v>58</v>
      </c>
      <c r="B74" s="299"/>
      <c r="C74" s="299"/>
    </row>
    <row r="75" spans="1:6" hidden="1"/>
    <row r="76" spans="1:6" hidden="1">
      <c r="A76" s="31" t="s">
        <v>215</v>
      </c>
      <c r="B76" s="31" t="b">
        <v>0</v>
      </c>
    </row>
    <row r="77" spans="1:6" hidden="1">
      <c r="A77" s="31" t="s">
        <v>333</v>
      </c>
      <c r="B77" s="31" t="b">
        <v>0</v>
      </c>
    </row>
    <row r="78" spans="1:6" hidden="1"/>
  </sheetData>
  <mergeCells count="34">
    <mergeCell ref="B32:D32"/>
    <mergeCell ref="B33:D33"/>
    <mergeCell ref="B35:D35"/>
    <mergeCell ref="B36:D36"/>
    <mergeCell ref="A41:F41"/>
    <mergeCell ref="B28:D28"/>
    <mergeCell ref="B18:C18"/>
    <mergeCell ref="B30:D30"/>
    <mergeCell ref="B3:D3"/>
    <mergeCell ref="B26:D26"/>
    <mergeCell ref="B25:D25"/>
    <mergeCell ref="B29:D29"/>
    <mergeCell ref="B16:C16"/>
    <mergeCell ref="B17:C17"/>
    <mergeCell ref="E43:F43"/>
    <mergeCell ref="E44:F44"/>
    <mergeCell ref="E46:F46"/>
    <mergeCell ref="E45:F45"/>
    <mergeCell ref="E48:F48"/>
    <mergeCell ref="E47:F47"/>
    <mergeCell ref="E49:F49"/>
    <mergeCell ref="E50:F50"/>
    <mergeCell ref="E52:F52"/>
    <mergeCell ref="B71:C71"/>
    <mergeCell ref="B72:C72"/>
    <mergeCell ref="B73:C73"/>
    <mergeCell ref="E53:F53"/>
    <mergeCell ref="E51:F51"/>
    <mergeCell ref="A74:C74"/>
    <mergeCell ref="E54:F54"/>
    <mergeCell ref="C57:F57"/>
    <mergeCell ref="C58:F58"/>
    <mergeCell ref="A65:D65"/>
    <mergeCell ref="E67:F67"/>
  </mergeCells>
  <conditionalFormatting sqref="E1:E38">
    <cfRule type="cellIs" dxfId="2" priority="7" stopIfTrue="1" operator="equal">
      <formula>CheckErr</formula>
    </cfRule>
  </conditionalFormatting>
  <conditionalFormatting sqref="D44:D54">
    <cfRule type="expression" dxfId="1" priority="4" stopIfTrue="1">
      <formula>D44=StatusInconsistent</formula>
    </cfRule>
  </conditionalFormatting>
  <conditionalFormatting sqref="B25:D38">
    <cfRule type="expression" dxfId="0"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9.xml><?xml version="1.0" encoding="utf-8"?>
<worksheet xmlns="http://schemas.openxmlformats.org/spreadsheetml/2006/main" xmlns:r="http://schemas.openxmlformats.org/officeDocument/2006/relationships">
  <sheetPr codeName="Sheet1"/>
  <dimension ref="A1:F38"/>
  <sheetViews>
    <sheetView workbookViewId="0">
      <selection activeCell="G18" sqref="G18"/>
    </sheetView>
  </sheetViews>
  <sheetFormatPr defaultRowHeight="13.5"/>
  <cols>
    <col min="1" max="1" width="23.375" customWidth="1"/>
    <col min="2" max="2" width="15.625" customWidth="1"/>
    <col min="3" max="3" width="17" customWidth="1"/>
    <col min="4" max="4" width="23.375" customWidth="1"/>
  </cols>
  <sheetData>
    <row r="1" spans="1:6" ht="64.5" customHeight="1">
      <c r="A1" s="9"/>
      <c r="B1" s="9"/>
      <c r="C1" s="9"/>
      <c r="D1" s="9"/>
      <c r="E1" s="9"/>
      <c r="F1" s="9"/>
    </row>
    <row r="2" spans="1:6" ht="57.75" customHeight="1" thickBot="1">
      <c r="A2" s="9"/>
      <c r="B2" s="9"/>
      <c r="C2" s="9"/>
      <c r="D2" s="9"/>
      <c r="E2" s="9"/>
      <c r="F2" s="9"/>
    </row>
    <row r="3" spans="1:6" ht="14.25" thickTop="1">
      <c r="A3" s="9"/>
      <c r="B3" s="10"/>
      <c r="C3" s="10"/>
      <c r="D3" s="10"/>
      <c r="E3" s="9"/>
      <c r="F3" s="9"/>
    </row>
    <row r="4" spans="1:6" ht="24">
      <c r="A4" s="11"/>
      <c r="B4" s="12" t="s">
        <v>593</v>
      </c>
      <c r="C4" s="12"/>
      <c r="D4" s="12"/>
      <c r="E4" s="11"/>
      <c r="F4" s="11"/>
    </row>
    <row r="5" spans="1:6" ht="63.75" customHeight="1">
      <c r="A5" s="11"/>
      <c r="B5" s="316" t="s">
        <v>172</v>
      </c>
      <c r="C5" s="317"/>
      <c r="D5" s="317"/>
      <c r="E5" s="11"/>
      <c r="F5" s="11"/>
    </row>
    <row r="6" spans="1:6" ht="24">
      <c r="A6" s="11"/>
      <c r="B6" s="13"/>
      <c r="C6" s="11"/>
      <c r="D6" s="11"/>
      <c r="E6" s="11"/>
      <c r="F6" s="11"/>
    </row>
    <row r="7" spans="1:6">
      <c r="A7" s="9"/>
      <c r="B7" s="9"/>
      <c r="C7" s="14"/>
      <c r="D7" s="15"/>
      <c r="E7" s="9"/>
      <c r="F7" s="9"/>
    </row>
    <row r="8" spans="1:6">
      <c r="A8" s="9"/>
      <c r="B8" s="9"/>
      <c r="C8" s="9"/>
      <c r="D8" s="9"/>
      <c r="E8" s="9"/>
      <c r="F8" s="9"/>
    </row>
    <row r="9" spans="1:6">
      <c r="A9" s="9"/>
      <c r="B9" s="9"/>
      <c r="C9" s="9"/>
      <c r="D9" s="9"/>
      <c r="E9" s="9"/>
      <c r="F9" s="9"/>
    </row>
    <row r="10" spans="1:6">
      <c r="A10" s="9"/>
      <c r="B10" s="9"/>
      <c r="C10" s="9"/>
      <c r="D10" s="9"/>
      <c r="E10" s="9"/>
      <c r="F10" s="9"/>
    </row>
    <row r="11" spans="1:6">
      <c r="A11" s="9"/>
      <c r="B11" s="9"/>
      <c r="C11" s="9"/>
      <c r="D11" s="9"/>
      <c r="E11" s="9"/>
      <c r="F11" s="9"/>
    </row>
    <row r="12" spans="1:6">
      <c r="A12" s="9"/>
      <c r="B12" s="9"/>
      <c r="C12" s="9"/>
      <c r="D12" s="9"/>
      <c r="E12" s="9"/>
      <c r="F12" s="9"/>
    </row>
    <row r="13" spans="1:6">
      <c r="A13" s="9"/>
      <c r="B13" s="9" t="s">
        <v>13</v>
      </c>
      <c r="C13" s="107" t="s">
        <v>594</v>
      </c>
      <c r="D13" s="9"/>
      <c r="E13" s="9"/>
      <c r="F13" s="9"/>
    </row>
    <row r="14" spans="1:6">
      <c r="A14" s="9"/>
      <c r="B14" s="9" t="s">
        <v>5</v>
      </c>
      <c r="C14" s="196" t="s">
        <v>595</v>
      </c>
      <c r="D14" s="9"/>
      <c r="E14" s="9"/>
      <c r="F14" s="9"/>
    </row>
    <row r="15" spans="1:6">
      <c r="A15" s="9"/>
      <c r="B15" s="9" t="s">
        <v>6</v>
      </c>
      <c r="C15" s="107" t="s">
        <v>555</v>
      </c>
      <c r="D15" s="9"/>
      <c r="E15" s="9"/>
      <c r="F15" s="9"/>
    </row>
    <row r="16" spans="1:6">
      <c r="A16" s="9"/>
      <c r="B16" s="16" t="s">
        <v>7</v>
      </c>
      <c r="C16" s="212">
        <v>41221</v>
      </c>
      <c r="D16" s="9"/>
      <c r="E16" s="9"/>
      <c r="F16" s="9"/>
    </row>
    <row r="17" spans="1:6">
      <c r="A17" s="9"/>
      <c r="B17" s="9" t="s">
        <v>8</v>
      </c>
      <c r="C17" s="9" t="s">
        <v>3</v>
      </c>
      <c r="D17" s="9"/>
      <c r="E17" s="9"/>
      <c r="F17" s="9"/>
    </row>
    <row r="18" spans="1:6">
      <c r="A18" s="9"/>
      <c r="B18" s="9"/>
      <c r="C18" s="9"/>
      <c r="D18" s="9"/>
      <c r="E18" s="9"/>
      <c r="F18" s="9"/>
    </row>
    <row r="19" spans="1:6">
      <c r="A19" s="9"/>
      <c r="B19" s="17" t="s">
        <v>9</v>
      </c>
      <c r="C19" s="107" t="s">
        <v>596</v>
      </c>
      <c r="D19" s="9"/>
      <c r="E19" s="9"/>
      <c r="F19" s="9"/>
    </row>
    <row r="20" spans="1:6">
      <c r="A20" s="9"/>
      <c r="B20" s="9"/>
      <c r="C20" s="9"/>
      <c r="D20" s="9"/>
      <c r="E20" s="9"/>
      <c r="F20" s="9"/>
    </row>
    <row r="21" spans="1:6">
      <c r="A21" s="9"/>
      <c r="B21" s="9"/>
      <c r="C21" s="9"/>
      <c r="D21" s="9"/>
      <c r="E21" s="9"/>
      <c r="F21" s="9"/>
    </row>
    <row r="22" spans="1:6">
      <c r="A22" s="9"/>
      <c r="B22" s="9"/>
      <c r="C22" s="9"/>
      <c r="D22" s="9"/>
      <c r="E22" s="9"/>
      <c r="F22" s="9"/>
    </row>
    <row r="23" spans="1:6">
      <c r="A23" s="9"/>
      <c r="B23" s="9"/>
      <c r="C23" s="9"/>
      <c r="D23" s="9"/>
      <c r="E23" s="9"/>
      <c r="F23" s="9"/>
    </row>
    <row r="24" spans="1:6">
      <c r="A24" s="9"/>
      <c r="B24" s="17" t="s">
        <v>10</v>
      </c>
      <c r="C24" s="107" t="s">
        <v>619</v>
      </c>
      <c r="D24" s="9"/>
      <c r="E24" s="9"/>
      <c r="F24" s="9"/>
    </row>
    <row r="25" spans="1:6">
      <c r="A25" s="9"/>
      <c r="B25" s="9"/>
      <c r="C25" s="9"/>
      <c r="D25" s="9"/>
      <c r="E25" s="9"/>
      <c r="F25" s="9"/>
    </row>
    <row r="26" spans="1:6">
      <c r="A26" s="9"/>
      <c r="B26" s="9"/>
      <c r="C26" s="9"/>
      <c r="D26" s="9"/>
      <c r="E26" s="9"/>
      <c r="F26" s="9"/>
    </row>
    <row r="27" spans="1:6">
      <c r="A27" s="9"/>
      <c r="B27" s="9"/>
      <c r="C27" s="9"/>
      <c r="D27" s="9"/>
      <c r="E27" s="9"/>
      <c r="F27" s="9"/>
    </row>
    <row r="28" spans="1:6">
      <c r="A28" s="9"/>
      <c r="B28" s="9"/>
      <c r="C28" s="9"/>
      <c r="D28" s="9"/>
      <c r="E28" s="9"/>
      <c r="F28" s="9"/>
    </row>
    <row r="29" spans="1:6">
      <c r="A29" s="9"/>
      <c r="B29" s="9"/>
      <c r="C29" s="9"/>
      <c r="D29" s="9"/>
      <c r="E29" s="9"/>
      <c r="F29" s="9"/>
    </row>
    <row r="30" spans="1:6">
      <c r="A30" s="9"/>
      <c r="B30" s="18"/>
      <c r="C30" s="9"/>
      <c r="D30" s="9"/>
      <c r="E30" s="9"/>
      <c r="F30" s="9"/>
    </row>
    <row r="31" spans="1:6">
      <c r="A31" s="9"/>
      <c r="B31" s="17" t="s">
        <v>11</v>
      </c>
      <c r="C31" s="9"/>
      <c r="D31" s="9"/>
      <c r="E31" s="9"/>
      <c r="F31" s="9"/>
    </row>
    <row r="32" spans="1:6">
      <c r="A32" s="9"/>
      <c r="B32" s="9"/>
      <c r="C32" s="9"/>
      <c r="D32" s="9"/>
      <c r="E32" s="9"/>
      <c r="F32" s="9"/>
    </row>
    <row r="33" spans="1:6">
      <c r="A33" s="9"/>
      <c r="B33" s="19"/>
      <c r="C33" s="19"/>
      <c r="D33" s="19" t="s">
        <v>597</v>
      </c>
      <c r="E33" s="9"/>
      <c r="F33" s="9"/>
    </row>
    <row r="34" spans="1:6">
      <c r="A34" s="9"/>
      <c r="B34" s="9"/>
      <c r="C34" s="9"/>
      <c r="D34" s="9" t="s">
        <v>12</v>
      </c>
      <c r="E34" s="9"/>
      <c r="F34" s="9"/>
    </row>
    <row r="35" spans="1:6">
      <c r="A35" s="9"/>
      <c r="B35" s="20"/>
      <c r="C35" s="9"/>
      <c r="D35" s="9"/>
      <c r="E35" s="9"/>
      <c r="F35" s="9"/>
    </row>
    <row r="36" spans="1:6">
      <c r="A36" s="9"/>
      <c r="B36" s="9"/>
      <c r="C36" s="9"/>
      <c r="D36" s="9"/>
      <c r="E36" s="9"/>
      <c r="F36" s="9"/>
    </row>
    <row r="37" spans="1:6">
      <c r="A37" s="19"/>
      <c r="B37" s="9"/>
      <c r="C37" s="9"/>
      <c r="D37" s="9"/>
      <c r="E37" s="19"/>
      <c r="F37" s="19"/>
    </row>
    <row r="38" spans="1:6">
      <c r="A38" s="9"/>
      <c r="B38" s="20"/>
      <c r="C38" s="9"/>
      <c r="D38" s="9"/>
      <c r="E38" s="9"/>
      <c r="F38" s="9"/>
    </row>
  </sheetData>
  <mergeCells count="1">
    <mergeCell ref="B5:D5"/>
  </mergeCells>
  <dataValidations count="2">
    <dataValidation type="list" allowBlank="1" showInputMessage="1" showErrorMessage="1" sqref="C17">
      <formula1>"Commercial In Confidence, Company Confidential"</formula1>
    </dataValidation>
    <dataValidation type="list" allowBlank="1" showInputMessage="1" showErrorMessage="1" sqref="C15">
      <formula1>"Draft, Provisional, Definitive"</formula1>
    </dataValidation>
  </dataValidations>
  <pageMargins left="0.70866141732283472" right="0.70866141732283472" top="0.74803149606299213" bottom="0.74803149606299213" header="0.31496062992125984" footer="0.31496062992125984"/>
  <pageSetup paperSize="9" orientation="portrait" r:id="rId1"/>
  <headerFooter>
    <oddFooter>&amp;L&amp;"Franklin Gothic Demi,Regular"&amp;9Commercial In Confidence</oddFooter>
  </headerFooter>
  <drawing r:id="rId2"/>
  <legacyDrawing r:id="rId3"/>
</worksheet>
</file>

<file path=xl/worksheets/sheet10.xml><?xml version="1.0" encoding="utf-8"?>
<worksheet xmlns="http://schemas.openxmlformats.org/spreadsheetml/2006/main" xmlns:r="http://schemas.openxmlformats.org/officeDocument/2006/relationships">
  <sheetPr codeName="Sheet7">
    <tabColor theme="0" tint="-0.499984740745262"/>
  </sheetPr>
  <dimension ref="A1:E26"/>
  <sheetViews>
    <sheetView workbookViewId="0">
      <selection activeCell="A14" sqref="A14"/>
    </sheetView>
  </sheetViews>
  <sheetFormatPr defaultRowHeight="13.5"/>
  <cols>
    <col min="1" max="1" width="28.125" style="3" customWidth="1"/>
    <col min="2" max="2" width="54" style="3" customWidth="1"/>
    <col min="3" max="3" width="6.25" style="3" customWidth="1"/>
    <col min="4" max="4" width="7.25" style="3" customWidth="1"/>
    <col min="5" max="5" width="68.25" style="3" customWidth="1"/>
    <col min="6" max="6" width="6.25" style="3" customWidth="1"/>
    <col min="7" max="16384" width="9" style="3"/>
  </cols>
  <sheetData>
    <row r="1" spans="1:5" s="5" customFormat="1" ht="21">
      <c r="A1" s="4" t="s">
        <v>1</v>
      </c>
    </row>
    <row r="2" spans="1:5" s="1" customFormat="1">
      <c r="A2" s="5"/>
    </row>
    <row r="3" spans="1:5" s="1" customFormat="1">
      <c r="A3" s="6" t="s">
        <v>0</v>
      </c>
    </row>
    <row r="4" spans="1:5" s="1" customFormat="1">
      <c r="A4" s="6" t="s">
        <v>4</v>
      </c>
    </row>
    <row r="5" spans="1:5" s="2" customFormat="1">
      <c r="A5" s="7"/>
      <c r="B5" s="21"/>
    </row>
    <row r="6" spans="1:5" ht="19.5">
      <c r="A6" s="8" t="s">
        <v>2</v>
      </c>
      <c r="B6" s="22"/>
    </row>
    <row r="7" spans="1:5" s="2" customFormat="1">
      <c r="B7" s="21"/>
    </row>
    <row r="8" spans="1:5" s="2" customFormat="1">
      <c r="A8" s="1" t="s">
        <v>582</v>
      </c>
      <c r="B8" s="2" t="s">
        <v>583</v>
      </c>
    </row>
    <row r="9" spans="1:5">
      <c r="A9" s="108" t="s">
        <v>584</v>
      </c>
      <c r="B9" s="132" t="s">
        <v>585</v>
      </c>
      <c r="C9" s="7"/>
      <c r="D9" s="7"/>
      <c r="E9" s="7"/>
    </row>
    <row r="10" spans="1:5">
      <c r="A10" s="108" t="s">
        <v>586</v>
      </c>
      <c r="B10" s="132" t="s">
        <v>587</v>
      </c>
      <c r="C10" s="7"/>
      <c r="D10" s="7"/>
      <c r="E10" s="7"/>
    </row>
    <row r="11" spans="1:5" ht="27">
      <c r="A11" s="132" t="s">
        <v>588</v>
      </c>
      <c r="B11" s="132" t="s">
        <v>589</v>
      </c>
      <c r="C11" s="7"/>
      <c r="D11" s="7"/>
      <c r="E11" s="7"/>
    </row>
    <row r="12" spans="1:5" ht="27">
      <c r="A12" s="3" t="s">
        <v>590</v>
      </c>
      <c r="B12" s="132" t="s">
        <v>591</v>
      </c>
    </row>
    <row r="13" spans="1:5">
      <c r="A13" s="132" t="s">
        <v>622</v>
      </c>
      <c r="B13" s="132" t="s">
        <v>592</v>
      </c>
    </row>
    <row r="15" spans="1:5">
      <c r="A15" s="7"/>
    </row>
    <row r="16" spans="1:5" ht="19.5">
      <c r="A16" s="8" t="s">
        <v>426</v>
      </c>
      <c r="B16" s="7"/>
    </row>
    <row r="17" spans="1:2">
      <c r="A17" s="7"/>
    </row>
    <row r="18" spans="1:2">
      <c r="A18" s="132" t="s">
        <v>414</v>
      </c>
    </row>
    <row r="19" spans="1:2">
      <c r="A19" s="7"/>
    </row>
    <row r="20" spans="1:2" ht="19.5">
      <c r="A20" s="8" t="s">
        <v>427</v>
      </c>
      <c r="B20" s="7"/>
    </row>
    <row r="21" spans="1:2">
      <c r="A21" s="7"/>
    </row>
    <row r="22" spans="1:2">
      <c r="A22" s="3" t="s">
        <v>414</v>
      </c>
    </row>
    <row r="25" spans="1:2">
      <c r="A25" s="318"/>
      <c r="B25" s="317"/>
    </row>
    <row r="26" spans="1:2">
      <c r="A26" s="319"/>
      <c r="B26" s="320"/>
    </row>
  </sheetData>
  <customSheetViews>
    <customSheetView guid="{BE287C18-2555-4F9D-9444-78E80943430A}">
      <pageMargins left="0.74803149606299213" right="0.74803149606299213" top="0.98425196850393704" bottom="0.98425196850393704" header="0.51181102362204722" footer="0.51181102362204722"/>
      <pageSetup paperSize="9" fitToWidth="0" fitToHeight="0" orientation="portrait" r:id="rId1"/>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 guid="{745ADDF4-F7DF-4086-807E-540752E7B485}">
      <pageMargins left="0.74803149606299213" right="0.74803149606299213" top="0.98425196850393704" bottom="0.98425196850393704" header="0.51181102362204722" footer="0.51181102362204722"/>
      <pageSetup paperSize="9" fitToWidth="0" fitToHeight="0" orientation="portrait" r:id="rId2"/>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s>
  <mergeCells count="2">
    <mergeCell ref="A25:B25"/>
    <mergeCell ref="A26:B26"/>
  </mergeCells>
  <phoneticPr fontId="0" type="noConversion"/>
  <pageMargins left="0.74803149606299213" right="0.74803149606299213" top="0.98425196850393704" bottom="0.98425196850393704" header="0.51181102362204722" footer="0.51181102362204722"/>
  <pageSetup paperSize="9" fitToWidth="0" fitToHeight="0" orientation="portrait" r:id="rId3"/>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11.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4" customFormat="1">
      <c r="A1" s="24" t="s">
        <v>16</v>
      </c>
      <c r="B1" s="24" t="s">
        <v>17</v>
      </c>
    </row>
    <row r="2" spans="1:2">
      <c r="A2" s="23" t="s">
        <v>14</v>
      </c>
      <c r="B2" t="str">
        <f>DocSet</f>
        <v>Implement Foundation Behaviours</v>
      </c>
    </row>
    <row r="3" spans="1:2">
      <c r="A3" s="23" t="s">
        <v>15</v>
      </c>
      <c r="B3" t="str">
        <f>DocTitle</f>
        <v>RRR Template</v>
      </c>
    </row>
    <row r="4" spans="1:2">
      <c r="A4" s="23" t="s">
        <v>18</v>
      </c>
      <c r="B4" t="str">
        <f>DocRef</f>
        <v>S.Q1200.50.2</v>
      </c>
    </row>
    <row r="5" spans="1:2">
      <c r="A5" s="23" t="s">
        <v>19</v>
      </c>
      <c r="B5" t="str">
        <f>DocIssue</f>
        <v>1.1</v>
      </c>
    </row>
    <row r="6" spans="1:2">
      <c r="A6" s="23" t="s">
        <v>20</v>
      </c>
      <c r="B6" s="126">
        <f>DocDate</f>
        <v>41221</v>
      </c>
    </row>
    <row r="7" spans="1:2">
      <c r="A7" s="23" t="s">
        <v>22</v>
      </c>
      <c r="B7" s="23" t="str">
        <f>DocAuthor</f>
        <v>Andrew Hawthorn (SEPG Representative)</v>
      </c>
    </row>
    <row r="8" spans="1:2">
      <c r="A8" s="23" t="s">
        <v>21</v>
      </c>
      <c r="B8" t="str">
        <f>DocApprover</f>
        <v>David Jackson (E&amp;CS)</v>
      </c>
    </row>
    <row r="9" spans="1:2">
      <c r="A9" s="110" t="str">
        <f>SUBSTITUTE("RRR_"&amp;'Calling Notice'!A3," ","_")</f>
        <v>RRR_Item_Title</v>
      </c>
      <c r="B9" t="str">
        <f>'Calling Notice'!B3</f>
        <v>&lt;Title&gt;</v>
      </c>
    </row>
    <row r="10" spans="1:2">
      <c r="A10" s="110" t="str">
        <f>SUBSTITUTE("RRR_"&amp;'Calling Notice'!A4," ","_")</f>
        <v>RRR_Item_Reference</v>
      </c>
      <c r="B10" t="str">
        <f>'Calling Notice'!B4</f>
        <v>&lt;S.Pnnnn.nn.n&gt; or &lt;CM System path&gt;</v>
      </c>
    </row>
    <row r="11" spans="1:2">
      <c r="A11" s="110" t="str">
        <f>SUBSTITUTE("RRR_"&amp;'Calling Notice'!A5," ","_")</f>
        <v>RRR_Item_Issue/Revision</v>
      </c>
      <c r="B11" t="str">
        <f>'Calling Notice'!B5</f>
        <v>&lt;Issue n.n&gt; or &lt;CM System revision number&gt;</v>
      </c>
    </row>
    <row r="12" spans="1:2">
      <c r="A12" s="110" t="str">
        <f>SUBSTITUTE("RRR_"&amp;'Calling Notice'!A6," ","_")</f>
        <v>RRR_Item_Status</v>
      </c>
      <c r="B12" t="str">
        <f>'Calling Notice'!B6</f>
        <v>&lt;Status&gt;</v>
      </c>
    </row>
    <row r="13" spans="1:2">
      <c r="A13" s="110" t="str">
        <f>SUBSTITUTE("RRR_"&amp;'Calling Notice'!A7," ","_")</f>
        <v>RRR_Item_Date</v>
      </c>
      <c r="B13" t="str">
        <f>'Calling Notice'!B7</f>
        <v>dd MMMM yyyy</v>
      </c>
    </row>
    <row r="14" spans="1:2">
      <c r="A14" s="110" t="str">
        <f>SUBSTITUTE("RRR_"&amp;'Calling Notice'!A8," ","_")</f>
        <v>RRR_Item_Author</v>
      </c>
      <c r="B14" t="str">
        <f>'Calling Notice'!B8</f>
        <v>&lt;Author&gt;</v>
      </c>
    </row>
    <row r="15" spans="1:2">
      <c r="A15" s="110" t="str">
        <f>SUBSTITUTE("RRR_"&amp;'Calling Notice'!A9," ","_")</f>
        <v>RRR_Item_Size_(Added)</v>
      </c>
      <c r="B15" t="str">
        <f>'Calling Notice'!B9</f>
        <v>&lt;Item Size&gt;</v>
      </c>
    </row>
    <row r="16" spans="1:2">
      <c r="A16" s="110" t="str">
        <f>SUBSTITUTE("RRR_"&amp;'Calling Notice'!A10," ","_")</f>
        <v>RRR_Item_Size_(Modified)</v>
      </c>
      <c r="B16" t="str">
        <f>'Calling Notice'!B10</f>
        <v>&lt;Item Size&gt;</v>
      </c>
    </row>
    <row r="17" spans="1:2">
      <c r="A17" s="110" t="str">
        <f>SUBSTITUTE("RRR_"&amp;'Calling Notice'!A11," ","_")</f>
        <v>RRR_Item_Size_(Deleted)</v>
      </c>
      <c r="B17" t="str">
        <f>'Calling Notice'!B11</f>
        <v>&lt;Item Size&gt;</v>
      </c>
    </row>
    <row r="18" spans="1:2">
      <c r="A18" s="110" t="str">
        <f>SUBSTITUTE("RRR_"&amp;'Calling Notice'!A12," ","_")</f>
        <v>RRR_Item_Size_Units</v>
      </c>
      <c r="B18" t="str">
        <f>'Calling Notice'!B12</f>
        <v>&lt;Item Size Units&gt;</v>
      </c>
    </row>
    <row r="19" spans="1:2">
      <c r="A19" s="110" t="str">
        <f>SUBSTITUTE("RRR_"&amp;'Calling Notice'!A13," ","_")</f>
        <v>RRR_File_List_Used</v>
      </c>
      <c r="B19" t="str">
        <f>'Calling Notice'!B13</f>
        <v>NO</v>
      </c>
    </row>
    <row r="20" spans="1:2">
      <c r="A20" s="110" t="str">
        <f>SUBSTITUTE("RRR_"&amp;'Calling Notice'!A17," ","_")</f>
        <v>RRR_Date_Review_Issued</v>
      </c>
      <c r="B20" t="str">
        <f>'Calling Notice'!B17</f>
        <v>dd MMMM yyyy</v>
      </c>
    </row>
    <row r="21" spans="1:2">
      <c r="A21" s="110" t="str">
        <f>SUBSTITUTE("RRR_"&amp;'Calling Notice'!A18," ","_")</f>
        <v>RRR_Type_of_Review</v>
      </c>
      <c r="B21" t="str">
        <f>'Calling Notice'!B18</f>
        <v>Offline Review (by Individual Reviewers)</v>
      </c>
    </row>
    <row r="22" spans="1:2">
      <c r="A22" s="110" t="str">
        <f>SUBSTITUTE("RRR_"&amp;'Calling Notice'!A19," ","_")</f>
        <v>RRR_Comments_Required_By</v>
      </c>
      <c r="B22" t="str">
        <f>'Calling Notice'!B19</f>
        <v>dd MMMM yyyy hh:mm</v>
      </c>
    </row>
    <row r="23" spans="1:2">
      <c r="A23" s="110" t="str">
        <f>SUBSTITUTE("RRR_"&amp;'Calling Notice'!A22," ","_")</f>
        <v>RRR_Book_Review_Time_To_WBS</v>
      </c>
      <c r="B23" t="str">
        <f>'Calling Notice'!B22</f>
        <v>&lt;WBS e.g. TnnnnR&gt;</v>
      </c>
    </row>
    <row r="24" spans="1:2">
      <c r="A24" s="110" t="str">
        <f>SUBSTITUTE("RRR_"&amp;'Calling Notice'!A23," ","_")</f>
        <v>RRR_Moderator</v>
      </c>
      <c r="B24" t="str">
        <f>'Calling Notice'!B23</f>
        <v>&lt;Name of Moderator&gt;</v>
      </c>
    </row>
    <row r="25" spans="1:2">
      <c r="A25" s="110" t="s">
        <v>187</v>
      </c>
      <c r="B25" t="str">
        <f>'Calling Notice'!B24</f>
        <v>&lt;Item Approver(s) - should always be invited to review even if the Moderator role is delegated&gt;</v>
      </c>
    </row>
    <row r="26" spans="1:2">
      <c r="A26" s="110" t="s">
        <v>188</v>
      </c>
      <c r="B26" t="str">
        <f>'Calling Notice'!B25</f>
        <v>&lt;Name of Reviewer and Role&gt;</v>
      </c>
    </row>
    <row r="27" spans="1:2">
      <c r="A27" s="110" t="s">
        <v>189</v>
      </c>
      <c r="B27" t="str">
        <f>'Calling Notice'!B26</f>
        <v>&lt;Name of Reviewer and Role&gt;</v>
      </c>
    </row>
    <row r="28" spans="1:2">
      <c r="A28" s="110" t="s">
        <v>190</v>
      </c>
      <c r="B28" t="str">
        <f>'Calling Notice'!B27</f>
        <v>A.N.Other (Checklist)</v>
      </c>
    </row>
    <row r="29" spans="1:2">
      <c r="A29" s="110" t="s">
        <v>191</v>
      </c>
      <c r="B29" t="str">
        <f>'Calling Notice'!B28</f>
        <v>A.N.Other (Typos, grammar, spelling, formatting etc.)</v>
      </c>
    </row>
    <row r="30" spans="1:2">
      <c r="A30" s="110" t="s">
        <v>192</v>
      </c>
      <c r="B30">
        <f>'Calling Notice'!B29</f>
        <v>0</v>
      </c>
    </row>
    <row r="31" spans="1:2">
      <c r="A31" s="110" t="s">
        <v>193</v>
      </c>
      <c r="B31" t="str">
        <f>StandardNo1</f>
        <v>Document Review Entry Checks (Review Procedure)</v>
      </c>
    </row>
    <row r="32" spans="1:2">
      <c r="A32" s="110" t="s">
        <v>194</v>
      </c>
      <c r="B32">
        <f>StandardNo2</f>
        <v>0</v>
      </c>
    </row>
    <row r="33" spans="1:2">
      <c r="A33" s="110" t="s">
        <v>372</v>
      </c>
      <c r="B33">
        <f>StandardNo3</f>
        <v>0</v>
      </c>
    </row>
    <row r="34" spans="1:2">
      <c r="A34" s="110" t="s">
        <v>373</v>
      </c>
      <c r="B34">
        <f>StandardNo4</f>
        <v>0</v>
      </c>
    </row>
    <row r="35" spans="1:2">
      <c r="A35" s="110" t="s">
        <v>374</v>
      </c>
      <c r="B35">
        <f>StandardNo5</f>
        <v>0</v>
      </c>
    </row>
    <row r="36" spans="1:2">
      <c r="A36" s="110" t="s">
        <v>375</v>
      </c>
      <c r="B36">
        <f>StandardNo6</f>
        <v>0</v>
      </c>
    </row>
    <row r="37" spans="1:2">
      <c r="A37" s="110" t="s">
        <v>376</v>
      </c>
      <c r="B37">
        <f>StandardNo7</f>
        <v>0</v>
      </c>
    </row>
    <row r="38" spans="1:2">
      <c r="A38" s="110" t="s">
        <v>377</v>
      </c>
      <c r="B38">
        <f>StandardNo8</f>
        <v>0</v>
      </c>
    </row>
    <row r="39" spans="1:2">
      <c r="A39" s="110" t="s">
        <v>378</v>
      </c>
      <c r="B39">
        <f>StandardNo9</f>
        <v>0</v>
      </c>
    </row>
    <row r="40" spans="1:2">
      <c r="A40" s="110" t="s">
        <v>397</v>
      </c>
      <c r="B40">
        <f>Checklist_Total</f>
        <v>11</v>
      </c>
    </row>
    <row r="41" spans="1:2">
      <c r="A41" s="110" t="s">
        <v>195</v>
      </c>
      <c r="B41">
        <f>Checklist_ToGo</f>
        <v>11</v>
      </c>
    </row>
    <row r="42" spans="1:2">
      <c r="A42" s="110" t="s">
        <v>396</v>
      </c>
      <c r="B42">
        <f>Checklist_ToSign</f>
        <v>11</v>
      </c>
    </row>
    <row r="43" spans="1:2">
      <c r="A43" s="110" t="s">
        <v>402</v>
      </c>
      <c r="B43">
        <f ca="1">INDIRECT(MID(A43,5,100))</f>
        <v>0</v>
      </c>
    </row>
    <row r="44" spans="1:2">
      <c r="A44" s="110" t="s">
        <v>403</v>
      </c>
      <c r="B44">
        <f ca="1">INDIRECT(MID(A44,5,100))</f>
        <v>0</v>
      </c>
    </row>
    <row r="45" spans="1:2">
      <c r="A45" s="110" t="s">
        <v>404</v>
      </c>
      <c r="B45">
        <f ca="1">INDIRECT(MID(A45,5,100))</f>
        <v>0</v>
      </c>
    </row>
    <row r="46" spans="1:2">
      <c r="A46" s="110" t="s">
        <v>405</v>
      </c>
      <c r="B46">
        <f ca="1">INDIRECT(MID(A46,5,100))</f>
        <v>0</v>
      </c>
    </row>
    <row r="47" spans="1:2">
      <c r="A47" s="110" t="s">
        <v>406</v>
      </c>
      <c r="B47">
        <f ca="1">INDIRECT(MID(A47,5,100))</f>
        <v>0</v>
      </c>
    </row>
    <row r="48" spans="1:2">
      <c r="A48" s="110" t="s">
        <v>196</v>
      </c>
      <c r="B48">
        <f>TotalTimeSpentReviewing</f>
        <v>0</v>
      </c>
    </row>
    <row r="49" spans="1:2">
      <c r="A49" s="110" t="s">
        <v>197</v>
      </c>
      <c r="B49">
        <f>TotalEffortToFix</f>
        <v>0</v>
      </c>
    </row>
    <row r="50" spans="1:2">
      <c r="A50" s="110" t="s">
        <v>198</v>
      </c>
      <c r="B50">
        <f>TotalTimeModerating</f>
        <v>0</v>
      </c>
    </row>
    <row r="51" spans="1:2">
      <c r="A51" s="110" t="str">
        <f>"RRR_Total_"&amp;'Summary and Sign Off'!A6</f>
        <v>RRR_Total_Accepted  (Op)</v>
      </c>
      <c r="B51">
        <f>'Summary and Sign Off'!B6</f>
        <v>0</v>
      </c>
    </row>
    <row r="52" spans="1:2">
      <c r="A52" s="110" t="str">
        <f>"RRR_Total_"&amp;'Summary and Sign Off'!A8</f>
        <v>RRR_Total_Rejected</v>
      </c>
      <c r="B52">
        <f>'Summary and Sign Off'!B8</f>
        <v>17</v>
      </c>
    </row>
    <row r="53" spans="1:2">
      <c r="A53" s="110" t="str">
        <f>"RRR_Total_"&amp;'Summary and Sign Off'!A9</f>
        <v>RRR_Total_Duplicate</v>
      </c>
      <c r="B53">
        <f>'Summary and Sign Off'!B9</f>
        <v>0</v>
      </c>
    </row>
    <row r="54" spans="1:2">
      <c r="A54" s="110" t="str">
        <f>"RRR_Total_"&amp;'Summary and Sign Off'!A10</f>
        <v>RRR_Total_Noted</v>
      </c>
      <c r="B54">
        <f>'Summary and Sign Off'!B10</f>
        <v>1</v>
      </c>
    </row>
    <row r="55" spans="1:2">
      <c r="A55" s="110" t="s">
        <v>199</v>
      </c>
      <c r="B55">
        <f>'Summary and Sign Off'!B25:D25</f>
        <v>0</v>
      </c>
    </row>
    <row r="56" spans="1:2">
      <c r="A56" s="110" t="s">
        <v>200</v>
      </c>
      <c r="B56" t="str">
        <f>'Summary and Sign Off'!B29:D29</f>
        <v>&lt;Name of Approver&gt;</v>
      </c>
    </row>
    <row r="57" spans="1:2">
      <c r="A57" s="110" t="s">
        <v>201</v>
      </c>
      <c r="B57" t="str">
        <f>'Summary and Sign Off'!B30:D30</f>
        <v>dd MMMM yyyy</v>
      </c>
    </row>
    <row r="58" spans="1:2">
      <c r="A58" s="110" t="s">
        <v>417</v>
      </c>
      <c r="B58" t="str">
        <f>'Summary and Sign Off'!B32:D32</f>
        <v>&lt;Name of Approver&gt;</v>
      </c>
    </row>
    <row r="59" spans="1:2">
      <c r="A59" s="110" t="s">
        <v>418</v>
      </c>
      <c r="B59" t="str">
        <f>'Summary and Sign Off'!B33:D33</f>
        <v>dd MMMM yyyy</v>
      </c>
    </row>
    <row r="60" spans="1:2">
      <c r="A60" s="110" t="s">
        <v>419</v>
      </c>
      <c r="B60" t="str">
        <f>'Summary and Sign Off'!B35:D35</f>
        <v>&lt;Name of Approver&gt;</v>
      </c>
    </row>
    <row r="61" spans="1:2">
      <c r="A61" s="110" t="s">
        <v>420</v>
      </c>
      <c r="B61" t="str">
        <f>'Summary and Sign Off'!B36:D36</f>
        <v>dd MMMM yyyy</v>
      </c>
    </row>
    <row r="62" spans="1:2">
      <c r="A62" s="110" t="s">
        <v>421</v>
      </c>
      <c r="B62">
        <f ca="1">COUNTIF('Summary and Sign Off'!D44:D54,"Inconsistent")</f>
        <v>4</v>
      </c>
    </row>
    <row r="63" spans="1:2">
      <c r="A63" s="110" t="s">
        <v>422</v>
      </c>
      <c r="B63">
        <f>COUNTA('Summary and Sign Off'!E44:F54)</f>
        <v>0</v>
      </c>
    </row>
    <row r="64" spans="1:2">
      <c r="A64" s="110" t="s">
        <v>209</v>
      </c>
      <c r="B64">
        <f>CommentsRaised</f>
        <v>0</v>
      </c>
    </row>
    <row r="65" spans="1:3">
      <c r="A65" s="110" t="s">
        <v>210</v>
      </c>
      <c r="B65">
        <f>CommentsToAction</f>
        <v>0</v>
      </c>
    </row>
    <row r="66" spans="1:3">
      <c r="A66" s="110" t="s">
        <v>211</v>
      </c>
      <c r="B66">
        <f>CommentsToSignOff</f>
        <v>0</v>
      </c>
    </row>
    <row r="67" spans="1:3">
      <c r="A67" s="110" t="s">
        <v>217</v>
      </c>
      <c r="B67" t="str">
        <f>Final_Revision</f>
        <v>&lt;Issue n.n&gt; or &lt;CM System revision number&gt;</v>
      </c>
    </row>
    <row r="68" spans="1:3">
      <c r="A68" s="110" t="str">
        <f>"RRR_Total_"&amp;C68&amp;"_Op"</f>
        <v>RRR_Total_Accepted_Op</v>
      </c>
      <c r="B68">
        <f>COUNTIFS(DevCommentStatuses,C68,DevCommentCategory, "01 - Mandatory (Op)")</f>
        <v>0</v>
      </c>
      <c r="C68" t="s">
        <v>101</v>
      </c>
    </row>
    <row r="69" spans="1:3">
      <c r="A69" s="110" t="str">
        <f>"RRR_Total_"&amp;C69&amp;"_Op"</f>
        <v>RRR_Total_Rejected_Op</v>
      </c>
      <c r="B69">
        <f>COUNTIFS(DevCommentStatuses,C69,DevCommentCategory, "01 - Mandatory (Op)")</f>
        <v>0</v>
      </c>
      <c r="C69" t="s">
        <v>100</v>
      </c>
    </row>
    <row r="70" spans="1:3">
      <c r="A70" s="110" t="str">
        <f>"RRR_Total_"&amp;C70&amp;"_Op"</f>
        <v>RRR_Total_Duplicated_Op</v>
      </c>
      <c r="B70">
        <f>COUNTIFS(DevCommentStatuses,C70,DevCommentCategory, "01 - Mandatory (Op)")</f>
        <v>0</v>
      </c>
      <c r="C70" t="s">
        <v>334</v>
      </c>
    </row>
    <row r="71" spans="1:3">
      <c r="A71" s="110" t="str">
        <f>"RRR_Total_"&amp;C71&amp;"_Op"</f>
        <v>RRR_Total_Noted_Op</v>
      </c>
      <c r="B71">
        <f>COUNTIFS(DevCommentStatuses,C71,DevCommentCategory, "01 - Mandatory (Op)")</f>
        <v>0</v>
      </c>
      <c r="C71" t="s">
        <v>99</v>
      </c>
    </row>
    <row r="72" spans="1:3">
      <c r="A72" s="110"/>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62</vt:i4>
      </vt:variant>
    </vt:vector>
  </HeadingPairs>
  <TitlesOfParts>
    <vt:vector size="73" baseType="lpstr">
      <vt:lpstr>Usage</vt:lpstr>
      <vt:lpstr>Calling Notice</vt:lpstr>
      <vt:lpstr>Progress</vt:lpstr>
      <vt:lpstr>Comments</vt:lpstr>
      <vt:lpstr>Checklist</vt:lpstr>
      <vt:lpstr>Checklists</vt:lpstr>
      <vt:lpstr>Metrics</vt:lpstr>
      <vt:lpstr>Summary and Sign Off</vt:lpstr>
      <vt:lpstr>Front Sheet</vt:lpstr>
      <vt:lpstr>Template Control</vt:lpstr>
      <vt:lpstr>CustomProperties</vt:lpstr>
      <vt:lpstr>Blanks</vt:lpstr>
      <vt:lpstr>CaptureEffortData</vt:lpstr>
      <vt:lpstr>CaptureSizeMetrics</vt:lpstr>
      <vt:lpstr>CheckErr</vt:lpstr>
      <vt:lpstr>Checklist_FailRecommended</vt:lpstr>
      <vt:lpstr>Checklist_FailSafety</vt:lpstr>
      <vt:lpstr>Checklist_FailStandards</vt:lpstr>
      <vt:lpstr>Checklist_FailTechnical</vt:lpstr>
      <vt:lpstr>Checklist_Items</vt:lpstr>
      <vt:lpstr>Checklist_ToGo</vt:lpstr>
      <vt:lpstr>Checklist_ToSign</vt:lpstr>
      <vt:lpstr>Checklist_Total</vt:lpstr>
      <vt:lpstr>Checklist_TotalPass</vt:lpstr>
      <vt:lpstr>ChecklistStart</vt:lpstr>
      <vt:lpstr>CheckOK</vt:lpstr>
      <vt:lpstr>CodeFileListUsed</vt:lpstr>
      <vt:lpstr>CommentsRaised</vt:lpstr>
      <vt:lpstr>CommentsToAction</vt:lpstr>
      <vt:lpstr>CommentsToSignOff</vt:lpstr>
      <vt:lpstr>DevAuthorInitials</vt:lpstr>
      <vt:lpstr>DevCommentCategory</vt:lpstr>
      <vt:lpstr>DevCommentEffortToFix</vt:lpstr>
      <vt:lpstr>DevCommentEffortToModerate</vt:lpstr>
      <vt:lpstr>DevCommentInitials</vt:lpstr>
      <vt:lpstr>DevCommentStatuses</vt:lpstr>
      <vt:lpstr>DevModeratorInitials</vt:lpstr>
      <vt:lpstr>DocApprover</vt:lpstr>
      <vt:lpstr>DocAuthor</vt:lpstr>
      <vt:lpstr>DocConfidentiality</vt:lpstr>
      <vt:lpstr>DocDate</vt:lpstr>
      <vt:lpstr>DocIssue</vt:lpstr>
      <vt:lpstr>DocRef</vt:lpstr>
      <vt:lpstr>DocSet</vt:lpstr>
      <vt:lpstr>DocStatus</vt:lpstr>
      <vt:lpstr>DocTitle</vt:lpstr>
      <vt:lpstr>Final_Revision</vt:lpstr>
      <vt:lpstr>ItemSize</vt:lpstr>
      <vt:lpstr>'Calling Notice'!Print_Area</vt:lpstr>
      <vt:lpstr>Checklist!Print_Area</vt:lpstr>
      <vt:lpstr>'Front Sheet'!Print_Area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2013-02-19T15:57:21Z</cp:lastPrinted>
  <dcterms:created xsi:type="dcterms:W3CDTF">2006-01-10T12:16:43Z</dcterms:created>
  <dcterms:modified xsi:type="dcterms:W3CDTF">2013-02-20T08:40:40Z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Implement Foundation Behaviours</vt:lpwstr>
  </property>
  <property fmtid="{D5CDD505-2E9C-101B-9397-08002B2CF9AE}" pid="3" name="DocTitle">
    <vt:lpwstr>RRR Template</vt:lpwstr>
  </property>
  <property fmtid="{D5CDD505-2E9C-101B-9397-08002B2CF9AE}" pid="4" name="DocRef">
    <vt:lpwstr>S.Q1200.50.2</vt:lpwstr>
  </property>
  <property fmtid="{D5CDD505-2E9C-101B-9397-08002B2CF9AE}" pid="5" name="DocIssue">
    <vt:lpwstr>1.1</vt:lpwstr>
  </property>
  <property fmtid="{D5CDD505-2E9C-101B-9397-08002B2CF9AE}" pid="6" name="DocDate">
    <vt:lpwstr>08/11/2012</vt:lpwstr>
  </property>
  <property fmtid="{D5CDD505-2E9C-101B-9397-08002B2CF9AE}" pid="7" name="DocAuthor">
    <vt:lpwstr>Andrew Hawthorn (SEPG Representative)</vt:lpwstr>
  </property>
  <property fmtid="{D5CDD505-2E9C-101B-9397-08002B2CF9AE}" pid="8" name="DocApprover">
    <vt:lpwstr>David Jackson (E&amp;CS)</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11</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13</vt:lpwstr>
  </property>
  <property fmtid="{D5CDD505-2E9C-101B-9397-08002B2CF9AE}" pid="40" name="RRR_Total_Duplicate">
    <vt:lpwstr>0</vt:lpwstr>
  </property>
  <property fmtid="{D5CDD505-2E9C-101B-9397-08002B2CF9AE}" pid="41" name="RRR_Total_Noted">
    <vt:lpwstr>0</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0</vt:lpwstr>
  </property>
  <property fmtid="{D5CDD505-2E9C-101B-9397-08002B2CF9AE}" pid="47" name="RRR_CommentsToAction">
    <vt:lpwstr>0</vt:lpwstr>
  </property>
  <property fmtid="{D5CDD505-2E9C-101B-9397-08002B2CF9AE}" pid="48" name="RRR_CommentsToSignOff">
    <vt:lpwstr>0</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0</vt:lpwstr>
  </property>
  <property fmtid="{D5CDD505-2E9C-101B-9397-08002B2CF9AE}" pid="61" name="RRR_Total_Rejected_Op">
    <vt:lpwstr>0</vt:lpwstr>
  </property>
  <property fmtid="{D5CDD505-2E9C-101B-9397-08002B2CF9AE}" pid="62" name="RRR_Total_Duplicated_Op">
    <vt:lpwstr>0</vt:lpwstr>
  </property>
  <property fmtid="{D5CDD505-2E9C-101B-9397-08002B2CF9AE}" pid="63" name="RRR_Total_Noted_Op">
    <vt:lpwstr>0</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11</vt:lpwstr>
  </property>
  <property fmtid="{D5CDD505-2E9C-101B-9397-08002B2CF9AE}" pid="73" name="RRR_Checklist_ToSign">
    <vt:lpwstr>11</vt:lpwstr>
  </property>
  <property fmtid="{D5CDD505-2E9C-101B-9397-08002B2CF9AE}" pid="74" name="RRR_Checklist_TotalPass">
    <vt:lpwstr>0</vt:lpwstr>
  </property>
  <property fmtid="{D5CDD505-2E9C-101B-9397-08002B2CF9AE}" pid="75" name="RRR_Checklist_FailSafety">
    <vt:lpwstr>0</vt:lpwstr>
  </property>
  <property fmtid="{D5CDD505-2E9C-101B-9397-08002B2CF9AE}" pid="76" name="RRR_Checklist_FailTechnical">
    <vt:lpwstr>0</vt:lpwstr>
  </property>
  <property fmtid="{D5CDD505-2E9C-101B-9397-08002B2CF9AE}" pid="77" name="RRR_Checklist_FailStandards">
    <vt:lpwstr>0</vt:lpwstr>
  </property>
  <property fmtid="{D5CDD505-2E9C-101B-9397-08002B2CF9AE}" pid="78" name="RRR_Checklist_FailRecommended">
    <vt:lpwstr>0</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0</vt:lpwstr>
  </property>
</Properties>
</file>